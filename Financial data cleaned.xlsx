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 PC\Downloads\"/>
    </mc:Choice>
  </mc:AlternateContent>
  <xr:revisionPtr revIDLastSave="0" documentId="13_ncr:1_{247ABD2C-432F-487E-AF12-5FA4E4930E0D}" xr6:coauthVersionLast="47" xr6:coauthVersionMax="47" xr10:uidLastSave="{00000000-0000-0000-0000-000000000000}"/>
  <bookViews>
    <workbookView xWindow="-108" yWindow="-108" windowWidth="23256" windowHeight="12456" activeTab="2" xr2:uid="{A53CE8C9-A9B6-4532-9EA2-AE19EE921B27}"/>
  </bookViews>
  <sheets>
    <sheet name="financial" sheetId="1" r:id="rId1"/>
    <sheet name="sales" sheetId="5" r:id="rId2"/>
    <sheet name="discount" sheetId="6" r:id="rId3"/>
    <sheet name="product" sheetId="2" r:id="rId4"/>
    <sheet name="country" sheetId="3" r:id="rId5"/>
    <sheet name="date" sheetId="4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220" i="6" l="1"/>
  <c r="D1219" i="6"/>
  <c r="D1218" i="6"/>
  <c r="D1217" i="6"/>
  <c r="D1216" i="6"/>
  <c r="D1215" i="6"/>
  <c r="D1214" i="6"/>
  <c r="D1213" i="6"/>
  <c r="D1212" i="6"/>
  <c r="D1211" i="6"/>
  <c r="D1210" i="6"/>
  <c r="D1209" i="6"/>
  <c r="D1208" i="6"/>
  <c r="D1207" i="6"/>
  <c r="D1206" i="6"/>
  <c r="D1205" i="6"/>
  <c r="D1204" i="6"/>
  <c r="D1203" i="6"/>
  <c r="D1202" i="6"/>
  <c r="D1201" i="6"/>
  <c r="D1200" i="6"/>
  <c r="D1199" i="6"/>
  <c r="D1198" i="6"/>
  <c r="D1197" i="6"/>
  <c r="D1196" i="6"/>
  <c r="D1195" i="6"/>
  <c r="D1194" i="6"/>
  <c r="D1193" i="6"/>
  <c r="D1192" i="6"/>
  <c r="D1191" i="6"/>
  <c r="D1190" i="6"/>
  <c r="D1189" i="6"/>
  <c r="D1188" i="6"/>
  <c r="D1187" i="6"/>
  <c r="D1186" i="6"/>
  <c r="D1185" i="6"/>
  <c r="D1184" i="6"/>
  <c r="D1183" i="6"/>
  <c r="D1182" i="6"/>
  <c r="D1181" i="6"/>
  <c r="D1180" i="6"/>
  <c r="D1179" i="6"/>
  <c r="D1178" i="6"/>
  <c r="D1177" i="6"/>
  <c r="D1176" i="6"/>
  <c r="D1175" i="6"/>
  <c r="D1174" i="6"/>
  <c r="D1173" i="6"/>
  <c r="D1172" i="6"/>
  <c r="D1171" i="6"/>
  <c r="D1170" i="6"/>
  <c r="D1169" i="6"/>
  <c r="D1168" i="6"/>
  <c r="D1167" i="6"/>
  <c r="D1166" i="6"/>
  <c r="D1165" i="6"/>
  <c r="D1164" i="6"/>
  <c r="D1163" i="6"/>
  <c r="D1162" i="6"/>
  <c r="D1161" i="6"/>
  <c r="D1160" i="6"/>
  <c r="D1159" i="6"/>
  <c r="D1158" i="6"/>
  <c r="D1157" i="6"/>
  <c r="D1156" i="6"/>
  <c r="D1155" i="6"/>
  <c r="D1154" i="6"/>
  <c r="D1153" i="6"/>
  <c r="D1152" i="6"/>
  <c r="D1151" i="6"/>
  <c r="D1150" i="6"/>
  <c r="D1149" i="6"/>
  <c r="D1148" i="6"/>
  <c r="D1147" i="6"/>
  <c r="D1146" i="6"/>
  <c r="D1145" i="6"/>
  <c r="D1144" i="6"/>
  <c r="D1143" i="6"/>
  <c r="D1142" i="6"/>
  <c r="D1141" i="6"/>
  <c r="D1140" i="6"/>
  <c r="D1139" i="6"/>
  <c r="D1138" i="6"/>
  <c r="D1137" i="6"/>
  <c r="D1129" i="6"/>
  <c r="D1128" i="6"/>
  <c r="D1127" i="6"/>
  <c r="D1126" i="6"/>
  <c r="D1125" i="6"/>
  <c r="D1124" i="6"/>
  <c r="D1123" i="6"/>
  <c r="D1122" i="6"/>
  <c r="D1121" i="6"/>
  <c r="D1120" i="6"/>
  <c r="D1119" i="6"/>
  <c r="D1118" i="6"/>
  <c r="D1117" i="6"/>
  <c r="D1116" i="6"/>
  <c r="D1115" i="6"/>
  <c r="D1114" i="6"/>
  <c r="D1113" i="6"/>
  <c r="D1112" i="6"/>
  <c r="D1111" i="6"/>
  <c r="D1110" i="6"/>
  <c r="D1109" i="6"/>
  <c r="D1108" i="6"/>
  <c r="D1107" i="6"/>
  <c r="D1106" i="6"/>
  <c r="D1105" i="6"/>
  <c r="D1104" i="6"/>
  <c r="D1103" i="6"/>
  <c r="D1102" i="6"/>
  <c r="D1101" i="6"/>
  <c r="D1100" i="6"/>
  <c r="D1099" i="6"/>
  <c r="D1098" i="6"/>
  <c r="D1097" i="6"/>
  <c r="D1096" i="6"/>
  <c r="D1094" i="6"/>
  <c r="D1093" i="6"/>
  <c r="D1092" i="6"/>
  <c r="D1091" i="6"/>
  <c r="D1090" i="6"/>
  <c r="D1089" i="6"/>
  <c r="D1088" i="6"/>
  <c r="D1087" i="6"/>
  <c r="D1086" i="6"/>
  <c r="D1085" i="6"/>
  <c r="D1084" i="6"/>
  <c r="D1083" i="6"/>
  <c r="C1220" i="6"/>
  <c r="C1219" i="6"/>
  <c r="C1218" i="6"/>
  <c r="C1217" i="6"/>
  <c r="C1216" i="6"/>
  <c r="C1215" i="6"/>
  <c r="C1214" i="6"/>
  <c r="C1213" i="6"/>
  <c r="C1212" i="6"/>
  <c r="C1211" i="6"/>
  <c r="C1210" i="6"/>
  <c r="C1209" i="6"/>
  <c r="C1208" i="6"/>
  <c r="C1207" i="6"/>
  <c r="C1206" i="6"/>
  <c r="C1205" i="6"/>
  <c r="C1204" i="6"/>
  <c r="C1203" i="6"/>
  <c r="C1202" i="6"/>
  <c r="C1201" i="6"/>
  <c r="C1200" i="6"/>
  <c r="C1199" i="6"/>
  <c r="C1198" i="6"/>
  <c r="C1197" i="6"/>
  <c r="C1196" i="6"/>
  <c r="C1195" i="6"/>
  <c r="C1194" i="6"/>
  <c r="C1193" i="6"/>
  <c r="C1192" i="6"/>
  <c r="C1191" i="6"/>
  <c r="C1190" i="6"/>
  <c r="C1189" i="6"/>
  <c r="C1188" i="6"/>
  <c r="C1187" i="6"/>
  <c r="C1186" i="6"/>
  <c r="C1185" i="6"/>
  <c r="C1184" i="6"/>
  <c r="C1183" i="6"/>
  <c r="C1182" i="6"/>
  <c r="C1181" i="6"/>
  <c r="C1180" i="6"/>
  <c r="C1179" i="6"/>
  <c r="C1178" i="6"/>
  <c r="C1177" i="6"/>
  <c r="C1176" i="6"/>
  <c r="C1175" i="6"/>
  <c r="C1174" i="6"/>
  <c r="C1173" i="6"/>
  <c r="C1172" i="6"/>
  <c r="C1171" i="6"/>
  <c r="C1170" i="6"/>
  <c r="C1169" i="6"/>
  <c r="C1168" i="6"/>
  <c r="C1167" i="6"/>
  <c r="C1166" i="6"/>
  <c r="C1165" i="6"/>
  <c r="C1164" i="6"/>
  <c r="C1163" i="6"/>
  <c r="C1162" i="6"/>
  <c r="C1161" i="6"/>
  <c r="C1160" i="6"/>
  <c r="C1159" i="6"/>
  <c r="C1158" i="6"/>
  <c r="C1157" i="6"/>
  <c r="C1156" i="6"/>
  <c r="C1155" i="6"/>
  <c r="C1154" i="6"/>
  <c r="C1153" i="6"/>
  <c r="C1152" i="6"/>
  <c r="C1151" i="6"/>
  <c r="C1150" i="6"/>
  <c r="C1149" i="6"/>
  <c r="C1148" i="6"/>
  <c r="C1147" i="6"/>
  <c r="C1146" i="6"/>
  <c r="C1145" i="6"/>
  <c r="C1144" i="6"/>
  <c r="C1143" i="6"/>
  <c r="C1142" i="6"/>
  <c r="C1141" i="6"/>
  <c r="C1140" i="6"/>
  <c r="C1139" i="6"/>
  <c r="C1138" i="6"/>
  <c r="C1137" i="6"/>
  <c r="C1136" i="6"/>
  <c r="C1135" i="6"/>
  <c r="C1134" i="6"/>
  <c r="C1133" i="6"/>
  <c r="C1132" i="6"/>
  <c r="C1131" i="6"/>
  <c r="C1130" i="6"/>
  <c r="C1129" i="6"/>
  <c r="C1128" i="6"/>
  <c r="C1127" i="6"/>
  <c r="C1126" i="6"/>
  <c r="C1125" i="6"/>
  <c r="C1124" i="6"/>
  <c r="C1123" i="6"/>
  <c r="C1122" i="6"/>
  <c r="C1121" i="6"/>
  <c r="C1120" i="6"/>
  <c r="C1119" i="6"/>
  <c r="C1118" i="6"/>
  <c r="C1117" i="6"/>
  <c r="C1116" i="6"/>
  <c r="C1115" i="6"/>
  <c r="C1114" i="6"/>
  <c r="C1113" i="6"/>
  <c r="C1112" i="6"/>
  <c r="C1111" i="6"/>
  <c r="C1110" i="6"/>
  <c r="C1109" i="6"/>
  <c r="C1108" i="6"/>
  <c r="C1107" i="6"/>
  <c r="C1106" i="6"/>
  <c r="C1105" i="6"/>
  <c r="C1104" i="6"/>
  <c r="C1103" i="6"/>
  <c r="C1102" i="6"/>
  <c r="C1101" i="6"/>
  <c r="C1100" i="6"/>
  <c r="C1099" i="6"/>
  <c r="C1098" i="6"/>
  <c r="C1097" i="6"/>
  <c r="C1096" i="6"/>
  <c r="C1095" i="6"/>
  <c r="C1094" i="6"/>
  <c r="C1093" i="6"/>
  <c r="C1092" i="6"/>
  <c r="C1091" i="6"/>
  <c r="C1090" i="6"/>
  <c r="C1089" i="6"/>
  <c r="C1088" i="6"/>
  <c r="C1087" i="6"/>
  <c r="C1086" i="6"/>
  <c r="C1085" i="6"/>
  <c r="C1084" i="6"/>
  <c r="C1083" i="6"/>
  <c r="B1220" i="6"/>
  <c r="B1219" i="6"/>
  <c r="B1218" i="6"/>
  <c r="B1217" i="6"/>
  <c r="B1216" i="6"/>
  <c r="B1215" i="6"/>
  <c r="B1214" i="6"/>
  <c r="B1213" i="6"/>
  <c r="B1212" i="6"/>
  <c r="B1211" i="6"/>
  <c r="B1210" i="6"/>
  <c r="B1209" i="6"/>
  <c r="B1208" i="6"/>
  <c r="B1207" i="6"/>
  <c r="B1206" i="6"/>
  <c r="B1205" i="6"/>
  <c r="B1204" i="6"/>
  <c r="B1203" i="6"/>
  <c r="B1202" i="6"/>
  <c r="B1201" i="6"/>
  <c r="B1200" i="6"/>
  <c r="B1199" i="6"/>
  <c r="B1198" i="6"/>
  <c r="B1197" i="6"/>
  <c r="B1196" i="6"/>
  <c r="B1195" i="6"/>
  <c r="B1194" i="6"/>
  <c r="B1193" i="6"/>
  <c r="B1192" i="6"/>
  <c r="B1191" i="6"/>
  <c r="B1190" i="6"/>
  <c r="B1189" i="6"/>
  <c r="B1188" i="6"/>
  <c r="B1187" i="6"/>
  <c r="B1186" i="6"/>
  <c r="B1185" i="6"/>
  <c r="B1184" i="6"/>
  <c r="B1183" i="6"/>
  <c r="B1182" i="6"/>
  <c r="B1181" i="6"/>
  <c r="B1180" i="6"/>
  <c r="B1179" i="6"/>
  <c r="B1178" i="6"/>
  <c r="B1177" i="6"/>
  <c r="B1176" i="6"/>
  <c r="B1175" i="6"/>
  <c r="B1174" i="6"/>
  <c r="B1173" i="6"/>
  <c r="B1172" i="6"/>
  <c r="B1171" i="6"/>
  <c r="B1170" i="6"/>
  <c r="B1169" i="6"/>
  <c r="B1168" i="6"/>
  <c r="B1167" i="6"/>
  <c r="B1166" i="6"/>
  <c r="B1165" i="6"/>
  <c r="B1164" i="6"/>
  <c r="B1163" i="6"/>
  <c r="B1162" i="6"/>
  <c r="B1161" i="6"/>
  <c r="B1160" i="6"/>
  <c r="B1159" i="6"/>
  <c r="B1158" i="6"/>
  <c r="B1157" i="6"/>
  <c r="B1156" i="6"/>
  <c r="B1155" i="6"/>
  <c r="B1154" i="6"/>
  <c r="B1153" i="6"/>
  <c r="B1152" i="6"/>
  <c r="B1151" i="6"/>
  <c r="B1150" i="6"/>
  <c r="B1149" i="6"/>
  <c r="B1148" i="6"/>
  <c r="B1147" i="6"/>
  <c r="B1146" i="6"/>
  <c r="B1145" i="6"/>
  <c r="B1144" i="6"/>
  <c r="B1143" i="6"/>
  <c r="B1142" i="6"/>
  <c r="B1141" i="6"/>
  <c r="B1140" i="6"/>
  <c r="B1139" i="6"/>
  <c r="B1138" i="6"/>
  <c r="B1137" i="6"/>
  <c r="B1136" i="6"/>
  <c r="B1135" i="6"/>
  <c r="B1134" i="6"/>
  <c r="B1133" i="6"/>
  <c r="B1132" i="6"/>
  <c r="B1131" i="6"/>
  <c r="B1130" i="6"/>
  <c r="B1129" i="6"/>
  <c r="B1128" i="6"/>
  <c r="B1127" i="6"/>
  <c r="B1126" i="6"/>
  <c r="B1125" i="6"/>
  <c r="B1124" i="6"/>
  <c r="B1123" i="6"/>
  <c r="B1122" i="6"/>
  <c r="B1121" i="6"/>
  <c r="B1120" i="6"/>
  <c r="B1119" i="6"/>
  <c r="B1118" i="6"/>
  <c r="B1117" i="6"/>
  <c r="B1116" i="6"/>
  <c r="B1115" i="6"/>
  <c r="B1114" i="6"/>
  <c r="B1113" i="6"/>
  <c r="B1112" i="6"/>
  <c r="B1111" i="6"/>
  <c r="B1110" i="6"/>
  <c r="B1109" i="6"/>
  <c r="B1108" i="6"/>
  <c r="B1107" i="6"/>
  <c r="B1106" i="6"/>
  <c r="B1105" i="6"/>
  <c r="B1104" i="6"/>
  <c r="B1103" i="6"/>
  <c r="B1102" i="6"/>
  <c r="B1101" i="6"/>
  <c r="B1100" i="6"/>
  <c r="B1099" i="6"/>
  <c r="B1098" i="6"/>
  <c r="B1097" i="6"/>
  <c r="B1096" i="6"/>
  <c r="B1095" i="6"/>
  <c r="B1094" i="6"/>
  <c r="B1093" i="6"/>
  <c r="B1092" i="6"/>
  <c r="B1091" i="6"/>
  <c r="B1090" i="6"/>
  <c r="B1089" i="6"/>
  <c r="B1088" i="6"/>
  <c r="B1087" i="6"/>
  <c r="B1086" i="6"/>
  <c r="B1085" i="6"/>
  <c r="B1084" i="6"/>
  <c r="B1083" i="6"/>
  <c r="B1220" i="5"/>
  <c r="A1220" i="5"/>
  <c r="B1219" i="5"/>
  <c r="A1219" i="5"/>
  <c r="C1219" i="5" s="1"/>
  <c r="B1218" i="5"/>
  <c r="A1218" i="5"/>
  <c r="C1218" i="5" s="1"/>
  <c r="B1217" i="5"/>
  <c r="A1217" i="5"/>
  <c r="C1217" i="5" s="1"/>
  <c r="B1216" i="5"/>
  <c r="A1216" i="5"/>
  <c r="C1216" i="5" s="1"/>
  <c r="B1215" i="5"/>
  <c r="A1215" i="5"/>
  <c r="C1215" i="5" s="1"/>
  <c r="B1214" i="5"/>
  <c r="A1214" i="5"/>
  <c r="C1214" i="5" s="1"/>
  <c r="B1213" i="5"/>
  <c r="A1213" i="5"/>
  <c r="B1212" i="5"/>
  <c r="A1212" i="5"/>
  <c r="B1211" i="5"/>
  <c r="A1211" i="5"/>
  <c r="C1211" i="5" s="1"/>
  <c r="B1210" i="5"/>
  <c r="A1210" i="5"/>
  <c r="C1210" i="5" s="1"/>
  <c r="B1209" i="5"/>
  <c r="A1209" i="5"/>
  <c r="C1209" i="5" s="1"/>
  <c r="B1208" i="5"/>
  <c r="A1208" i="5"/>
  <c r="C1208" i="5" s="1"/>
  <c r="B1207" i="5"/>
  <c r="A1207" i="5"/>
  <c r="C1207" i="5" s="1"/>
  <c r="B1206" i="5"/>
  <c r="A1206" i="5"/>
  <c r="C1206" i="5" s="1"/>
  <c r="B1205" i="5"/>
  <c r="A1205" i="5"/>
  <c r="B1204" i="5"/>
  <c r="A1204" i="5"/>
  <c r="B1203" i="5"/>
  <c r="A1203" i="5"/>
  <c r="C1203" i="5" s="1"/>
  <c r="B1202" i="5"/>
  <c r="A1202" i="5"/>
  <c r="C1202" i="5" s="1"/>
  <c r="B1201" i="5"/>
  <c r="A1201" i="5"/>
  <c r="C1201" i="5" s="1"/>
  <c r="B1200" i="5"/>
  <c r="A1200" i="5"/>
  <c r="C1200" i="5" s="1"/>
  <c r="B1199" i="5"/>
  <c r="A1199" i="5"/>
  <c r="C1199" i="5" s="1"/>
  <c r="B1198" i="5"/>
  <c r="A1198" i="5"/>
  <c r="C1198" i="5" s="1"/>
  <c r="B1197" i="5"/>
  <c r="A1197" i="5"/>
  <c r="B1196" i="5"/>
  <c r="A1196" i="5"/>
  <c r="B1195" i="5"/>
  <c r="A1195" i="5"/>
  <c r="C1195" i="5" s="1"/>
  <c r="B1194" i="5"/>
  <c r="A1194" i="5"/>
  <c r="C1194" i="5" s="1"/>
  <c r="B1193" i="5"/>
  <c r="A1193" i="5"/>
  <c r="C1193" i="5" s="1"/>
  <c r="B1192" i="5"/>
  <c r="A1192" i="5"/>
  <c r="C1192" i="5" s="1"/>
  <c r="B1191" i="5"/>
  <c r="A1191" i="5"/>
  <c r="C1191" i="5" s="1"/>
  <c r="B1190" i="5"/>
  <c r="A1190" i="5"/>
  <c r="C1190" i="5" s="1"/>
  <c r="B1189" i="5"/>
  <c r="A1189" i="5"/>
  <c r="B1188" i="5"/>
  <c r="A1188" i="5"/>
  <c r="B1187" i="5"/>
  <c r="A1187" i="5"/>
  <c r="C1187" i="5" s="1"/>
  <c r="B1186" i="5"/>
  <c r="A1186" i="5"/>
  <c r="C1186" i="5" s="1"/>
  <c r="B1185" i="5"/>
  <c r="A1185" i="5"/>
  <c r="C1185" i="5" s="1"/>
  <c r="B1184" i="5"/>
  <c r="A1184" i="5"/>
  <c r="C1184" i="5" s="1"/>
  <c r="B1183" i="5"/>
  <c r="A1183" i="5"/>
  <c r="C1183" i="5" s="1"/>
  <c r="B1182" i="5"/>
  <c r="A1182" i="5"/>
  <c r="C1182" i="5" s="1"/>
  <c r="B1181" i="5"/>
  <c r="A1181" i="5"/>
  <c r="B1180" i="5"/>
  <c r="A1180" i="5"/>
  <c r="B1179" i="5"/>
  <c r="A1179" i="5"/>
  <c r="C1179" i="5" s="1"/>
  <c r="B1178" i="5"/>
  <c r="A1178" i="5"/>
  <c r="C1178" i="5" s="1"/>
  <c r="B1177" i="5"/>
  <c r="A1177" i="5"/>
  <c r="C1177" i="5" s="1"/>
  <c r="B1176" i="5"/>
  <c r="A1176" i="5"/>
  <c r="C1176" i="5" s="1"/>
  <c r="B1175" i="5"/>
  <c r="A1175" i="5"/>
  <c r="C1175" i="5" s="1"/>
  <c r="B1174" i="5"/>
  <c r="A1174" i="5"/>
  <c r="C1174" i="5" s="1"/>
  <c r="B1173" i="5"/>
  <c r="A1173" i="5"/>
  <c r="B1172" i="5"/>
  <c r="A1172" i="5"/>
  <c r="B1171" i="5"/>
  <c r="A1171" i="5"/>
  <c r="C1171" i="5" s="1"/>
  <c r="B1170" i="5"/>
  <c r="A1170" i="5"/>
  <c r="C1170" i="5" s="1"/>
  <c r="B1169" i="5"/>
  <c r="A1169" i="5"/>
  <c r="C1169" i="5" s="1"/>
  <c r="B1168" i="5"/>
  <c r="A1168" i="5"/>
  <c r="C1168" i="5" s="1"/>
  <c r="B1167" i="5"/>
  <c r="A1167" i="5"/>
  <c r="C1167" i="5" s="1"/>
  <c r="B1166" i="5"/>
  <c r="A1166" i="5"/>
  <c r="C1166" i="5" s="1"/>
  <c r="B1165" i="5"/>
  <c r="A1165" i="5"/>
  <c r="B1164" i="5"/>
  <c r="A1164" i="5"/>
  <c r="B1163" i="5"/>
  <c r="A1163" i="5"/>
  <c r="C1163" i="5" s="1"/>
  <c r="B1162" i="5"/>
  <c r="A1162" i="5"/>
  <c r="C1162" i="5" s="1"/>
  <c r="B1161" i="5"/>
  <c r="A1161" i="5"/>
  <c r="C1161" i="5" s="1"/>
  <c r="B1160" i="5"/>
  <c r="A1160" i="5"/>
  <c r="C1160" i="5" s="1"/>
  <c r="B1159" i="5"/>
  <c r="A1159" i="5"/>
  <c r="C1159" i="5" s="1"/>
  <c r="B1158" i="5"/>
  <c r="A1158" i="5"/>
  <c r="C1158" i="5" s="1"/>
  <c r="B1157" i="5"/>
  <c r="A1157" i="5"/>
  <c r="B1156" i="5"/>
  <c r="A1156" i="5"/>
  <c r="B1155" i="5"/>
  <c r="A1155" i="5"/>
  <c r="C1155" i="5" s="1"/>
  <c r="B1154" i="5"/>
  <c r="A1154" i="5"/>
  <c r="C1154" i="5" s="1"/>
  <c r="B1153" i="5"/>
  <c r="A1153" i="5"/>
  <c r="C1153" i="5" s="1"/>
  <c r="B1152" i="5"/>
  <c r="A1152" i="5"/>
  <c r="C1152" i="5" s="1"/>
  <c r="B1151" i="5"/>
  <c r="A1151" i="5"/>
  <c r="C1151" i="5" s="1"/>
  <c r="B1150" i="5"/>
  <c r="A1150" i="5"/>
  <c r="C1150" i="5" s="1"/>
  <c r="B1149" i="5"/>
  <c r="A1149" i="5"/>
  <c r="B1148" i="5"/>
  <c r="A1148" i="5"/>
  <c r="B1147" i="5"/>
  <c r="A1147" i="5"/>
  <c r="C1147" i="5" s="1"/>
  <c r="B1146" i="5"/>
  <c r="A1146" i="5"/>
  <c r="C1146" i="5" s="1"/>
  <c r="B1145" i="5"/>
  <c r="A1145" i="5"/>
  <c r="C1145" i="5" s="1"/>
  <c r="B1144" i="5"/>
  <c r="A1144" i="5"/>
  <c r="C1144" i="5" s="1"/>
  <c r="B1143" i="5"/>
  <c r="A1143" i="5"/>
  <c r="C1143" i="5" s="1"/>
  <c r="B1142" i="5"/>
  <c r="A1142" i="5"/>
  <c r="C1142" i="5" s="1"/>
  <c r="B1141" i="5"/>
  <c r="A1141" i="5"/>
  <c r="B1140" i="5"/>
  <c r="A1140" i="5"/>
  <c r="B1139" i="5"/>
  <c r="A1139" i="5"/>
  <c r="C1139" i="5" s="1"/>
  <c r="B1138" i="5"/>
  <c r="A1138" i="5"/>
  <c r="C1138" i="5" s="1"/>
  <c r="B1137" i="5"/>
  <c r="A1137" i="5"/>
  <c r="C1137" i="5" s="1"/>
  <c r="B1136" i="5"/>
  <c r="A1136" i="5"/>
  <c r="C1136" i="5" s="1"/>
  <c r="B1135" i="5"/>
  <c r="A1135" i="5"/>
  <c r="C1135" i="5" s="1"/>
  <c r="B1134" i="5"/>
  <c r="A1134" i="5"/>
  <c r="C1134" i="5" s="1"/>
  <c r="B1133" i="5"/>
  <c r="A1133" i="5"/>
  <c r="B1132" i="5"/>
  <c r="A1132" i="5"/>
  <c r="B1131" i="5"/>
  <c r="A1131" i="5"/>
  <c r="C1131" i="5" s="1"/>
  <c r="B1130" i="5"/>
  <c r="A1130" i="5"/>
  <c r="C1130" i="5" s="1"/>
  <c r="B1129" i="5"/>
  <c r="A1129" i="5"/>
  <c r="C1129" i="5" s="1"/>
  <c r="B1128" i="5"/>
  <c r="A1128" i="5"/>
  <c r="C1128" i="5" s="1"/>
  <c r="B1127" i="5"/>
  <c r="A1127" i="5"/>
  <c r="C1127" i="5" s="1"/>
  <c r="B1126" i="5"/>
  <c r="A1126" i="5"/>
  <c r="C1126" i="5" s="1"/>
  <c r="B1125" i="5"/>
  <c r="A1125" i="5"/>
  <c r="B1124" i="5"/>
  <c r="A1124" i="5"/>
  <c r="B1123" i="5"/>
  <c r="A1123" i="5"/>
  <c r="C1123" i="5" s="1"/>
  <c r="B1122" i="5"/>
  <c r="A1122" i="5"/>
  <c r="C1122" i="5" s="1"/>
  <c r="B1121" i="5"/>
  <c r="A1121" i="5"/>
  <c r="C1121" i="5" s="1"/>
  <c r="B1120" i="5"/>
  <c r="A1120" i="5"/>
  <c r="C1120" i="5" s="1"/>
  <c r="B1119" i="5"/>
  <c r="A1119" i="5"/>
  <c r="C1119" i="5" s="1"/>
  <c r="B1118" i="5"/>
  <c r="A1118" i="5"/>
  <c r="C1118" i="5" s="1"/>
  <c r="B1117" i="5"/>
  <c r="A1117" i="5"/>
  <c r="B1116" i="5"/>
  <c r="A1116" i="5"/>
  <c r="B1115" i="5"/>
  <c r="A1115" i="5"/>
  <c r="C1115" i="5" s="1"/>
  <c r="B1114" i="5"/>
  <c r="A1114" i="5"/>
  <c r="C1114" i="5" s="1"/>
  <c r="B1113" i="5"/>
  <c r="A1113" i="5"/>
  <c r="C1113" i="5" s="1"/>
  <c r="B1112" i="5"/>
  <c r="A1112" i="5"/>
  <c r="C1112" i="5" s="1"/>
  <c r="B1111" i="5"/>
  <c r="A1111" i="5"/>
  <c r="C1111" i="5" s="1"/>
  <c r="B1110" i="5"/>
  <c r="A1110" i="5"/>
  <c r="C1110" i="5" s="1"/>
  <c r="B1109" i="5"/>
  <c r="A1109" i="5"/>
  <c r="B1108" i="5"/>
  <c r="A1108" i="5"/>
  <c r="B1107" i="5"/>
  <c r="A1107" i="5"/>
  <c r="C1107" i="5" s="1"/>
  <c r="B1106" i="5"/>
  <c r="A1106" i="5"/>
  <c r="C1106" i="5" s="1"/>
  <c r="B1105" i="5"/>
  <c r="A1105" i="5"/>
  <c r="C1105" i="5" s="1"/>
  <c r="B1104" i="5"/>
  <c r="A1104" i="5"/>
  <c r="C1104" i="5" s="1"/>
  <c r="B1103" i="5"/>
  <c r="A1103" i="5"/>
  <c r="C1103" i="5" s="1"/>
  <c r="B1102" i="5"/>
  <c r="A1102" i="5"/>
  <c r="C1102" i="5" s="1"/>
  <c r="B1101" i="5"/>
  <c r="A1101" i="5"/>
  <c r="B1100" i="5"/>
  <c r="A1100" i="5"/>
  <c r="B1099" i="5"/>
  <c r="A1099" i="5"/>
  <c r="C1099" i="5" s="1"/>
  <c r="B1098" i="5"/>
  <c r="A1098" i="5"/>
  <c r="C1098" i="5" s="1"/>
  <c r="B1097" i="5"/>
  <c r="A1097" i="5"/>
  <c r="C1097" i="5" s="1"/>
  <c r="B1096" i="5"/>
  <c r="A1096" i="5"/>
  <c r="C1096" i="5" s="1"/>
  <c r="B1095" i="5"/>
  <c r="A1095" i="5"/>
  <c r="C1095" i="5" s="1"/>
  <c r="B1094" i="5"/>
  <c r="A1094" i="5"/>
  <c r="C1094" i="5" s="1"/>
  <c r="B1093" i="5"/>
  <c r="A1093" i="5"/>
  <c r="B1092" i="5"/>
  <c r="A1092" i="5"/>
  <c r="B1091" i="5"/>
  <c r="A1091" i="5"/>
  <c r="C1091" i="5" s="1"/>
  <c r="B1090" i="5"/>
  <c r="A1090" i="5"/>
  <c r="C1090" i="5" s="1"/>
  <c r="B1089" i="5"/>
  <c r="A1089" i="5"/>
  <c r="C1089" i="5" s="1"/>
  <c r="B1088" i="5"/>
  <c r="A1088" i="5"/>
  <c r="C1088" i="5" s="1"/>
  <c r="B1087" i="5"/>
  <c r="A1087" i="5"/>
  <c r="C1087" i="5" s="1"/>
  <c r="B1086" i="5"/>
  <c r="A1086" i="5"/>
  <c r="C1086" i="5" s="1"/>
  <c r="B1085" i="5"/>
  <c r="A1085" i="5"/>
  <c r="B1084" i="5"/>
  <c r="A1084" i="5"/>
  <c r="B1083" i="5"/>
  <c r="A1083" i="5"/>
  <c r="C1083" i="5" s="1"/>
  <c r="C1078" i="5"/>
  <c r="C1070" i="5"/>
  <c r="C1069" i="5"/>
  <c r="C1068" i="5"/>
  <c r="C1061" i="5"/>
  <c r="C1049" i="5"/>
  <c r="C1033" i="5"/>
  <c r="C1028" i="5"/>
  <c r="C1007" i="5"/>
  <c r="C998" i="5"/>
  <c r="C991" i="5"/>
  <c r="C989" i="5"/>
  <c r="C981" i="5"/>
  <c r="C971" i="5"/>
  <c r="C952" i="5"/>
  <c r="C941" i="5"/>
  <c r="C940" i="5"/>
  <c r="C932" i="5"/>
  <c r="C912" i="5"/>
  <c r="C911" i="5"/>
  <c r="C903" i="5"/>
  <c r="C902" i="5"/>
  <c r="C896" i="5"/>
  <c r="C894" i="5"/>
  <c r="C886" i="5"/>
  <c r="C878" i="5"/>
  <c r="C877" i="5"/>
  <c r="C876" i="5"/>
  <c r="C869" i="5"/>
  <c r="C857" i="5"/>
  <c r="C841" i="5"/>
  <c r="C836" i="5"/>
  <c r="C815" i="5"/>
  <c r="C806" i="5"/>
  <c r="C799" i="5"/>
  <c r="C797" i="5"/>
  <c r="C789" i="5"/>
  <c r="C779" i="5"/>
  <c r="C776" i="5"/>
  <c r="C744" i="5"/>
  <c r="C733" i="5"/>
  <c r="C732" i="5"/>
  <c r="C724" i="5"/>
  <c r="C704" i="5"/>
  <c r="C703" i="5"/>
  <c r="C695" i="5"/>
  <c r="C694" i="5"/>
  <c r="C688" i="5"/>
  <c r="C686" i="5"/>
  <c r="C678" i="5"/>
  <c r="C670" i="5"/>
  <c r="C669" i="5"/>
  <c r="C668" i="5"/>
  <c r="C661" i="5"/>
  <c r="C649" i="5"/>
  <c r="C633" i="5"/>
  <c r="C628" i="5"/>
  <c r="C610" i="5"/>
  <c r="C608" i="5"/>
  <c r="C593" i="5"/>
  <c r="C566" i="5"/>
  <c r="C550" i="5"/>
  <c r="C540" i="5"/>
  <c r="C539" i="5"/>
  <c r="C534" i="5"/>
  <c r="C533" i="5"/>
  <c r="C531" i="5"/>
  <c r="C529" i="5"/>
  <c r="C521" i="5"/>
  <c r="C508" i="5"/>
  <c r="C487" i="5"/>
  <c r="C485" i="5"/>
  <c r="C479" i="5"/>
  <c r="C477" i="5"/>
  <c r="C473" i="5"/>
  <c r="C463" i="5"/>
  <c r="C461" i="5"/>
  <c r="C460" i="5"/>
  <c r="C437" i="5"/>
  <c r="C428" i="5"/>
  <c r="C427" i="5"/>
  <c r="C423" i="5"/>
  <c r="C413" i="5"/>
  <c r="C411" i="5"/>
  <c r="C372" i="5"/>
  <c r="C363" i="5"/>
  <c r="C356" i="5"/>
  <c r="C354" i="5"/>
  <c r="C346" i="5"/>
  <c r="C336" i="5"/>
  <c r="C301" i="5"/>
  <c r="C290" i="5"/>
  <c r="C289" i="5"/>
  <c r="C281" i="5"/>
  <c r="C261" i="5"/>
  <c r="C260" i="5"/>
  <c r="C256" i="5"/>
  <c r="C249" i="5"/>
  <c r="C248" i="5"/>
  <c r="C240" i="5"/>
  <c r="C239" i="5"/>
  <c r="C234" i="5"/>
  <c r="C211" i="5"/>
  <c r="C202" i="5"/>
  <c r="C195" i="5"/>
  <c r="C191" i="5"/>
  <c r="C189" i="5"/>
  <c r="A1220" i="4"/>
  <c r="D1220" i="4" s="1"/>
  <c r="A1219" i="4"/>
  <c r="A1218" i="4"/>
  <c r="D1218" i="4" s="1"/>
  <c r="A1217" i="4"/>
  <c r="A1216" i="4"/>
  <c r="D1216" i="4" s="1"/>
  <c r="A1215" i="4"/>
  <c r="B1215" i="4" s="1"/>
  <c r="A1214" i="4"/>
  <c r="D1214" i="4" s="1"/>
  <c r="A1213" i="4"/>
  <c r="A1212" i="4"/>
  <c r="D1212" i="4" s="1"/>
  <c r="A1211" i="4"/>
  <c r="A1210" i="4"/>
  <c r="D1210" i="4" s="1"/>
  <c r="A1209" i="4"/>
  <c r="A1208" i="4"/>
  <c r="D1208" i="4" s="1"/>
  <c r="A1207" i="4"/>
  <c r="A1206" i="4"/>
  <c r="D1206" i="4" s="1"/>
  <c r="A1205" i="4"/>
  <c r="C1205" i="4" s="1"/>
  <c r="A1204" i="4"/>
  <c r="D1204" i="4" s="1"/>
  <c r="A1203" i="4"/>
  <c r="A1202" i="4"/>
  <c r="D1202" i="4" s="1"/>
  <c r="A1201" i="4"/>
  <c r="A1200" i="4"/>
  <c r="D1200" i="4" s="1"/>
  <c r="A1199" i="4"/>
  <c r="A1198" i="4"/>
  <c r="D1198" i="4" s="1"/>
  <c r="A1197" i="4"/>
  <c r="A1196" i="4"/>
  <c r="D1196" i="4" s="1"/>
  <c r="A1195" i="4"/>
  <c r="C1195" i="4" s="1"/>
  <c r="A1194" i="4"/>
  <c r="D1194" i="4" s="1"/>
  <c r="A1193" i="4"/>
  <c r="A1192" i="4"/>
  <c r="D1192" i="4" s="1"/>
  <c r="A1191" i="4"/>
  <c r="A1190" i="4"/>
  <c r="D1190" i="4" s="1"/>
  <c r="A1189" i="4"/>
  <c r="C1189" i="4" s="1"/>
  <c r="A1188" i="4"/>
  <c r="D1188" i="4" s="1"/>
  <c r="A1187" i="4"/>
  <c r="A1186" i="4"/>
  <c r="D1186" i="4" s="1"/>
  <c r="A1185" i="4"/>
  <c r="A1184" i="4"/>
  <c r="D1184" i="4" s="1"/>
  <c r="A1183" i="4"/>
  <c r="A1182" i="4"/>
  <c r="D1182" i="4" s="1"/>
  <c r="A1181" i="4"/>
  <c r="A1180" i="4"/>
  <c r="D1180" i="4" s="1"/>
  <c r="A1179" i="4"/>
  <c r="C1179" i="4" s="1"/>
  <c r="A1178" i="4"/>
  <c r="D1178" i="4" s="1"/>
  <c r="A1177" i="4"/>
  <c r="A1176" i="4"/>
  <c r="D1176" i="4" s="1"/>
  <c r="A1175" i="4"/>
  <c r="A1174" i="4"/>
  <c r="D1174" i="4" s="1"/>
  <c r="A1173" i="4"/>
  <c r="C1173" i="4" s="1"/>
  <c r="A1172" i="4"/>
  <c r="D1172" i="4" s="1"/>
  <c r="A1171" i="4"/>
  <c r="A1170" i="4"/>
  <c r="D1170" i="4" s="1"/>
  <c r="A1169" i="4"/>
  <c r="A1168" i="4"/>
  <c r="D1168" i="4" s="1"/>
  <c r="A1167" i="4"/>
  <c r="A1166" i="4"/>
  <c r="D1166" i="4" s="1"/>
  <c r="A1165" i="4"/>
  <c r="A1164" i="4"/>
  <c r="D1164" i="4" s="1"/>
  <c r="A1163" i="4"/>
  <c r="A1162" i="4"/>
  <c r="D1162" i="4" s="1"/>
  <c r="A1161" i="4"/>
  <c r="A1160" i="4"/>
  <c r="D1160" i="4" s="1"/>
  <c r="A1159" i="4"/>
  <c r="A1158" i="4"/>
  <c r="D1158" i="4" s="1"/>
  <c r="A1157" i="4"/>
  <c r="C1157" i="4" s="1"/>
  <c r="A1156" i="4"/>
  <c r="D1156" i="4" s="1"/>
  <c r="A1155" i="4"/>
  <c r="A1154" i="4"/>
  <c r="D1154" i="4" s="1"/>
  <c r="A1153" i="4"/>
  <c r="B1153" i="4" s="1"/>
  <c r="A1152" i="4"/>
  <c r="D1152" i="4" s="1"/>
  <c r="A1151" i="4"/>
  <c r="B1151" i="4" s="1"/>
  <c r="A1150" i="4"/>
  <c r="D1150" i="4" s="1"/>
  <c r="A1149" i="4"/>
  <c r="B1149" i="4" s="1"/>
  <c r="A1148" i="4"/>
  <c r="D1148" i="4" s="1"/>
  <c r="A1147" i="4"/>
  <c r="B1147" i="4" s="1"/>
  <c r="A1146" i="4"/>
  <c r="D1146" i="4" s="1"/>
  <c r="A1145" i="4"/>
  <c r="B1145" i="4" s="1"/>
  <c r="A1144" i="4"/>
  <c r="D1144" i="4" s="1"/>
  <c r="A1143" i="4"/>
  <c r="B1143" i="4" s="1"/>
  <c r="A1142" i="4"/>
  <c r="D1142" i="4" s="1"/>
  <c r="A1141" i="4"/>
  <c r="B1141" i="4" s="1"/>
  <c r="A1140" i="4"/>
  <c r="D1140" i="4" s="1"/>
  <c r="A1139" i="4"/>
  <c r="B1139" i="4" s="1"/>
  <c r="A1138" i="4"/>
  <c r="D1138" i="4" s="1"/>
  <c r="A1137" i="4"/>
  <c r="B1137" i="4" s="1"/>
  <c r="A1136" i="4"/>
  <c r="D1136" i="4" s="1"/>
  <c r="A1135" i="4"/>
  <c r="B1135" i="4" s="1"/>
  <c r="A1134" i="4"/>
  <c r="D1134" i="4" s="1"/>
  <c r="A1133" i="4"/>
  <c r="B1133" i="4" s="1"/>
  <c r="A1132" i="4"/>
  <c r="D1132" i="4" s="1"/>
  <c r="A1131" i="4"/>
  <c r="B1131" i="4" s="1"/>
  <c r="A1130" i="4"/>
  <c r="D1130" i="4" s="1"/>
  <c r="A1129" i="4"/>
  <c r="B1129" i="4" s="1"/>
  <c r="A1128" i="4"/>
  <c r="D1128" i="4" s="1"/>
  <c r="A1127" i="4"/>
  <c r="B1127" i="4" s="1"/>
  <c r="A1126" i="4"/>
  <c r="D1126" i="4" s="1"/>
  <c r="A1125" i="4"/>
  <c r="B1125" i="4" s="1"/>
  <c r="A1124" i="4"/>
  <c r="D1124" i="4" s="1"/>
  <c r="A1123" i="4"/>
  <c r="B1123" i="4" s="1"/>
  <c r="A1122" i="4"/>
  <c r="D1122" i="4" s="1"/>
  <c r="A1121" i="4"/>
  <c r="B1121" i="4" s="1"/>
  <c r="A1120" i="4"/>
  <c r="D1120" i="4" s="1"/>
  <c r="A1119" i="4"/>
  <c r="B1119" i="4" s="1"/>
  <c r="A1118" i="4"/>
  <c r="D1118" i="4" s="1"/>
  <c r="A1117" i="4"/>
  <c r="B1117" i="4" s="1"/>
  <c r="A1116" i="4"/>
  <c r="D1116" i="4" s="1"/>
  <c r="A1115" i="4"/>
  <c r="B1115" i="4" s="1"/>
  <c r="A1114" i="4"/>
  <c r="D1114" i="4" s="1"/>
  <c r="A1113" i="4"/>
  <c r="B1113" i="4" s="1"/>
  <c r="A1112" i="4"/>
  <c r="D1112" i="4" s="1"/>
  <c r="A1111" i="4"/>
  <c r="B1111" i="4" s="1"/>
  <c r="A1110" i="4"/>
  <c r="D1110" i="4" s="1"/>
  <c r="A1109" i="4"/>
  <c r="B1109" i="4" s="1"/>
  <c r="A1108" i="4"/>
  <c r="D1108" i="4" s="1"/>
  <c r="A1107" i="4"/>
  <c r="B1107" i="4" s="1"/>
  <c r="A1106" i="4"/>
  <c r="D1106" i="4" s="1"/>
  <c r="A1105" i="4"/>
  <c r="B1105" i="4" s="1"/>
  <c r="A1104" i="4"/>
  <c r="D1104" i="4" s="1"/>
  <c r="A1103" i="4"/>
  <c r="B1103" i="4" s="1"/>
  <c r="A1102" i="4"/>
  <c r="D1102" i="4" s="1"/>
  <c r="A1101" i="4"/>
  <c r="B1101" i="4" s="1"/>
  <c r="A1100" i="4"/>
  <c r="D1100" i="4" s="1"/>
  <c r="A1099" i="4"/>
  <c r="B1099" i="4" s="1"/>
  <c r="A1098" i="4"/>
  <c r="D1098" i="4" s="1"/>
  <c r="A1097" i="4"/>
  <c r="B1097" i="4" s="1"/>
  <c r="A1096" i="4"/>
  <c r="D1096" i="4" s="1"/>
  <c r="A1095" i="4"/>
  <c r="B1095" i="4" s="1"/>
  <c r="A1094" i="4"/>
  <c r="D1094" i="4" s="1"/>
  <c r="A1093" i="4"/>
  <c r="B1093" i="4" s="1"/>
  <c r="A1092" i="4"/>
  <c r="D1092" i="4" s="1"/>
  <c r="A1091" i="4"/>
  <c r="B1091" i="4" s="1"/>
  <c r="A1090" i="4"/>
  <c r="D1090" i="4" s="1"/>
  <c r="A1089" i="4"/>
  <c r="B1089" i="4" s="1"/>
  <c r="A1088" i="4"/>
  <c r="D1088" i="4" s="1"/>
  <c r="A1087" i="4"/>
  <c r="B1087" i="4" s="1"/>
  <c r="A1086" i="4"/>
  <c r="D1086" i="4" s="1"/>
  <c r="A1085" i="4"/>
  <c r="B1085" i="4" s="1"/>
  <c r="A1084" i="4"/>
  <c r="D1084" i="4" s="1"/>
  <c r="A1083" i="4"/>
  <c r="B1083" i="4" s="1"/>
  <c r="N1220" i="1"/>
  <c r="K1220" i="1"/>
  <c r="J1220" i="1"/>
  <c r="I1220" i="1"/>
  <c r="F1220" i="1"/>
  <c r="N1219" i="1"/>
  <c r="P1219" i="1" s="1"/>
  <c r="K1219" i="1"/>
  <c r="J1219" i="1"/>
  <c r="I1219" i="1"/>
  <c r="F1219" i="1"/>
  <c r="L1220" i="1" s="1"/>
  <c r="N1218" i="1"/>
  <c r="O1218" i="1" s="1"/>
  <c r="K1218" i="1"/>
  <c r="J1218" i="1"/>
  <c r="I1218" i="1"/>
  <c r="F1218" i="1"/>
  <c r="L1219" i="1" s="1"/>
  <c r="N1217" i="1"/>
  <c r="K1217" i="1"/>
  <c r="J1217" i="1"/>
  <c r="I1217" i="1"/>
  <c r="F1217" i="1"/>
  <c r="L1218" i="1" s="1"/>
  <c r="N1216" i="1"/>
  <c r="K1216" i="1"/>
  <c r="J1216" i="1"/>
  <c r="I1216" i="1"/>
  <c r="F1216" i="1"/>
  <c r="L1217" i="1" s="1"/>
  <c r="N1215" i="1"/>
  <c r="P1215" i="1" s="1"/>
  <c r="K1215" i="1"/>
  <c r="J1215" i="1"/>
  <c r="I1215" i="1"/>
  <c r="F1215" i="1"/>
  <c r="L1216" i="1" s="1"/>
  <c r="N1214" i="1"/>
  <c r="Q1214" i="1" s="1"/>
  <c r="K1214" i="1"/>
  <c r="J1214" i="1"/>
  <c r="I1214" i="1"/>
  <c r="F1214" i="1"/>
  <c r="L1215" i="1" s="1"/>
  <c r="N1213" i="1"/>
  <c r="Q1213" i="1" s="1"/>
  <c r="K1213" i="1"/>
  <c r="J1213" i="1"/>
  <c r="I1213" i="1"/>
  <c r="F1213" i="1"/>
  <c r="L1214" i="1" s="1"/>
  <c r="N1212" i="1"/>
  <c r="K1212" i="1"/>
  <c r="J1212" i="1"/>
  <c r="I1212" i="1"/>
  <c r="F1212" i="1"/>
  <c r="L1213" i="1" s="1"/>
  <c r="N1211" i="1"/>
  <c r="Q1211" i="1" s="1"/>
  <c r="K1211" i="1"/>
  <c r="J1211" i="1"/>
  <c r="I1211" i="1"/>
  <c r="F1211" i="1"/>
  <c r="L1212" i="1" s="1"/>
  <c r="N1210" i="1"/>
  <c r="O1210" i="1" s="1"/>
  <c r="K1210" i="1"/>
  <c r="J1210" i="1"/>
  <c r="I1210" i="1"/>
  <c r="F1210" i="1"/>
  <c r="L1211" i="1" s="1"/>
  <c r="N1209" i="1"/>
  <c r="O1209" i="1" s="1"/>
  <c r="K1209" i="1"/>
  <c r="J1209" i="1"/>
  <c r="I1209" i="1"/>
  <c r="F1209" i="1"/>
  <c r="L1210" i="1" s="1"/>
  <c r="N1208" i="1"/>
  <c r="Q1208" i="1" s="1"/>
  <c r="K1208" i="1"/>
  <c r="J1208" i="1"/>
  <c r="I1208" i="1"/>
  <c r="F1208" i="1"/>
  <c r="L1209" i="1" s="1"/>
  <c r="N1207" i="1"/>
  <c r="P1207" i="1" s="1"/>
  <c r="K1207" i="1"/>
  <c r="J1207" i="1"/>
  <c r="I1207" i="1"/>
  <c r="F1207" i="1"/>
  <c r="L1208" i="1" s="1"/>
  <c r="N1206" i="1"/>
  <c r="Q1206" i="1" s="1"/>
  <c r="K1206" i="1"/>
  <c r="J1206" i="1"/>
  <c r="I1206" i="1"/>
  <c r="F1206" i="1"/>
  <c r="L1207" i="1" s="1"/>
  <c r="N1205" i="1"/>
  <c r="P1205" i="1" s="1"/>
  <c r="K1205" i="1"/>
  <c r="J1205" i="1"/>
  <c r="I1205" i="1"/>
  <c r="F1205" i="1"/>
  <c r="L1206" i="1" s="1"/>
  <c r="N1204" i="1"/>
  <c r="K1204" i="1"/>
  <c r="J1204" i="1"/>
  <c r="I1204" i="1"/>
  <c r="F1204" i="1"/>
  <c r="L1205" i="1" s="1"/>
  <c r="N1203" i="1"/>
  <c r="K1203" i="1"/>
  <c r="J1203" i="1"/>
  <c r="I1203" i="1"/>
  <c r="F1203" i="1"/>
  <c r="L1204" i="1" s="1"/>
  <c r="N1202" i="1"/>
  <c r="O1202" i="1" s="1"/>
  <c r="K1202" i="1"/>
  <c r="J1202" i="1"/>
  <c r="I1202" i="1"/>
  <c r="F1202" i="1"/>
  <c r="L1203" i="1" s="1"/>
  <c r="N1201" i="1"/>
  <c r="K1201" i="1"/>
  <c r="J1201" i="1"/>
  <c r="I1201" i="1"/>
  <c r="F1201" i="1"/>
  <c r="L1202" i="1" s="1"/>
  <c r="N1200" i="1"/>
  <c r="Q1200" i="1" s="1"/>
  <c r="K1200" i="1"/>
  <c r="J1200" i="1"/>
  <c r="I1200" i="1"/>
  <c r="F1200" i="1"/>
  <c r="L1201" i="1" s="1"/>
  <c r="N1199" i="1"/>
  <c r="P1199" i="1" s="1"/>
  <c r="K1199" i="1"/>
  <c r="J1199" i="1"/>
  <c r="I1199" i="1"/>
  <c r="F1199" i="1"/>
  <c r="L1200" i="1" s="1"/>
  <c r="N1198" i="1"/>
  <c r="Q1198" i="1" s="1"/>
  <c r="K1198" i="1"/>
  <c r="J1198" i="1"/>
  <c r="I1198" i="1"/>
  <c r="F1198" i="1"/>
  <c r="L1199" i="1" s="1"/>
  <c r="N1197" i="1"/>
  <c r="P1197" i="1" s="1"/>
  <c r="K1197" i="1"/>
  <c r="J1197" i="1"/>
  <c r="I1197" i="1"/>
  <c r="F1197" i="1"/>
  <c r="L1198" i="1" s="1"/>
  <c r="N1196" i="1"/>
  <c r="K1196" i="1"/>
  <c r="J1196" i="1"/>
  <c r="I1196" i="1"/>
  <c r="F1196" i="1"/>
  <c r="L1197" i="1" s="1"/>
  <c r="N1195" i="1"/>
  <c r="K1195" i="1"/>
  <c r="J1195" i="1"/>
  <c r="I1195" i="1"/>
  <c r="F1195" i="1"/>
  <c r="L1196" i="1" s="1"/>
  <c r="N1194" i="1"/>
  <c r="O1194" i="1" s="1"/>
  <c r="K1194" i="1"/>
  <c r="J1194" i="1"/>
  <c r="I1194" i="1"/>
  <c r="F1194" i="1"/>
  <c r="L1195" i="1" s="1"/>
  <c r="N1193" i="1"/>
  <c r="O1193" i="1" s="1"/>
  <c r="K1193" i="1"/>
  <c r="J1193" i="1"/>
  <c r="I1193" i="1"/>
  <c r="F1193" i="1"/>
  <c r="L1194" i="1" s="1"/>
  <c r="N1192" i="1"/>
  <c r="Q1192" i="1" s="1"/>
  <c r="K1192" i="1"/>
  <c r="J1192" i="1"/>
  <c r="I1192" i="1"/>
  <c r="F1192" i="1"/>
  <c r="L1193" i="1" s="1"/>
  <c r="N1191" i="1"/>
  <c r="P1191" i="1" s="1"/>
  <c r="K1191" i="1"/>
  <c r="J1191" i="1"/>
  <c r="I1191" i="1"/>
  <c r="F1191" i="1"/>
  <c r="L1192" i="1" s="1"/>
  <c r="N1190" i="1"/>
  <c r="Q1190" i="1" s="1"/>
  <c r="K1190" i="1"/>
  <c r="J1190" i="1"/>
  <c r="I1190" i="1"/>
  <c r="F1190" i="1"/>
  <c r="L1191" i="1" s="1"/>
  <c r="N1189" i="1"/>
  <c r="Q1189" i="1" s="1"/>
  <c r="K1189" i="1"/>
  <c r="J1189" i="1"/>
  <c r="I1189" i="1"/>
  <c r="F1189" i="1"/>
  <c r="L1190" i="1" s="1"/>
  <c r="M1190" i="1" s="1"/>
  <c r="N1188" i="1"/>
  <c r="K1188" i="1"/>
  <c r="J1188" i="1"/>
  <c r="I1188" i="1"/>
  <c r="F1188" i="1"/>
  <c r="L1189" i="1" s="1"/>
  <c r="N1187" i="1"/>
  <c r="Q1187" i="1" s="1"/>
  <c r="K1187" i="1"/>
  <c r="J1187" i="1"/>
  <c r="I1187" i="1"/>
  <c r="F1187" i="1"/>
  <c r="L1188" i="1" s="1"/>
  <c r="M1188" i="1" s="1"/>
  <c r="N1186" i="1"/>
  <c r="O1186" i="1" s="1"/>
  <c r="K1186" i="1"/>
  <c r="J1186" i="1"/>
  <c r="I1186" i="1"/>
  <c r="F1186" i="1"/>
  <c r="L1187" i="1" s="1"/>
  <c r="N1185" i="1"/>
  <c r="A1185" i="1" s="1"/>
  <c r="K1185" i="1"/>
  <c r="J1185" i="1"/>
  <c r="I1185" i="1"/>
  <c r="F1185" i="1"/>
  <c r="L1186" i="1" s="1"/>
  <c r="N1184" i="1"/>
  <c r="O1184" i="1" s="1"/>
  <c r="K1184" i="1"/>
  <c r="J1184" i="1"/>
  <c r="I1184" i="1"/>
  <c r="F1184" i="1"/>
  <c r="L1185" i="1" s="1"/>
  <c r="M1185" i="1" s="1"/>
  <c r="N1183" i="1"/>
  <c r="P1183" i="1" s="1"/>
  <c r="K1183" i="1"/>
  <c r="J1183" i="1"/>
  <c r="I1183" i="1"/>
  <c r="F1183" i="1"/>
  <c r="L1184" i="1" s="1"/>
  <c r="N1182" i="1"/>
  <c r="K1182" i="1"/>
  <c r="J1182" i="1"/>
  <c r="I1182" i="1"/>
  <c r="F1182" i="1"/>
  <c r="L1183" i="1" s="1"/>
  <c r="N1181" i="1"/>
  <c r="P1181" i="1" s="1"/>
  <c r="K1181" i="1"/>
  <c r="J1181" i="1"/>
  <c r="I1181" i="1"/>
  <c r="F1181" i="1"/>
  <c r="L1182" i="1" s="1"/>
  <c r="N1180" i="1"/>
  <c r="K1180" i="1"/>
  <c r="J1180" i="1"/>
  <c r="I1180" i="1"/>
  <c r="F1180" i="1"/>
  <c r="L1181" i="1" s="1"/>
  <c r="N1179" i="1"/>
  <c r="P1179" i="1" s="1"/>
  <c r="K1179" i="1"/>
  <c r="J1179" i="1"/>
  <c r="I1179" i="1"/>
  <c r="F1179" i="1"/>
  <c r="L1180" i="1" s="1"/>
  <c r="N1178" i="1"/>
  <c r="O1178" i="1" s="1"/>
  <c r="K1178" i="1"/>
  <c r="J1178" i="1"/>
  <c r="I1178" i="1"/>
  <c r="F1178" i="1"/>
  <c r="L1179" i="1" s="1"/>
  <c r="N1177" i="1"/>
  <c r="A1177" i="1" s="1"/>
  <c r="K1177" i="1"/>
  <c r="J1177" i="1"/>
  <c r="I1177" i="1"/>
  <c r="F1177" i="1"/>
  <c r="L1178" i="1" s="1"/>
  <c r="N1176" i="1"/>
  <c r="P1176" i="1" s="1"/>
  <c r="K1176" i="1"/>
  <c r="J1176" i="1"/>
  <c r="I1176" i="1"/>
  <c r="F1176" i="1"/>
  <c r="L1177" i="1" s="1"/>
  <c r="N1175" i="1"/>
  <c r="P1175" i="1" s="1"/>
  <c r="K1175" i="1"/>
  <c r="J1175" i="1"/>
  <c r="I1175" i="1"/>
  <c r="F1175" i="1"/>
  <c r="L1176" i="1" s="1"/>
  <c r="N1174" i="1"/>
  <c r="A1174" i="1" s="1"/>
  <c r="K1174" i="1"/>
  <c r="J1174" i="1"/>
  <c r="I1174" i="1"/>
  <c r="F1174" i="1"/>
  <c r="L1175" i="1" s="1"/>
  <c r="N1173" i="1"/>
  <c r="Q1173" i="1" s="1"/>
  <c r="K1173" i="1"/>
  <c r="J1173" i="1"/>
  <c r="I1173" i="1"/>
  <c r="F1173" i="1"/>
  <c r="L1174" i="1" s="1"/>
  <c r="N1172" i="1"/>
  <c r="K1172" i="1"/>
  <c r="J1172" i="1"/>
  <c r="I1172" i="1"/>
  <c r="F1172" i="1"/>
  <c r="L1173" i="1" s="1"/>
  <c r="N1171" i="1"/>
  <c r="Q1171" i="1" s="1"/>
  <c r="K1171" i="1"/>
  <c r="J1171" i="1"/>
  <c r="I1171" i="1"/>
  <c r="F1171" i="1"/>
  <c r="L1172" i="1" s="1"/>
  <c r="N1170" i="1"/>
  <c r="O1170" i="1" s="1"/>
  <c r="K1170" i="1"/>
  <c r="J1170" i="1"/>
  <c r="I1170" i="1"/>
  <c r="F1170" i="1"/>
  <c r="L1171" i="1" s="1"/>
  <c r="M1171" i="1" s="1"/>
  <c r="N1169" i="1"/>
  <c r="O1169" i="1" s="1"/>
  <c r="K1169" i="1"/>
  <c r="J1169" i="1"/>
  <c r="I1169" i="1"/>
  <c r="F1169" i="1"/>
  <c r="L1170" i="1" s="1"/>
  <c r="N1168" i="1"/>
  <c r="Q1168" i="1" s="1"/>
  <c r="K1168" i="1"/>
  <c r="J1168" i="1"/>
  <c r="I1168" i="1"/>
  <c r="F1168" i="1"/>
  <c r="L1169" i="1" s="1"/>
  <c r="N1167" i="1"/>
  <c r="P1167" i="1" s="1"/>
  <c r="K1167" i="1"/>
  <c r="J1167" i="1"/>
  <c r="I1167" i="1"/>
  <c r="F1167" i="1"/>
  <c r="L1168" i="1" s="1"/>
  <c r="M1168" i="1" s="1"/>
  <c r="N1166" i="1"/>
  <c r="Q1166" i="1" s="1"/>
  <c r="K1166" i="1"/>
  <c r="J1166" i="1"/>
  <c r="I1166" i="1"/>
  <c r="F1166" i="1"/>
  <c r="L1167" i="1" s="1"/>
  <c r="N1165" i="1"/>
  <c r="P1165" i="1" s="1"/>
  <c r="K1165" i="1"/>
  <c r="J1165" i="1"/>
  <c r="I1165" i="1"/>
  <c r="F1165" i="1"/>
  <c r="L1166" i="1" s="1"/>
  <c r="N1164" i="1"/>
  <c r="K1164" i="1"/>
  <c r="J1164" i="1"/>
  <c r="I1164" i="1"/>
  <c r="F1164" i="1"/>
  <c r="L1165" i="1" s="1"/>
  <c r="N1163" i="1"/>
  <c r="O1163" i="1" s="1"/>
  <c r="K1163" i="1"/>
  <c r="J1163" i="1"/>
  <c r="I1163" i="1"/>
  <c r="F1163" i="1"/>
  <c r="L1164" i="1" s="1"/>
  <c r="N1162" i="1"/>
  <c r="O1162" i="1" s="1"/>
  <c r="K1162" i="1"/>
  <c r="J1162" i="1"/>
  <c r="I1162" i="1"/>
  <c r="F1162" i="1"/>
  <c r="L1163" i="1" s="1"/>
  <c r="N1161" i="1"/>
  <c r="K1161" i="1"/>
  <c r="J1161" i="1"/>
  <c r="I1161" i="1"/>
  <c r="F1161" i="1"/>
  <c r="L1162" i="1" s="1"/>
  <c r="N1160" i="1"/>
  <c r="K1160" i="1"/>
  <c r="J1160" i="1"/>
  <c r="I1160" i="1"/>
  <c r="F1160" i="1"/>
  <c r="L1161" i="1" s="1"/>
  <c r="N1159" i="1"/>
  <c r="Q1159" i="1" s="1"/>
  <c r="K1159" i="1"/>
  <c r="J1159" i="1"/>
  <c r="I1159" i="1"/>
  <c r="F1159" i="1"/>
  <c r="L1160" i="1" s="1"/>
  <c r="N1158" i="1"/>
  <c r="Q1158" i="1" s="1"/>
  <c r="K1158" i="1"/>
  <c r="J1158" i="1"/>
  <c r="I1158" i="1"/>
  <c r="F1158" i="1"/>
  <c r="L1159" i="1" s="1"/>
  <c r="N1157" i="1"/>
  <c r="P1157" i="1" s="1"/>
  <c r="K1157" i="1"/>
  <c r="J1157" i="1"/>
  <c r="I1157" i="1"/>
  <c r="F1157" i="1"/>
  <c r="L1158" i="1" s="1"/>
  <c r="N1156" i="1"/>
  <c r="K1156" i="1"/>
  <c r="J1156" i="1"/>
  <c r="I1156" i="1"/>
  <c r="F1156" i="1"/>
  <c r="L1157" i="1" s="1"/>
  <c r="N1155" i="1"/>
  <c r="P1155" i="1" s="1"/>
  <c r="K1155" i="1"/>
  <c r="J1155" i="1"/>
  <c r="I1155" i="1"/>
  <c r="F1155" i="1"/>
  <c r="L1156" i="1" s="1"/>
  <c r="N1154" i="1"/>
  <c r="O1154" i="1" s="1"/>
  <c r="K1154" i="1"/>
  <c r="J1154" i="1"/>
  <c r="I1154" i="1"/>
  <c r="F1154" i="1"/>
  <c r="L1155" i="1" s="1"/>
  <c r="N1153" i="1"/>
  <c r="P1153" i="1" s="1"/>
  <c r="K1153" i="1"/>
  <c r="J1153" i="1"/>
  <c r="I1153" i="1"/>
  <c r="F1153" i="1"/>
  <c r="L1154" i="1" s="1"/>
  <c r="N1152" i="1"/>
  <c r="Q1152" i="1" s="1"/>
  <c r="K1152" i="1"/>
  <c r="J1152" i="1"/>
  <c r="I1152" i="1"/>
  <c r="F1152" i="1"/>
  <c r="L1153" i="1" s="1"/>
  <c r="N1151" i="1"/>
  <c r="Q1151" i="1" s="1"/>
  <c r="K1151" i="1"/>
  <c r="J1151" i="1"/>
  <c r="I1151" i="1"/>
  <c r="F1151" i="1"/>
  <c r="L1152" i="1" s="1"/>
  <c r="N1150" i="1"/>
  <c r="Q1150" i="1" s="1"/>
  <c r="K1150" i="1"/>
  <c r="J1150" i="1"/>
  <c r="I1150" i="1"/>
  <c r="F1150" i="1"/>
  <c r="L1151" i="1" s="1"/>
  <c r="N1149" i="1"/>
  <c r="Q1149" i="1" s="1"/>
  <c r="K1149" i="1"/>
  <c r="J1149" i="1"/>
  <c r="I1149" i="1"/>
  <c r="F1149" i="1"/>
  <c r="L1150" i="1" s="1"/>
  <c r="M1150" i="1" s="1"/>
  <c r="N1148" i="1"/>
  <c r="Q1148" i="1" s="1"/>
  <c r="K1148" i="1"/>
  <c r="J1148" i="1"/>
  <c r="I1148" i="1"/>
  <c r="F1148" i="1"/>
  <c r="L1149" i="1" s="1"/>
  <c r="N1147" i="1"/>
  <c r="P1147" i="1" s="1"/>
  <c r="K1147" i="1"/>
  <c r="J1147" i="1"/>
  <c r="I1147" i="1"/>
  <c r="F1147" i="1"/>
  <c r="L1148" i="1" s="1"/>
  <c r="N1146" i="1"/>
  <c r="K1146" i="1"/>
  <c r="J1146" i="1"/>
  <c r="I1146" i="1"/>
  <c r="F1146" i="1"/>
  <c r="L1147" i="1" s="1"/>
  <c r="N1145" i="1"/>
  <c r="K1145" i="1"/>
  <c r="J1145" i="1"/>
  <c r="I1145" i="1"/>
  <c r="F1145" i="1"/>
  <c r="L1146" i="1" s="1"/>
  <c r="N1144" i="1"/>
  <c r="P1144" i="1" s="1"/>
  <c r="K1144" i="1"/>
  <c r="J1144" i="1"/>
  <c r="I1144" i="1"/>
  <c r="F1144" i="1"/>
  <c r="L1145" i="1" s="1"/>
  <c r="N1143" i="1"/>
  <c r="P1143" i="1" s="1"/>
  <c r="K1143" i="1"/>
  <c r="J1143" i="1"/>
  <c r="I1143" i="1"/>
  <c r="F1143" i="1"/>
  <c r="L1144" i="1" s="1"/>
  <c r="M1144" i="1" s="1"/>
  <c r="N1142" i="1"/>
  <c r="K1142" i="1"/>
  <c r="J1142" i="1"/>
  <c r="I1142" i="1"/>
  <c r="F1142" i="1"/>
  <c r="L1143" i="1" s="1"/>
  <c r="N1141" i="1"/>
  <c r="P1141" i="1" s="1"/>
  <c r="K1141" i="1"/>
  <c r="J1141" i="1"/>
  <c r="I1141" i="1"/>
  <c r="F1141" i="1"/>
  <c r="L1142" i="1" s="1"/>
  <c r="N1140" i="1"/>
  <c r="Q1140" i="1" s="1"/>
  <c r="K1140" i="1"/>
  <c r="J1140" i="1"/>
  <c r="I1140" i="1"/>
  <c r="F1140" i="1"/>
  <c r="L1141" i="1" s="1"/>
  <c r="N1139" i="1"/>
  <c r="Q1139" i="1" s="1"/>
  <c r="K1139" i="1"/>
  <c r="J1139" i="1"/>
  <c r="I1139" i="1"/>
  <c r="F1139" i="1"/>
  <c r="L1140" i="1" s="1"/>
  <c r="N1138" i="1"/>
  <c r="Q1138" i="1" s="1"/>
  <c r="K1138" i="1"/>
  <c r="J1138" i="1"/>
  <c r="I1138" i="1"/>
  <c r="F1138" i="1"/>
  <c r="L1139" i="1" s="1"/>
  <c r="N1137" i="1"/>
  <c r="P1137" i="1" s="1"/>
  <c r="K1137" i="1"/>
  <c r="J1137" i="1"/>
  <c r="I1137" i="1"/>
  <c r="F1137" i="1"/>
  <c r="L1138" i="1" s="1"/>
  <c r="N1136" i="1"/>
  <c r="P1136" i="1" s="1"/>
  <c r="K1136" i="1"/>
  <c r="I1136" i="1"/>
  <c r="F1136" i="1"/>
  <c r="L1137" i="1" s="1"/>
  <c r="N1135" i="1"/>
  <c r="K1135" i="1"/>
  <c r="I1135" i="1"/>
  <c r="F1135" i="1"/>
  <c r="L1136" i="1" s="1"/>
  <c r="N1134" i="1"/>
  <c r="K1134" i="1"/>
  <c r="I1134" i="1"/>
  <c r="F1134" i="1"/>
  <c r="L1135" i="1" s="1"/>
  <c r="N1133" i="1"/>
  <c r="K1133" i="1"/>
  <c r="I1133" i="1"/>
  <c r="F1133" i="1"/>
  <c r="L1134" i="1" s="1"/>
  <c r="N1132" i="1"/>
  <c r="A1132" i="1" s="1"/>
  <c r="K1132" i="1"/>
  <c r="I1132" i="1"/>
  <c r="F1132" i="1"/>
  <c r="L1133" i="1" s="1"/>
  <c r="N1131" i="1"/>
  <c r="P1131" i="1" s="1"/>
  <c r="K1131" i="1"/>
  <c r="I1131" i="1"/>
  <c r="F1131" i="1"/>
  <c r="L1132" i="1" s="1"/>
  <c r="N1130" i="1"/>
  <c r="O1130" i="1" s="1"/>
  <c r="K1130" i="1"/>
  <c r="I1130" i="1"/>
  <c r="F1130" i="1"/>
  <c r="L1131" i="1" s="1"/>
  <c r="N1129" i="1"/>
  <c r="Q1129" i="1" s="1"/>
  <c r="K1129" i="1"/>
  <c r="J1129" i="1"/>
  <c r="I1129" i="1"/>
  <c r="F1129" i="1"/>
  <c r="L1130" i="1" s="1"/>
  <c r="N1128" i="1"/>
  <c r="O1128" i="1" s="1"/>
  <c r="K1128" i="1"/>
  <c r="J1128" i="1"/>
  <c r="I1128" i="1"/>
  <c r="F1128" i="1"/>
  <c r="L1129" i="1" s="1"/>
  <c r="N1127" i="1"/>
  <c r="Q1127" i="1" s="1"/>
  <c r="K1127" i="1"/>
  <c r="J1127" i="1"/>
  <c r="I1127" i="1"/>
  <c r="F1127" i="1"/>
  <c r="L1128" i="1" s="1"/>
  <c r="N1126" i="1"/>
  <c r="Q1126" i="1" s="1"/>
  <c r="K1126" i="1"/>
  <c r="J1126" i="1"/>
  <c r="I1126" i="1"/>
  <c r="F1126" i="1"/>
  <c r="L1127" i="1" s="1"/>
  <c r="N1125" i="1"/>
  <c r="Q1125" i="1" s="1"/>
  <c r="K1125" i="1"/>
  <c r="J1125" i="1"/>
  <c r="I1125" i="1"/>
  <c r="F1125" i="1"/>
  <c r="L1126" i="1" s="1"/>
  <c r="N1124" i="1"/>
  <c r="K1124" i="1"/>
  <c r="J1124" i="1"/>
  <c r="I1124" i="1"/>
  <c r="F1124" i="1"/>
  <c r="L1125" i="1" s="1"/>
  <c r="N1123" i="1"/>
  <c r="Q1123" i="1" s="1"/>
  <c r="K1123" i="1"/>
  <c r="J1123" i="1"/>
  <c r="I1123" i="1"/>
  <c r="F1123" i="1"/>
  <c r="L1124" i="1" s="1"/>
  <c r="N1122" i="1"/>
  <c r="Q1122" i="1" s="1"/>
  <c r="K1122" i="1"/>
  <c r="J1122" i="1"/>
  <c r="I1122" i="1"/>
  <c r="F1122" i="1"/>
  <c r="L1123" i="1" s="1"/>
  <c r="N1121" i="1"/>
  <c r="K1121" i="1"/>
  <c r="J1121" i="1"/>
  <c r="I1121" i="1"/>
  <c r="F1121" i="1"/>
  <c r="L1122" i="1" s="1"/>
  <c r="N1120" i="1"/>
  <c r="P1120" i="1" s="1"/>
  <c r="K1120" i="1"/>
  <c r="J1120" i="1"/>
  <c r="I1120" i="1"/>
  <c r="F1120" i="1"/>
  <c r="L1121" i="1" s="1"/>
  <c r="N1119" i="1"/>
  <c r="P1119" i="1" s="1"/>
  <c r="K1119" i="1"/>
  <c r="J1119" i="1"/>
  <c r="I1119" i="1"/>
  <c r="F1119" i="1"/>
  <c r="L1120" i="1" s="1"/>
  <c r="N1118" i="1"/>
  <c r="O1118" i="1" s="1"/>
  <c r="K1118" i="1"/>
  <c r="J1118" i="1"/>
  <c r="I1118" i="1"/>
  <c r="F1118" i="1"/>
  <c r="L1119" i="1" s="1"/>
  <c r="N1117" i="1"/>
  <c r="O1117" i="1" s="1"/>
  <c r="K1117" i="1"/>
  <c r="J1117" i="1"/>
  <c r="I1117" i="1"/>
  <c r="F1117" i="1"/>
  <c r="L1118" i="1" s="1"/>
  <c r="N1116" i="1"/>
  <c r="P1116" i="1" s="1"/>
  <c r="K1116" i="1"/>
  <c r="J1116" i="1"/>
  <c r="I1116" i="1"/>
  <c r="F1116" i="1"/>
  <c r="L1117" i="1" s="1"/>
  <c r="N1115" i="1"/>
  <c r="Q1115" i="1" s="1"/>
  <c r="K1115" i="1"/>
  <c r="J1115" i="1"/>
  <c r="I1115" i="1"/>
  <c r="F1115" i="1"/>
  <c r="L1116" i="1" s="1"/>
  <c r="N1114" i="1"/>
  <c r="Q1114" i="1" s="1"/>
  <c r="K1114" i="1"/>
  <c r="J1114" i="1"/>
  <c r="I1114" i="1"/>
  <c r="F1114" i="1"/>
  <c r="L1115" i="1" s="1"/>
  <c r="N1113" i="1"/>
  <c r="Q1113" i="1" s="1"/>
  <c r="K1113" i="1"/>
  <c r="J1113" i="1"/>
  <c r="I1113" i="1"/>
  <c r="F1113" i="1"/>
  <c r="L1114" i="1" s="1"/>
  <c r="N1112" i="1"/>
  <c r="Q1112" i="1" s="1"/>
  <c r="K1112" i="1"/>
  <c r="J1112" i="1"/>
  <c r="I1112" i="1"/>
  <c r="F1112" i="1"/>
  <c r="L1113" i="1" s="1"/>
  <c r="N1111" i="1"/>
  <c r="Q1111" i="1" s="1"/>
  <c r="K1111" i="1"/>
  <c r="J1111" i="1"/>
  <c r="I1111" i="1"/>
  <c r="F1111" i="1"/>
  <c r="L1112" i="1" s="1"/>
  <c r="N1110" i="1"/>
  <c r="K1110" i="1"/>
  <c r="J1110" i="1"/>
  <c r="I1110" i="1"/>
  <c r="F1110" i="1"/>
  <c r="L1111" i="1" s="1"/>
  <c r="N1109" i="1"/>
  <c r="P1109" i="1" s="1"/>
  <c r="K1109" i="1"/>
  <c r="J1109" i="1"/>
  <c r="I1109" i="1"/>
  <c r="F1109" i="1"/>
  <c r="L1110" i="1" s="1"/>
  <c r="N1108" i="1"/>
  <c r="O1108" i="1" s="1"/>
  <c r="K1108" i="1"/>
  <c r="J1108" i="1"/>
  <c r="I1108" i="1"/>
  <c r="F1108" i="1"/>
  <c r="L1109" i="1" s="1"/>
  <c r="M1109" i="1" s="1"/>
  <c r="N1107" i="1"/>
  <c r="Q1107" i="1" s="1"/>
  <c r="K1107" i="1"/>
  <c r="J1107" i="1"/>
  <c r="I1107" i="1"/>
  <c r="F1107" i="1"/>
  <c r="L1108" i="1" s="1"/>
  <c r="N1106" i="1"/>
  <c r="P1106" i="1" s="1"/>
  <c r="K1106" i="1"/>
  <c r="J1106" i="1"/>
  <c r="I1106" i="1"/>
  <c r="F1106" i="1"/>
  <c r="L1107" i="1" s="1"/>
  <c r="N1105" i="1"/>
  <c r="K1105" i="1"/>
  <c r="J1105" i="1"/>
  <c r="I1105" i="1"/>
  <c r="F1105" i="1"/>
  <c r="L1106" i="1" s="1"/>
  <c r="N1104" i="1"/>
  <c r="P1104" i="1" s="1"/>
  <c r="K1104" i="1"/>
  <c r="J1104" i="1"/>
  <c r="I1104" i="1"/>
  <c r="F1104" i="1"/>
  <c r="L1105" i="1" s="1"/>
  <c r="M1105" i="1" s="1"/>
  <c r="N1103" i="1"/>
  <c r="Q1103" i="1" s="1"/>
  <c r="K1103" i="1"/>
  <c r="J1103" i="1"/>
  <c r="I1103" i="1"/>
  <c r="F1103" i="1"/>
  <c r="L1104" i="1" s="1"/>
  <c r="N1102" i="1"/>
  <c r="K1102" i="1"/>
  <c r="J1102" i="1"/>
  <c r="I1102" i="1"/>
  <c r="F1102" i="1"/>
  <c r="L1103" i="1" s="1"/>
  <c r="N1101" i="1"/>
  <c r="O1101" i="1" s="1"/>
  <c r="K1101" i="1"/>
  <c r="J1101" i="1"/>
  <c r="I1101" i="1"/>
  <c r="F1101" i="1"/>
  <c r="L1102" i="1" s="1"/>
  <c r="N1100" i="1"/>
  <c r="O1100" i="1" s="1"/>
  <c r="K1100" i="1"/>
  <c r="J1100" i="1"/>
  <c r="I1100" i="1"/>
  <c r="F1100" i="1"/>
  <c r="L1101" i="1" s="1"/>
  <c r="N1099" i="1"/>
  <c r="Q1099" i="1" s="1"/>
  <c r="K1099" i="1"/>
  <c r="J1099" i="1"/>
  <c r="I1099" i="1"/>
  <c r="F1099" i="1"/>
  <c r="L1100" i="1" s="1"/>
  <c r="N1098" i="1"/>
  <c r="P1098" i="1" s="1"/>
  <c r="K1098" i="1"/>
  <c r="J1098" i="1"/>
  <c r="I1098" i="1"/>
  <c r="F1098" i="1"/>
  <c r="L1099" i="1" s="1"/>
  <c r="N1097" i="1"/>
  <c r="K1097" i="1"/>
  <c r="J1097" i="1"/>
  <c r="I1097" i="1"/>
  <c r="F1097" i="1"/>
  <c r="L1098" i="1" s="1"/>
  <c r="N1096" i="1"/>
  <c r="O1096" i="1" s="1"/>
  <c r="K1096" i="1"/>
  <c r="J1096" i="1"/>
  <c r="I1096" i="1"/>
  <c r="F1096" i="1"/>
  <c r="L1097" i="1" s="1"/>
  <c r="N1095" i="1"/>
  <c r="Q1095" i="1" s="1"/>
  <c r="K1095" i="1"/>
  <c r="I1095" i="1"/>
  <c r="F1095" i="1"/>
  <c r="L1096" i="1" s="1"/>
  <c r="N1094" i="1"/>
  <c r="K1094" i="1"/>
  <c r="J1094" i="1"/>
  <c r="I1094" i="1"/>
  <c r="F1094" i="1"/>
  <c r="L1095" i="1" s="1"/>
  <c r="N1093" i="1"/>
  <c r="Q1093" i="1" s="1"/>
  <c r="K1093" i="1"/>
  <c r="J1093" i="1"/>
  <c r="I1093" i="1"/>
  <c r="F1093" i="1"/>
  <c r="L1094" i="1" s="1"/>
  <c r="N1092" i="1"/>
  <c r="Q1092" i="1" s="1"/>
  <c r="K1092" i="1"/>
  <c r="J1092" i="1"/>
  <c r="I1092" i="1"/>
  <c r="F1092" i="1"/>
  <c r="L1093" i="1" s="1"/>
  <c r="N1091" i="1"/>
  <c r="O1091" i="1" s="1"/>
  <c r="K1091" i="1"/>
  <c r="J1091" i="1"/>
  <c r="I1091" i="1"/>
  <c r="F1091" i="1"/>
  <c r="L1092" i="1" s="1"/>
  <c r="N1090" i="1"/>
  <c r="P1090" i="1" s="1"/>
  <c r="K1090" i="1"/>
  <c r="J1090" i="1"/>
  <c r="I1090" i="1"/>
  <c r="F1090" i="1"/>
  <c r="L1091" i="1" s="1"/>
  <c r="M1091" i="1" s="1"/>
  <c r="N1089" i="1"/>
  <c r="O1089" i="1" s="1"/>
  <c r="K1089" i="1"/>
  <c r="J1089" i="1"/>
  <c r="I1089" i="1"/>
  <c r="F1089" i="1"/>
  <c r="L1090" i="1" s="1"/>
  <c r="N1088" i="1"/>
  <c r="Q1088" i="1" s="1"/>
  <c r="K1088" i="1"/>
  <c r="J1088" i="1"/>
  <c r="I1088" i="1"/>
  <c r="F1088" i="1"/>
  <c r="L1089" i="1" s="1"/>
  <c r="N1087" i="1"/>
  <c r="Q1087" i="1" s="1"/>
  <c r="K1087" i="1"/>
  <c r="J1087" i="1"/>
  <c r="I1087" i="1"/>
  <c r="F1087" i="1"/>
  <c r="L1088" i="1" s="1"/>
  <c r="N1086" i="1"/>
  <c r="K1086" i="1"/>
  <c r="J1086" i="1"/>
  <c r="I1086" i="1"/>
  <c r="F1086" i="1"/>
  <c r="L1087" i="1" s="1"/>
  <c r="N1085" i="1"/>
  <c r="O1085" i="1" s="1"/>
  <c r="K1085" i="1"/>
  <c r="J1085" i="1"/>
  <c r="I1085" i="1"/>
  <c r="F1085" i="1"/>
  <c r="L1086" i="1" s="1"/>
  <c r="N1084" i="1"/>
  <c r="Q1084" i="1" s="1"/>
  <c r="K1084" i="1"/>
  <c r="J1084" i="1"/>
  <c r="I1084" i="1"/>
  <c r="F1084" i="1"/>
  <c r="L1085" i="1" s="1"/>
  <c r="N1083" i="1"/>
  <c r="L1083" i="1"/>
  <c r="K1083" i="1"/>
  <c r="M1083" i="1" s="1"/>
  <c r="J1083" i="1"/>
  <c r="I1083" i="1"/>
  <c r="F1083" i="1"/>
  <c r="L1084" i="1" s="1"/>
  <c r="A1082" i="1"/>
  <c r="A1081" i="1"/>
  <c r="A1080" i="1"/>
  <c r="A1079" i="1"/>
  <c r="M1078" i="1"/>
  <c r="A1078" i="1"/>
  <c r="A1077" i="1"/>
  <c r="A1076" i="1"/>
  <c r="A1075" i="1"/>
  <c r="A1074" i="1"/>
  <c r="A1073" i="1"/>
  <c r="A1072" i="1"/>
  <c r="A1071" i="1"/>
  <c r="M1070" i="1"/>
  <c r="A1070" i="1"/>
  <c r="M1069" i="1"/>
  <c r="A1069" i="1"/>
  <c r="M1068" i="1"/>
  <c r="A1068" i="1"/>
  <c r="A1067" i="1"/>
  <c r="A1066" i="1"/>
  <c r="A1065" i="1"/>
  <c r="A1064" i="1"/>
  <c r="A1063" i="1"/>
  <c r="A1062" i="1"/>
  <c r="M1061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M1049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M1033" i="1"/>
  <c r="A1033" i="1"/>
  <c r="A1032" i="1"/>
  <c r="A1031" i="1"/>
  <c r="A1030" i="1"/>
  <c r="A1029" i="1"/>
  <c r="M1028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M1007" i="1"/>
  <c r="A1007" i="1"/>
  <c r="A1006" i="1"/>
  <c r="A1005" i="1"/>
  <c r="A1004" i="1"/>
  <c r="A1003" i="1"/>
  <c r="A1002" i="1"/>
  <c r="A1001" i="1"/>
  <c r="A1000" i="1"/>
  <c r="A999" i="1"/>
  <c r="M998" i="1"/>
  <c r="A998" i="1"/>
  <c r="A997" i="1"/>
  <c r="A996" i="1"/>
  <c r="A995" i="1"/>
  <c r="A994" i="1"/>
  <c r="A993" i="1"/>
  <c r="A992" i="1"/>
  <c r="M991" i="1"/>
  <c r="A991" i="1"/>
  <c r="A990" i="1"/>
  <c r="M989" i="1"/>
  <c r="A989" i="1"/>
  <c r="A988" i="1"/>
  <c r="A987" i="1"/>
  <c r="A986" i="1"/>
  <c r="A985" i="1"/>
  <c r="A984" i="1"/>
  <c r="A983" i="1"/>
  <c r="A982" i="1"/>
  <c r="M981" i="1"/>
  <c r="A981" i="1"/>
  <c r="A980" i="1"/>
  <c r="A979" i="1"/>
  <c r="A978" i="1"/>
  <c r="A977" i="1"/>
  <c r="A976" i="1"/>
  <c r="A975" i="1"/>
  <c r="A974" i="1"/>
  <c r="A973" i="1"/>
  <c r="A972" i="1"/>
  <c r="M971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M952" i="1"/>
  <c r="A952" i="1"/>
  <c r="A951" i="1"/>
  <c r="A950" i="1"/>
  <c r="A949" i="1"/>
  <c r="A948" i="1"/>
  <c r="A947" i="1"/>
  <c r="A946" i="1"/>
  <c r="A945" i="1"/>
  <c r="A944" i="1"/>
  <c r="A943" i="1"/>
  <c r="A942" i="1"/>
  <c r="M941" i="1"/>
  <c r="A941" i="1"/>
  <c r="M940" i="1"/>
  <c r="A940" i="1"/>
  <c r="A939" i="1"/>
  <c r="A938" i="1"/>
  <c r="A937" i="1"/>
  <c r="A936" i="1"/>
  <c r="A935" i="1"/>
  <c r="A934" i="1"/>
  <c r="A933" i="1"/>
  <c r="M932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M912" i="1"/>
  <c r="A912" i="1"/>
  <c r="M911" i="1"/>
  <c r="A911" i="1"/>
  <c r="A910" i="1"/>
  <c r="A909" i="1"/>
  <c r="A908" i="1"/>
  <c r="A907" i="1"/>
  <c r="A906" i="1"/>
  <c r="A905" i="1"/>
  <c r="A904" i="1"/>
  <c r="M903" i="1"/>
  <c r="A903" i="1"/>
  <c r="M902" i="1"/>
  <c r="A902" i="1"/>
  <c r="A901" i="1"/>
  <c r="A900" i="1"/>
  <c r="A899" i="1"/>
  <c r="A898" i="1"/>
  <c r="A897" i="1"/>
  <c r="M896" i="1"/>
  <c r="A896" i="1"/>
  <c r="A895" i="1"/>
  <c r="M894" i="1"/>
  <c r="A894" i="1"/>
  <c r="A893" i="1"/>
  <c r="A892" i="1"/>
  <c r="A891" i="1"/>
  <c r="A890" i="1"/>
  <c r="A889" i="1"/>
  <c r="A888" i="1"/>
  <c r="A887" i="1"/>
  <c r="M886" i="1"/>
  <c r="A886" i="1"/>
  <c r="A885" i="1"/>
  <c r="A884" i="1"/>
  <c r="A883" i="1"/>
  <c r="A882" i="1"/>
  <c r="A881" i="1"/>
  <c r="A880" i="1"/>
  <c r="A879" i="1"/>
  <c r="M878" i="1"/>
  <c r="A878" i="1"/>
  <c r="M877" i="1"/>
  <c r="A877" i="1"/>
  <c r="M876" i="1"/>
  <c r="A876" i="1"/>
  <c r="A875" i="1"/>
  <c r="A874" i="1"/>
  <c r="A873" i="1"/>
  <c r="A872" i="1"/>
  <c r="A871" i="1"/>
  <c r="A870" i="1"/>
  <c r="M869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M857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M841" i="1"/>
  <c r="A841" i="1"/>
  <c r="A840" i="1"/>
  <c r="A839" i="1"/>
  <c r="A838" i="1"/>
  <c r="A837" i="1"/>
  <c r="M836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M815" i="1"/>
  <c r="A815" i="1"/>
  <c r="A814" i="1"/>
  <c r="A813" i="1"/>
  <c r="A812" i="1"/>
  <c r="A811" i="1"/>
  <c r="A810" i="1"/>
  <c r="A809" i="1"/>
  <c r="A808" i="1"/>
  <c r="A807" i="1"/>
  <c r="M806" i="1"/>
  <c r="A806" i="1"/>
  <c r="A805" i="1"/>
  <c r="A804" i="1"/>
  <c r="A803" i="1"/>
  <c r="A802" i="1"/>
  <c r="A801" i="1"/>
  <c r="A800" i="1"/>
  <c r="M799" i="1"/>
  <c r="A799" i="1"/>
  <c r="A798" i="1"/>
  <c r="M797" i="1"/>
  <c r="A797" i="1"/>
  <c r="A796" i="1"/>
  <c r="A795" i="1"/>
  <c r="A794" i="1"/>
  <c r="A793" i="1"/>
  <c r="A792" i="1"/>
  <c r="A791" i="1"/>
  <c r="A790" i="1"/>
  <c r="M789" i="1"/>
  <c r="A789" i="1"/>
  <c r="A788" i="1"/>
  <c r="A787" i="1"/>
  <c r="A786" i="1"/>
  <c r="A785" i="1"/>
  <c r="A784" i="1"/>
  <c r="A783" i="1"/>
  <c r="A782" i="1"/>
  <c r="A781" i="1"/>
  <c r="A780" i="1"/>
  <c r="M779" i="1"/>
  <c r="A779" i="1"/>
  <c r="A778" i="1"/>
  <c r="A777" i="1"/>
  <c r="M776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M744" i="1"/>
  <c r="A744" i="1"/>
  <c r="A743" i="1"/>
  <c r="A742" i="1"/>
  <c r="A741" i="1"/>
  <c r="A740" i="1"/>
  <c r="A739" i="1"/>
  <c r="A738" i="1"/>
  <c r="A737" i="1"/>
  <c r="A736" i="1"/>
  <c r="A735" i="1"/>
  <c r="A734" i="1"/>
  <c r="M733" i="1"/>
  <c r="A733" i="1"/>
  <c r="M732" i="1"/>
  <c r="A732" i="1"/>
  <c r="A731" i="1"/>
  <c r="A730" i="1"/>
  <c r="A729" i="1"/>
  <c r="A728" i="1"/>
  <c r="A727" i="1"/>
  <c r="A726" i="1"/>
  <c r="A725" i="1"/>
  <c r="M724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M704" i="1"/>
  <c r="A704" i="1"/>
  <c r="M703" i="1"/>
  <c r="A703" i="1"/>
  <c r="A702" i="1"/>
  <c r="A701" i="1"/>
  <c r="A700" i="1"/>
  <c r="A699" i="1"/>
  <c r="A698" i="1"/>
  <c r="A697" i="1"/>
  <c r="A696" i="1"/>
  <c r="M695" i="1"/>
  <c r="A695" i="1"/>
  <c r="M694" i="1"/>
  <c r="A694" i="1"/>
  <c r="A693" i="1"/>
  <c r="A692" i="1"/>
  <c r="A691" i="1"/>
  <c r="A690" i="1"/>
  <c r="A689" i="1"/>
  <c r="M688" i="1"/>
  <c r="A688" i="1"/>
  <c r="A687" i="1"/>
  <c r="M686" i="1"/>
  <c r="A686" i="1"/>
  <c r="A685" i="1"/>
  <c r="A684" i="1"/>
  <c r="A683" i="1"/>
  <c r="A682" i="1"/>
  <c r="A681" i="1"/>
  <c r="A680" i="1"/>
  <c r="A679" i="1"/>
  <c r="M678" i="1"/>
  <c r="A678" i="1"/>
  <c r="A677" i="1"/>
  <c r="A676" i="1"/>
  <c r="A675" i="1"/>
  <c r="A674" i="1"/>
  <c r="A673" i="1"/>
  <c r="A672" i="1"/>
  <c r="A671" i="1"/>
  <c r="M670" i="1"/>
  <c r="A670" i="1"/>
  <c r="M669" i="1"/>
  <c r="A669" i="1"/>
  <c r="M668" i="1"/>
  <c r="A668" i="1"/>
  <c r="A667" i="1"/>
  <c r="A666" i="1"/>
  <c r="A665" i="1"/>
  <c r="A664" i="1"/>
  <c r="A663" i="1"/>
  <c r="A662" i="1"/>
  <c r="M661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M649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M633" i="1"/>
  <c r="A633" i="1"/>
  <c r="A632" i="1"/>
  <c r="A631" i="1"/>
  <c r="A630" i="1"/>
  <c r="A629" i="1"/>
  <c r="M628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M610" i="1"/>
  <c r="A610" i="1"/>
  <c r="A609" i="1"/>
  <c r="M608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M593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M566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M550" i="1"/>
  <c r="A550" i="1"/>
  <c r="A549" i="1"/>
  <c r="A548" i="1"/>
  <c r="A547" i="1"/>
  <c r="A546" i="1"/>
  <c r="A545" i="1"/>
  <c r="A544" i="1"/>
  <c r="A543" i="1"/>
  <c r="A542" i="1"/>
  <c r="A541" i="1"/>
  <c r="M540" i="1"/>
  <c r="A540" i="1"/>
  <c r="M539" i="1"/>
  <c r="A539" i="1"/>
  <c r="A538" i="1"/>
  <c r="A537" i="1"/>
  <c r="A536" i="1"/>
  <c r="A535" i="1"/>
  <c r="M534" i="1"/>
  <c r="A534" i="1"/>
  <c r="M533" i="1"/>
  <c r="A533" i="1"/>
  <c r="A532" i="1"/>
  <c r="M531" i="1"/>
  <c r="A531" i="1"/>
  <c r="A530" i="1"/>
  <c r="M529" i="1"/>
  <c r="A529" i="1"/>
  <c r="A528" i="1"/>
  <c r="A527" i="1"/>
  <c r="A526" i="1"/>
  <c r="A525" i="1"/>
  <c r="A524" i="1"/>
  <c r="A523" i="1"/>
  <c r="A522" i="1"/>
  <c r="M521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M508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M487" i="1"/>
  <c r="A487" i="1"/>
  <c r="A486" i="1"/>
  <c r="M485" i="1"/>
  <c r="A485" i="1"/>
  <c r="A484" i="1"/>
  <c r="A483" i="1"/>
  <c r="A482" i="1"/>
  <c r="A481" i="1"/>
  <c r="A480" i="1"/>
  <c r="M479" i="1"/>
  <c r="A479" i="1"/>
  <c r="A478" i="1"/>
  <c r="M477" i="1"/>
  <c r="A477" i="1"/>
  <c r="A476" i="1"/>
  <c r="A475" i="1"/>
  <c r="A474" i="1"/>
  <c r="M473" i="1"/>
  <c r="A473" i="1"/>
  <c r="A472" i="1"/>
  <c r="A471" i="1"/>
  <c r="A470" i="1"/>
  <c r="A469" i="1"/>
  <c r="A468" i="1"/>
  <c r="A467" i="1"/>
  <c r="A466" i="1"/>
  <c r="A465" i="1"/>
  <c r="A464" i="1"/>
  <c r="M463" i="1"/>
  <c r="A463" i="1"/>
  <c r="A462" i="1"/>
  <c r="M461" i="1"/>
  <c r="A461" i="1"/>
  <c r="M460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M437" i="1"/>
  <c r="A437" i="1"/>
  <c r="A436" i="1"/>
  <c r="A435" i="1"/>
  <c r="A434" i="1"/>
  <c r="A433" i="1"/>
  <c r="A432" i="1"/>
  <c r="A431" i="1"/>
  <c r="A430" i="1"/>
  <c r="A429" i="1"/>
  <c r="M428" i="1"/>
  <c r="A428" i="1"/>
  <c r="M427" i="1"/>
  <c r="A427" i="1"/>
  <c r="A426" i="1"/>
  <c r="A425" i="1"/>
  <c r="A424" i="1"/>
  <c r="M423" i="1"/>
  <c r="A423" i="1"/>
  <c r="A422" i="1"/>
  <c r="A421" i="1"/>
  <c r="A420" i="1"/>
  <c r="A419" i="1"/>
  <c r="A418" i="1"/>
  <c r="A417" i="1"/>
  <c r="A416" i="1"/>
  <c r="A415" i="1"/>
  <c r="A414" i="1"/>
  <c r="M413" i="1"/>
  <c r="A413" i="1"/>
  <c r="A412" i="1"/>
  <c r="M411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M372" i="1"/>
  <c r="A372" i="1"/>
  <c r="A371" i="1"/>
  <c r="A370" i="1"/>
  <c r="A369" i="1"/>
  <c r="A368" i="1"/>
  <c r="A367" i="1"/>
  <c r="A366" i="1"/>
  <c r="A365" i="1"/>
  <c r="A364" i="1"/>
  <c r="M363" i="1"/>
  <c r="A363" i="1"/>
  <c r="A362" i="1"/>
  <c r="A361" i="1"/>
  <c r="A360" i="1"/>
  <c r="A359" i="1"/>
  <c r="A358" i="1"/>
  <c r="A357" i="1"/>
  <c r="M356" i="1"/>
  <c r="A356" i="1"/>
  <c r="A355" i="1"/>
  <c r="M354" i="1"/>
  <c r="A354" i="1"/>
  <c r="A353" i="1"/>
  <c r="A352" i="1"/>
  <c r="A351" i="1"/>
  <c r="A350" i="1"/>
  <c r="A349" i="1"/>
  <c r="A348" i="1"/>
  <c r="A347" i="1"/>
  <c r="M346" i="1"/>
  <c r="A346" i="1"/>
  <c r="A345" i="1"/>
  <c r="A344" i="1"/>
  <c r="A343" i="1"/>
  <c r="A342" i="1"/>
  <c r="A341" i="1"/>
  <c r="A340" i="1"/>
  <c r="A339" i="1"/>
  <c r="A338" i="1"/>
  <c r="A337" i="1"/>
  <c r="M336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M301" i="1"/>
  <c r="A301" i="1"/>
  <c r="A300" i="1"/>
  <c r="A299" i="1"/>
  <c r="A298" i="1"/>
  <c r="A297" i="1"/>
  <c r="A296" i="1"/>
  <c r="A295" i="1"/>
  <c r="A294" i="1"/>
  <c r="A293" i="1"/>
  <c r="A292" i="1"/>
  <c r="A291" i="1"/>
  <c r="M290" i="1"/>
  <c r="A290" i="1"/>
  <c r="M289" i="1"/>
  <c r="A289" i="1"/>
  <c r="A288" i="1"/>
  <c r="A287" i="1"/>
  <c r="A286" i="1"/>
  <c r="A285" i="1"/>
  <c r="A284" i="1"/>
  <c r="A283" i="1"/>
  <c r="A282" i="1"/>
  <c r="M281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M261" i="1"/>
  <c r="A261" i="1"/>
  <c r="M260" i="1"/>
  <c r="A260" i="1"/>
  <c r="A259" i="1"/>
  <c r="A258" i="1"/>
  <c r="A257" i="1"/>
  <c r="M256" i="1"/>
  <c r="A256" i="1"/>
  <c r="A255" i="1"/>
  <c r="A254" i="1"/>
  <c r="A253" i="1"/>
  <c r="A252" i="1"/>
  <c r="A251" i="1"/>
  <c r="A250" i="1"/>
  <c r="M249" i="1"/>
  <c r="A249" i="1"/>
  <c r="M248" i="1"/>
  <c r="A248" i="1"/>
  <c r="A247" i="1"/>
  <c r="A246" i="1"/>
  <c r="A245" i="1"/>
  <c r="A244" i="1"/>
  <c r="A243" i="1"/>
  <c r="A242" i="1"/>
  <c r="A241" i="1"/>
  <c r="M240" i="1"/>
  <c r="A240" i="1"/>
  <c r="M239" i="1"/>
  <c r="A239" i="1"/>
  <c r="A238" i="1"/>
  <c r="A237" i="1"/>
  <c r="A236" i="1"/>
  <c r="A235" i="1"/>
  <c r="M234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M211" i="1"/>
  <c r="A211" i="1"/>
  <c r="A210" i="1"/>
  <c r="A209" i="1"/>
  <c r="A208" i="1"/>
  <c r="A207" i="1"/>
  <c r="A206" i="1"/>
  <c r="A205" i="1"/>
  <c r="A204" i="1"/>
  <c r="A203" i="1"/>
  <c r="M202" i="1"/>
  <c r="A202" i="1"/>
  <c r="A201" i="1"/>
  <c r="A200" i="1"/>
  <c r="A199" i="1"/>
  <c r="A198" i="1"/>
  <c r="A197" i="1"/>
  <c r="A196" i="1"/>
  <c r="M195" i="1"/>
  <c r="A195" i="1"/>
  <c r="A194" i="1"/>
  <c r="A193" i="1"/>
  <c r="A192" i="1"/>
  <c r="M191" i="1"/>
  <c r="A191" i="1"/>
  <c r="A190" i="1"/>
  <c r="M189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M1115" i="1" l="1"/>
  <c r="C1117" i="5"/>
  <c r="C1188" i="5"/>
  <c r="C1124" i="5"/>
  <c r="C1181" i="5"/>
  <c r="C1156" i="5"/>
  <c r="C1085" i="5"/>
  <c r="C1092" i="5"/>
  <c r="C1149" i="5"/>
  <c r="C1213" i="5"/>
  <c r="C1220" i="5"/>
  <c r="C1133" i="5"/>
  <c r="C1172" i="5"/>
  <c r="C1197" i="5"/>
  <c r="C1084" i="5"/>
  <c r="C1109" i="5"/>
  <c r="C1116" i="5"/>
  <c r="C1141" i="5"/>
  <c r="C1148" i="5"/>
  <c r="C1173" i="5"/>
  <c r="C1180" i="5"/>
  <c r="C1205" i="5"/>
  <c r="C1212" i="5"/>
  <c r="C1101" i="5"/>
  <c r="C1108" i="5"/>
  <c r="C1140" i="5"/>
  <c r="C1165" i="5"/>
  <c r="C1204" i="5"/>
  <c r="D1215" i="4"/>
  <c r="C1093" i="5"/>
  <c r="C1100" i="5"/>
  <c r="C1125" i="5"/>
  <c r="C1132" i="5"/>
  <c r="C1157" i="5"/>
  <c r="C1164" i="5"/>
  <c r="C1189" i="5"/>
  <c r="C1196" i="5"/>
  <c r="M1113" i="1"/>
  <c r="D1163" i="4"/>
  <c r="B1163" i="4"/>
  <c r="D1211" i="4"/>
  <c r="B1211" i="4"/>
  <c r="C1085" i="4"/>
  <c r="C1089" i="4"/>
  <c r="C1093" i="4"/>
  <c r="C1097" i="4"/>
  <c r="C1101" i="4"/>
  <c r="C1105" i="4"/>
  <c r="C1109" i="4"/>
  <c r="C1113" i="4"/>
  <c r="C1117" i="4"/>
  <c r="C1121" i="4"/>
  <c r="C1125" i="4"/>
  <c r="C1129" i="4"/>
  <c r="C1133" i="4"/>
  <c r="C1137" i="4"/>
  <c r="C1141" i="4"/>
  <c r="C1145" i="4"/>
  <c r="C1149" i="4"/>
  <c r="C1153" i="4"/>
  <c r="C1163" i="4"/>
  <c r="D1169" i="4"/>
  <c r="B1169" i="4"/>
  <c r="D1185" i="4"/>
  <c r="B1185" i="4"/>
  <c r="D1201" i="4"/>
  <c r="B1201" i="4"/>
  <c r="C1211" i="4"/>
  <c r="D1085" i="4"/>
  <c r="D1089" i="4"/>
  <c r="D1093" i="4"/>
  <c r="D1097" i="4"/>
  <c r="D1101" i="4"/>
  <c r="D1105" i="4"/>
  <c r="D1109" i="4"/>
  <c r="D1113" i="4"/>
  <c r="D1117" i="4"/>
  <c r="D1121" i="4"/>
  <c r="D1125" i="4"/>
  <c r="D1129" i="4"/>
  <c r="D1133" i="4"/>
  <c r="D1137" i="4"/>
  <c r="D1141" i="4"/>
  <c r="D1145" i="4"/>
  <c r="D1149" i="4"/>
  <c r="D1153" i="4"/>
  <c r="D1159" i="4"/>
  <c r="B1159" i="4"/>
  <c r="C1169" i="4"/>
  <c r="D1175" i="4"/>
  <c r="B1175" i="4"/>
  <c r="C1185" i="4"/>
  <c r="D1191" i="4"/>
  <c r="B1191" i="4"/>
  <c r="C1201" i="4"/>
  <c r="D1207" i="4"/>
  <c r="B1207" i="4"/>
  <c r="D1217" i="4"/>
  <c r="B1217" i="4"/>
  <c r="C1159" i="4"/>
  <c r="D1165" i="4"/>
  <c r="B1165" i="4"/>
  <c r="C1175" i="4"/>
  <c r="D1181" i="4"/>
  <c r="B1181" i="4"/>
  <c r="C1191" i="4"/>
  <c r="D1197" i="4"/>
  <c r="B1197" i="4"/>
  <c r="C1207" i="4"/>
  <c r="D1213" i="4"/>
  <c r="B1213" i="4"/>
  <c r="C1217" i="4"/>
  <c r="D1155" i="4"/>
  <c r="B1155" i="4"/>
  <c r="C1165" i="4"/>
  <c r="D1171" i="4"/>
  <c r="B1171" i="4"/>
  <c r="C1181" i="4"/>
  <c r="D1187" i="4"/>
  <c r="B1187" i="4"/>
  <c r="C1197" i="4"/>
  <c r="D1203" i="4"/>
  <c r="B1203" i="4"/>
  <c r="C1213" i="4"/>
  <c r="C1083" i="4"/>
  <c r="C1087" i="4"/>
  <c r="C1091" i="4"/>
  <c r="C1095" i="4"/>
  <c r="C1099" i="4"/>
  <c r="C1103" i="4"/>
  <c r="C1107" i="4"/>
  <c r="C1111" i="4"/>
  <c r="C1115" i="4"/>
  <c r="C1119" i="4"/>
  <c r="C1123" i="4"/>
  <c r="C1127" i="4"/>
  <c r="C1131" i="4"/>
  <c r="C1135" i="4"/>
  <c r="C1139" i="4"/>
  <c r="C1143" i="4"/>
  <c r="C1147" i="4"/>
  <c r="C1151" i="4"/>
  <c r="C1155" i="4"/>
  <c r="D1161" i="4"/>
  <c r="B1161" i="4"/>
  <c r="C1171" i="4"/>
  <c r="D1177" i="4"/>
  <c r="B1177" i="4"/>
  <c r="C1187" i="4"/>
  <c r="D1193" i="4"/>
  <c r="B1193" i="4"/>
  <c r="C1203" i="4"/>
  <c r="D1209" i="4"/>
  <c r="B1209" i="4"/>
  <c r="D1219" i="4"/>
  <c r="B1219" i="4"/>
  <c r="D1195" i="4"/>
  <c r="B1195" i="4"/>
  <c r="D1083" i="4"/>
  <c r="D1087" i="4"/>
  <c r="D1091" i="4"/>
  <c r="D1095" i="4"/>
  <c r="D1099" i="4"/>
  <c r="D1103" i="4"/>
  <c r="D1107" i="4"/>
  <c r="D1111" i="4"/>
  <c r="D1115" i="4"/>
  <c r="D1119" i="4"/>
  <c r="D1123" i="4"/>
  <c r="D1127" i="4"/>
  <c r="D1131" i="4"/>
  <c r="D1135" i="4"/>
  <c r="D1139" i="4"/>
  <c r="D1143" i="4"/>
  <c r="D1147" i="4"/>
  <c r="D1151" i="4"/>
  <c r="C1161" i="4"/>
  <c r="D1167" i="4"/>
  <c r="B1167" i="4"/>
  <c r="C1177" i="4"/>
  <c r="D1183" i="4"/>
  <c r="B1183" i="4"/>
  <c r="C1193" i="4"/>
  <c r="D1199" i="4"/>
  <c r="B1199" i="4"/>
  <c r="C1209" i="4"/>
  <c r="C1219" i="4"/>
  <c r="D1179" i="4"/>
  <c r="B1179" i="4"/>
  <c r="D1157" i="4"/>
  <c r="B1157" i="4"/>
  <c r="C1167" i="4"/>
  <c r="D1173" i="4"/>
  <c r="B1173" i="4"/>
  <c r="C1183" i="4"/>
  <c r="D1189" i="4"/>
  <c r="B1189" i="4"/>
  <c r="C1199" i="4"/>
  <c r="D1205" i="4"/>
  <c r="B1205" i="4"/>
  <c r="C1215" i="4"/>
  <c r="B1084" i="4"/>
  <c r="B1086" i="4"/>
  <c r="B1088" i="4"/>
  <c r="B1090" i="4"/>
  <c r="B1092" i="4"/>
  <c r="B1094" i="4"/>
  <c r="B1096" i="4"/>
  <c r="B1098" i="4"/>
  <c r="B1100" i="4"/>
  <c r="B1102" i="4"/>
  <c r="B1104" i="4"/>
  <c r="B1106" i="4"/>
  <c r="B1108" i="4"/>
  <c r="B1110" i="4"/>
  <c r="B1112" i="4"/>
  <c r="B1114" i="4"/>
  <c r="B1116" i="4"/>
  <c r="B1118" i="4"/>
  <c r="B1120" i="4"/>
  <c r="B1122" i="4"/>
  <c r="B1124" i="4"/>
  <c r="B1126" i="4"/>
  <c r="B1128" i="4"/>
  <c r="B1130" i="4"/>
  <c r="B1132" i="4"/>
  <c r="B1134" i="4"/>
  <c r="B1136" i="4"/>
  <c r="B1138" i="4"/>
  <c r="B1140" i="4"/>
  <c r="B1142" i="4"/>
  <c r="B1144" i="4"/>
  <c r="B1146" i="4"/>
  <c r="B1148" i="4"/>
  <c r="B1150" i="4"/>
  <c r="B1152" i="4"/>
  <c r="B1154" i="4"/>
  <c r="B1156" i="4"/>
  <c r="B1158" i="4"/>
  <c r="B1160" i="4"/>
  <c r="B1162" i="4"/>
  <c r="B1164" i="4"/>
  <c r="B1166" i="4"/>
  <c r="B1168" i="4"/>
  <c r="B1170" i="4"/>
  <c r="B1172" i="4"/>
  <c r="B1174" i="4"/>
  <c r="B1176" i="4"/>
  <c r="B1178" i="4"/>
  <c r="B1180" i="4"/>
  <c r="B1182" i="4"/>
  <c r="B1184" i="4"/>
  <c r="B1186" i="4"/>
  <c r="B1188" i="4"/>
  <c r="B1190" i="4"/>
  <c r="B1192" i="4"/>
  <c r="B1194" i="4"/>
  <c r="B1196" i="4"/>
  <c r="B1198" i="4"/>
  <c r="B1200" i="4"/>
  <c r="B1202" i="4"/>
  <c r="B1204" i="4"/>
  <c r="B1206" i="4"/>
  <c r="B1208" i="4"/>
  <c r="B1210" i="4"/>
  <c r="B1212" i="4"/>
  <c r="B1214" i="4"/>
  <c r="B1216" i="4"/>
  <c r="B1218" i="4"/>
  <c r="B1220" i="4"/>
  <c r="C1084" i="4"/>
  <c r="C1086" i="4"/>
  <c r="C1088" i="4"/>
  <c r="C1090" i="4"/>
  <c r="C1092" i="4"/>
  <c r="C1094" i="4"/>
  <c r="C1096" i="4"/>
  <c r="C1098" i="4"/>
  <c r="C1100" i="4"/>
  <c r="C1102" i="4"/>
  <c r="C1104" i="4"/>
  <c r="C1106" i="4"/>
  <c r="C1108" i="4"/>
  <c r="C1110" i="4"/>
  <c r="C1112" i="4"/>
  <c r="C1114" i="4"/>
  <c r="C1116" i="4"/>
  <c r="C1118" i="4"/>
  <c r="C1120" i="4"/>
  <c r="C1122" i="4"/>
  <c r="C1124" i="4"/>
  <c r="C1126" i="4"/>
  <c r="C1128" i="4"/>
  <c r="C1130" i="4"/>
  <c r="C1132" i="4"/>
  <c r="C1134" i="4"/>
  <c r="C1136" i="4"/>
  <c r="C1138" i="4"/>
  <c r="C1140" i="4"/>
  <c r="C1142" i="4"/>
  <c r="C1144" i="4"/>
  <c r="C1146" i="4"/>
  <c r="C1148" i="4"/>
  <c r="C1150" i="4"/>
  <c r="C1152" i="4"/>
  <c r="C1154" i="4"/>
  <c r="C1156" i="4"/>
  <c r="C1158" i="4"/>
  <c r="C1160" i="4"/>
  <c r="C1162" i="4"/>
  <c r="C1164" i="4"/>
  <c r="C1166" i="4"/>
  <c r="C1168" i="4"/>
  <c r="C1170" i="4"/>
  <c r="C1172" i="4"/>
  <c r="C1174" i="4"/>
  <c r="C1176" i="4"/>
  <c r="C1178" i="4"/>
  <c r="C1180" i="4"/>
  <c r="C1182" i="4"/>
  <c r="C1184" i="4"/>
  <c r="C1186" i="4"/>
  <c r="C1188" i="4"/>
  <c r="C1190" i="4"/>
  <c r="C1192" i="4"/>
  <c r="C1194" i="4"/>
  <c r="C1196" i="4"/>
  <c r="C1198" i="4"/>
  <c r="C1200" i="4"/>
  <c r="C1202" i="4"/>
  <c r="C1204" i="4"/>
  <c r="C1206" i="4"/>
  <c r="C1208" i="4"/>
  <c r="C1210" i="4"/>
  <c r="C1212" i="4"/>
  <c r="C1214" i="4"/>
  <c r="C1216" i="4"/>
  <c r="C1218" i="4"/>
  <c r="C1220" i="4"/>
  <c r="Q1090" i="1"/>
  <c r="M1155" i="1"/>
  <c r="A1090" i="1"/>
  <c r="Q1197" i="1"/>
  <c r="O1197" i="1"/>
  <c r="A1197" i="1"/>
  <c r="M1198" i="1"/>
  <c r="O1090" i="1"/>
  <c r="M1127" i="1"/>
  <c r="M1160" i="1"/>
  <c r="Q1205" i="1"/>
  <c r="O1159" i="1"/>
  <c r="A1205" i="1"/>
  <c r="P1159" i="1"/>
  <c r="M1206" i="1"/>
  <c r="O1205" i="1"/>
  <c r="Q1131" i="1"/>
  <c r="P1192" i="1"/>
  <c r="P1088" i="1"/>
  <c r="A1096" i="1"/>
  <c r="Q1144" i="1"/>
  <c r="O1179" i="1"/>
  <c r="A1192" i="1"/>
  <c r="M1197" i="1"/>
  <c r="M1203" i="1"/>
  <c r="A1214" i="1"/>
  <c r="P1087" i="1"/>
  <c r="Q1106" i="1"/>
  <c r="P1115" i="1"/>
  <c r="P1130" i="1"/>
  <c r="P1178" i="1"/>
  <c r="Q1179" i="1"/>
  <c r="M1195" i="1"/>
  <c r="Q1119" i="1"/>
  <c r="Q1130" i="1"/>
  <c r="A1144" i="1"/>
  <c r="A1179" i="1"/>
  <c r="P1089" i="1"/>
  <c r="O1192" i="1"/>
  <c r="P1095" i="1"/>
  <c r="M1152" i="1"/>
  <c r="M1166" i="1"/>
  <c r="M1182" i="1"/>
  <c r="A1087" i="1"/>
  <c r="M1096" i="1"/>
  <c r="M1099" i="1"/>
  <c r="A1115" i="1"/>
  <c r="M1145" i="1"/>
  <c r="A1169" i="1"/>
  <c r="M1176" i="1"/>
  <c r="M1211" i="1"/>
  <c r="M1088" i="1"/>
  <c r="M1172" i="1"/>
  <c r="M1216" i="1"/>
  <c r="M1085" i="1"/>
  <c r="M1093" i="1"/>
  <c r="M1116" i="1"/>
  <c r="M1215" i="1"/>
  <c r="Q1141" i="1"/>
  <c r="Q1147" i="1"/>
  <c r="P1158" i="1"/>
  <c r="M1089" i="1"/>
  <c r="M1095" i="1"/>
  <c r="P1122" i="1"/>
  <c r="M1136" i="1"/>
  <c r="Q1136" i="1"/>
  <c r="A1141" i="1"/>
  <c r="M1149" i="1"/>
  <c r="Q1157" i="1"/>
  <c r="O1165" i="1"/>
  <c r="M1174" i="1"/>
  <c r="Q1175" i="1"/>
  <c r="A1183" i="1"/>
  <c r="O1207" i="1"/>
  <c r="P1208" i="1"/>
  <c r="O1215" i="1"/>
  <c r="M1132" i="1"/>
  <c r="P1154" i="1"/>
  <c r="O1158" i="1"/>
  <c r="Q1162" i="1"/>
  <c r="M1219" i="1"/>
  <c r="O1092" i="1"/>
  <c r="P1113" i="1"/>
  <c r="M1130" i="1"/>
  <c r="M1133" i="1"/>
  <c r="M1142" i="1"/>
  <c r="M1159" i="1"/>
  <c r="M1163" i="1"/>
  <c r="Q1165" i="1"/>
  <c r="O1173" i="1"/>
  <c r="O1181" i="1"/>
  <c r="M1192" i="1"/>
  <c r="O1199" i="1"/>
  <c r="M1205" i="1"/>
  <c r="Q1207" i="1"/>
  <c r="Q1215" i="1"/>
  <c r="O1147" i="1"/>
  <c r="O1167" i="1"/>
  <c r="Q1176" i="1"/>
  <c r="P1184" i="1"/>
  <c r="Q1098" i="1"/>
  <c r="P1118" i="1"/>
  <c r="M1134" i="1"/>
  <c r="P1140" i="1"/>
  <c r="Q1167" i="1"/>
  <c r="A1184" i="1"/>
  <c r="Q1184" i="1"/>
  <c r="A1092" i="1"/>
  <c r="P1092" i="1"/>
  <c r="A1122" i="1"/>
  <c r="A1157" i="1"/>
  <c r="A1165" i="1"/>
  <c r="P1173" i="1"/>
  <c r="Q1181" i="1"/>
  <c r="A1207" i="1"/>
  <c r="A1208" i="1"/>
  <c r="A1215" i="1"/>
  <c r="Q1218" i="1"/>
  <c r="Q1089" i="1"/>
  <c r="O1095" i="1"/>
  <c r="P1096" i="1"/>
  <c r="A1113" i="1"/>
  <c r="M1123" i="1"/>
  <c r="O1143" i="1"/>
  <c r="O1144" i="1"/>
  <c r="M1167" i="1"/>
  <c r="A1173" i="1"/>
  <c r="A1181" i="1"/>
  <c r="O1141" i="1"/>
  <c r="Q1183" i="1"/>
  <c r="M1107" i="1"/>
  <c r="Q1143" i="1"/>
  <c r="Q1155" i="1"/>
  <c r="Q1163" i="1"/>
  <c r="Q1178" i="1"/>
  <c r="M1184" i="1"/>
  <c r="M1212" i="1"/>
  <c r="M1087" i="1"/>
  <c r="M1122" i="1"/>
  <c r="M1141" i="1"/>
  <c r="M1162" i="1"/>
  <c r="M1183" i="1"/>
  <c r="M1208" i="1"/>
  <c r="M1209" i="1"/>
  <c r="M1214" i="1"/>
  <c r="M1086" i="1"/>
  <c r="A1095" i="1"/>
  <c r="Q1096" i="1"/>
  <c r="O1103" i="1"/>
  <c r="O1112" i="1"/>
  <c r="O1114" i="1"/>
  <c r="Q1118" i="1"/>
  <c r="M1121" i="1"/>
  <c r="M1128" i="1"/>
  <c r="A1130" i="1"/>
  <c r="A1131" i="1"/>
  <c r="M1139" i="1"/>
  <c r="M1153" i="1"/>
  <c r="M1158" i="1"/>
  <c r="A1158" i="1"/>
  <c r="A1159" i="1"/>
  <c r="A1167" i="1"/>
  <c r="A1176" i="1"/>
  <c r="M1178" i="1"/>
  <c r="P1186" i="1"/>
  <c r="M1196" i="1"/>
  <c r="M1204" i="1"/>
  <c r="P1210" i="1"/>
  <c r="M1084" i="1"/>
  <c r="M1100" i="1"/>
  <c r="A1103" i="1"/>
  <c r="P1103" i="1"/>
  <c r="M1108" i="1"/>
  <c r="M1110" i="1"/>
  <c r="P1112" i="1"/>
  <c r="P1114" i="1"/>
  <c r="M1120" i="1"/>
  <c r="M1126" i="1"/>
  <c r="M1135" i="1"/>
  <c r="M1151" i="1"/>
  <c r="M1161" i="1"/>
  <c r="M1170" i="1"/>
  <c r="Q1186" i="1"/>
  <c r="Q1210" i="1"/>
  <c r="M1217" i="1"/>
  <c r="O1087" i="1"/>
  <c r="M1098" i="1"/>
  <c r="M1104" i="1"/>
  <c r="M1106" i="1"/>
  <c r="A1112" i="1"/>
  <c r="A1114" i="1"/>
  <c r="O1115" i="1"/>
  <c r="O1122" i="1"/>
  <c r="M1125" i="1"/>
  <c r="A1143" i="1"/>
  <c r="A1147" i="1"/>
  <c r="Q1154" i="1"/>
  <c r="P1162" i="1"/>
  <c r="P1163" i="1"/>
  <c r="M1175" i="1"/>
  <c r="O1183" i="1"/>
  <c r="M1187" i="1"/>
  <c r="M1189" i="1"/>
  <c r="M1191" i="1"/>
  <c r="A1199" i="1"/>
  <c r="Q1199" i="1"/>
  <c r="M1202" i="1"/>
  <c r="P1206" i="1"/>
  <c r="O1208" i="1"/>
  <c r="M1213" i="1"/>
  <c r="P1218" i="1"/>
  <c r="Q1219" i="1"/>
  <c r="O1084" i="1"/>
  <c r="M1090" i="1"/>
  <c r="P1100" i="1"/>
  <c r="P1108" i="1"/>
  <c r="O1109" i="1"/>
  <c r="M1118" i="1"/>
  <c r="M1119" i="1"/>
  <c r="O1126" i="1"/>
  <c r="O1151" i="1"/>
  <c r="A1163" i="1"/>
  <c r="P1170" i="1"/>
  <c r="O1171" i="1"/>
  <c r="O1189" i="1"/>
  <c r="M1201" i="1"/>
  <c r="O1213" i="1"/>
  <c r="A1084" i="1"/>
  <c r="P1084" i="1"/>
  <c r="M1094" i="1"/>
  <c r="O1098" i="1"/>
  <c r="Q1100" i="1"/>
  <c r="M1103" i="1"/>
  <c r="O1106" i="1"/>
  <c r="Q1108" i="1"/>
  <c r="Q1109" i="1"/>
  <c r="A1126" i="1"/>
  <c r="P1126" i="1"/>
  <c r="M1129" i="1"/>
  <c r="O1131" i="1"/>
  <c r="M1137" i="1"/>
  <c r="A1151" i="1"/>
  <c r="P1151" i="1"/>
  <c r="M1156" i="1"/>
  <c r="O1157" i="1"/>
  <c r="Q1170" i="1"/>
  <c r="P1171" i="1"/>
  <c r="O1174" i="1"/>
  <c r="O1175" i="1"/>
  <c r="M1179" i="1"/>
  <c r="M1186" i="1"/>
  <c r="P1189" i="1"/>
  <c r="O1191" i="1"/>
  <c r="M1193" i="1"/>
  <c r="P1194" i="1"/>
  <c r="P1202" i="1"/>
  <c r="M1210" i="1"/>
  <c r="P1213" i="1"/>
  <c r="O1214" i="1"/>
  <c r="M1092" i="1"/>
  <c r="A1098" i="1"/>
  <c r="M1101" i="1"/>
  <c r="M1102" i="1"/>
  <c r="A1106" i="1"/>
  <c r="A1109" i="1"/>
  <c r="M1111" i="1"/>
  <c r="M1112" i="1"/>
  <c r="M1117" i="1"/>
  <c r="M1140" i="1"/>
  <c r="M1143" i="1"/>
  <c r="M1147" i="1"/>
  <c r="M1154" i="1"/>
  <c r="A1171" i="1"/>
  <c r="A1175" i="1"/>
  <c r="M1180" i="1"/>
  <c r="A1189" i="1"/>
  <c r="A1191" i="1"/>
  <c r="Q1191" i="1"/>
  <c r="Q1194" i="1"/>
  <c r="M1199" i="1"/>
  <c r="M1200" i="1"/>
  <c r="Q1202" i="1"/>
  <c r="A1213" i="1"/>
  <c r="P1214" i="1"/>
  <c r="M1097" i="1"/>
  <c r="M1124" i="1"/>
  <c r="M1114" i="1"/>
  <c r="Q1083" i="1"/>
  <c r="P1083" i="1"/>
  <c r="Q1097" i="1"/>
  <c r="P1097" i="1"/>
  <c r="O1097" i="1"/>
  <c r="A1097" i="1"/>
  <c r="O1134" i="1"/>
  <c r="Q1134" i="1"/>
  <c r="A1134" i="1"/>
  <c r="P1134" i="1"/>
  <c r="A1083" i="1"/>
  <c r="O1104" i="1"/>
  <c r="O1132" i="1"/>
  <c r="A1104" i="1"/>
  <c r="P1145" i="1"/>
  <c r="Q1145" i="1"/>
  <c r="P1187" i="1"/>
  <c r="A1149" i="1"/>
  <c r="P1149" i="1"/>
  <c r="M1164" i="1"/>
  <c r="M1169" i="1"/>
  <c r="A1195" i="1"/>
  <c r="P1195" i="1"/>
  <c r="Q1195" i="1"/>
  <c r="O1200" i="1"/>
  <c r="Q1086" i="1"/>
  <c r="P1086" i="1"/>
  <c r="O1086" i="1"/>
  <c r="A1086" i="1"/>
  <c r="Q1121" i="1"/>
  <c r="A1121" i="1"/>
  <c r="P1121" i="1"/>
  <c r="O1121" i="1"/>
  <c r="A1138" i="1"/>
  <c r="Q1142" i="1"/>
  <c r="P1142" i="1"/>
  <c r="Q1164" i="1"/>
  <c r="P1164" i="1"/>
  <c r="O1164" i="1"/>
  <c r="A1164" i="1"/>
  <c r="O1195" i="1"/>
  <c r="A1200" i="1"/>
  <c r="P1200" i="1"/>
  <c r="Q1201" i="1"/>
  <c r="P1201" i="1"/>
  <c r="O1201" i="1"/>
  <c r="A1201" i="1"/>
  <c r="Q1216" i="1"/>
  <c r="P1216" i="1"/>
  <c r="A1216" i="1"/>
  <c r="Q1085" i="1"/>
  <c r="O1093" i="1"/>
  <c r="P1101" i="1"/>
  <c r="A1107" i="1"/>
  <c r="O1107" i="1"/>
  <c r="O1116" i="1"/>
  <c r="A1120" i="1"/>
  <c r="Q1120" i="1"/>
  <c r="O1123" i="1"/>
  <c r="P1127" i="1"/>
  <c r="Q1135" i="1"/>
  <c r="A1135" i="1"/>
  <c r="O1135" i="1"/>
  <c r="P1135" i="1"/>
  <c r="A1142" i="1"/>
  <c r="O1142" i="1"/>
  <c r="A1152" i="1"/>
  <c r="P1152" i="1"/>
  <c r="O1166" i="1"/>
  <c r="Q1174" i="1"/>
  <c r="P1174" i="1"/>
  <c r="M1177" i="1"/>
  <c r="A1193" i="1"/>
  <c r="M1207" i="1"/>
  <c r="O1216" i="1"/>
  <c r="Q1185" i="1"/>
  <c r="P1185" i="1"/>
  <c r="O1083" i="1"/>
  <c r="Q1133" i="1"/>
  <c r="P1133" i="1"/>
  <c r="A1133" i="1"/>
  <c r="O1160" i="1"/>
  <c r="Q1160" i="1"/>
  <c r="A1160" i="1"/>
  <c r="P1160" i="1"/>
  <c r="Q1188" i="1"/>
  <c r="P1188" i="1"/>
  <c r="O1188" i="1"/>
  <c r="A1188" i="1"/>
  <c r="Q1105" i="1"/>
  <c r="P1105" i="1"/>
  <c r="O1105" i="1"/>
  <c r="A1105" i="1"/>
  <c r="O1149" i="1"/>
  <c r="A1187" i="1"/>
  <c r="O1203" i="1"/>
  <c r="Q1203" i="1"/>
  <c r="P1203" i="1"/>
  <c r="A1203" i="1"/>
  <c r="Q1104" i="1"/>
  <c r="O1120" i="1"/>
  <c r="Q1137" i="1"/>
  <c r="A1085" i="1"/>
  <c r="P1085" i="1"/>
  <c r="P1099" i="1"/>
  <c r="P1117" i="1"/>
  <c r="Q1117" i="1"/>
  <c r="A1117" i="1"/>
  <c r="O1152" i="1"/>
  <c r="Q1193" i="1"/>
  <c r="P1193" i="1"/>
  <c r="A1093" i="1"/>
  <c r="P1093" i="1"/>
  <c r="Q1094" i="1"/>
  <c r="P1094" i="1"/>
  <c r="O1094" i="1"/>
  <c r="A1094" i="1"/>
  <c r="A1101" i="1"/>
  <c r="Q1101" i="1"/>
  <c r="Q1102" i="1"/>
  <c r="P1102" i="1"/>
  <c r="P1107" i="1"/>
  <c r="A1116" i="1"/>
  <c r="Q1116" i="1"/>
  <c r="P1123" i="1"/>
  <c r="P1124" i="1"/>
  <c r="O1124" i="1"/>
  <c r="A1124" i="1"/>
  <c r="Q1124" i="1"/>
  <c r="A1166" i="1"/>
  <c r="P1166" i="1"/>
  <c r="Q1177" i="1"/>
  <c r="P1177" i="1"/>
  <c r="M1220" i="1"/>
  <c r="O1148" i="1"/>
  <c r="A1148" i="1"/>
  <c r="Q1146" i="1"/>
  <c r="O1146" i="1"/>
  <c r="P1146" i="1"/>
  <c r="A1146" i="1"/>
  <c r="P1148" i="1"/>
  <c r="O1185" i="1"/>
  <c r="O1187" i="1"/>
  <c r="Q1091" i="1"/>
  <c r="P1091" i="1"/>
  <c r="P1132" i="1"/>
  <c r="O1133" i="1"/>
  <c r="O1137" i="1"/>
  <c r="A1091" i="1"/>
  <c r="A1099" i="1"/>
  <c r="O1099" i="1"/>
  <c r="Q1132" i="1"/>
  <c r="O1138" i="1"/>
  <c r="A1145" i="1"/>
  <c r="O1145" i="1"/>
  <c r="O1127" i="1"/>
  <c r="A1127" i="1"/>
  <c r="P1128" i="1"/>
  <c r="Q1128" i="1"/>
  <c r="A1128" i="1"/>
  <c r="A1137" i="1"/>
  <c r="P1138" i="1"/>
  <c r="Q1172" i="1"/>
  <c r="P1172" i="1"/>
  <c r="O1172" i="1"/>
  <c r="A1172" i="1"/>
  <c r="A1088" i="1"/>
  <c r="O1088" i="1"/>
  <c r="A1102" i="1"/>
  <c r="O1102" i="1"/>
  <c r="Q1110" i="1"/>
  <c r="A1110" i="1"/>
  <c r="P1110" i="1"/>
  <c r="O1110" i="1"/>
  <c r="O1113" i="1"/>
  <c r="A1123" i="1"/>
  <c r="M1146" i="1"/>
  <c r="M1148" i="1"/>
  <c r="O1177" i="1"/>
  <c r="Q1180" i="1"/>
  <c r="P1180" i="1"/>
  <c r="O1180" i="1"/>
  <c r="A1180" i="1"/>
  <c r="Q1182" i="1"/>
  <c r="O1182" i="1"/>
  <c r="A1182" i="1"/>
  <c r="P1182" i="1"/>
  <c r="M1218" i="1"/>
  <c r="O1111" i="1"/>
  <c r="A1111" i="1"/>
  <c r="O1125" i="1"/>
  <c r="A1139" i="1"/>
  <c r="O1139" i="1"/>
  <c r="A1150" i="1"/>
  <c r="O1150" i="1"/>
  <c r="A1153" i="1"/>
  <c r="O1153" i="1"/>
  <c r="M1165" i="1"/>
  <c r="O1168" i="1"/>
  <c r="A1190" i="1"/>
  <c r="O1190" i="1"/>
  <c r="Q1204" i="1"/>
  <c r="P1204" i="1"/>
  <c r="O1204" i="1"/>
  <c r="A1204" i="1"/>
  <c r="A1209" i="1"/>
  <c r="O1211" i="1"/>
  <c r="Q1217" i="1"/>
  <c r="P1217" i="1"/>
  <c r="M1157" i="1"/>
  <c r="A1089" i="1"/>
  <c r="A1100" i="1"/>
  <c r="A1108" i="1"/>
  <c r="P1111" i="1"/>
  <c r="A1118" i="1"/>
  <c r="A1125" i="1"/>
  <c r="P1125" i="1"/>
  <c r="A1129" i="1"/>
  <c r="O1129" i="1"/>
  <c r="O1136" i="1"/>
  <c r="P1139" i="1"/>
  <c r="O1140" i="1"/>
  <c r="A1140" i="1"/>
  <c r="P1150" i="1"/>
  <c r="Q1153" i="1"/>
  <c r="O1155" i="1"/>
  <c r="Q1161" i="1"/>
  <c r="P1161" i="1"/>
  <c r="P1168" i="1"/>
  <c r="M1173" i="1"/>
  <c r="O1176" i="1"/>
  <c r="P1190" i="1"/>
  <c r="A1198" i="1"/>
  <c r="O1198" i="1"/>
  <c r="A1211" i="1"/>
  <c r="P1211" i="1"/>
  <c r="Q1212" i="1"/>
  <c r="P1212" i="1"/>
  <c r="O1212" i="1"/>
  <c r="A1212" i="1"/>
  <c r="A1217" i="1"/>
  <c r="O1217" i="1"/>
  <c r="O1219" i="1"/>
  <c r="M1131" i="1"/>
  <c r="Q1196" i="1"/>
  <c r="P1196" i="1"/>
  <c r="O1196" i="1"/>
  <c r="A1196" i="1"/>
  <c r="Q1209" i="1"/>
  <c r="P1209" i="1"/>
  <c r="O1119" i="1"/>
  <c r="A1119" i="1"/>
  <c r="P1129" i="1"/>
  <c r="A1136" i="1"/>
  <c r="M1138" i="1"/>
  <c r="A1155" i="1"/>
  <c r="Q1156" i="1"/>
  <c r="P1156" i="1"/>
  <c r="O1156" i="1"/>
  <c r="A1156" i="1"/>
  <c r="A1161" i="1"/>
  <c r="O1161" i="1"/>
  <c r="A1168" i="1"/>
  <c r="Q1169" i="1"/>
  <c r="P1169" i="1"/>
  <c r="M1181" i="1"/>
  <c r="M1194" i="1"/>
  <c r="P1198" i="1"/>
  <c r="A1206" i="1"/>
  <c r="O1206" i="1"/>
  <c r="A1219" i="1"/>
  <c r="Q1220" i="1"/>
  <c r="P1220" i="1"/>
  <c r="O1220" i="1"/>
  <c r="A1220" i="1"/>
  <c r="A1154" i="1"/>
  <c r="A1162" i="1"/>
  <c r="A1170" i="1"/>
  <c r="A1178" i="1"/>
  <c r="A1186" i="1"/>
  <c r="A1194" i="1"/>
  <c r="A1202" i="1"/>
  <c r="A1210" i="1"/>
  <c r="A1218" i="1"/>
</calcChain>
</file>

<file path=xl/sharedStrings.xml><?xml version="1.0" encoding="utf-8"?>
<sst xmlns="http://schemas.openxmlformats.org/spreadsheetml/2006/main" count="11947" uniqueCount="49">
  <si>
    <t>OrderID</t>
  </si>
  <si>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</si>
  <si>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</si>
  <si>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</si>
  <si>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</si>
  <si>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</si>
  <si>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</si>
  <si>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</si>
  <si>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</si>
  <si>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</si>
  <si>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>Sales</t>
  </si>
  <si>
    <t>COGS</t>
  </si>
  <si>
    <t>Profit</t>
  </si>
  <si>
    <t>Date</t>
  </si>
  <si>
    <t>Month Number</t>
  </si>
  <si>
    <t>Month 0me</t>
  </si>
  <si>
    <t>Year</t>
  </si>
  <si>
    <t>Government</t>
  </si>
  <si>
    <t>Ca0da</t>
  </si>
  <si>
    <t>Carretera</t>
  </si>
  <si>
    <t>None</t>
  </si>
  <si>
    <t>January</t>
  </si>
  <si>
    <t>Germany</t>
  </si>
  <si>
    <t>Midmarket</t>
  </si>
  <si>
    <t>France</t>
  </si>
  <si>
    <t>June</t>
  </si>
  <si>
    <t>Mexico</t>
  </si>
  <si>
    <t>December</t>
  </si>
  <si>
    <t>Monta0</t>
  </si>
  <si>
    <t>March</t>
  </si>
  <si>
    <t>Channel Partners</t>
  </si>
  <si>
    <t>Enterprise</t>
  </si>
  <si>
    <t>July</t>
  </si>
  <si>
    <t>Small Business</t>
  </si>
  <si>
    <t>August</t>
  </si>
  <si>
    <t>September</t>
  </si>
  <si>
    <t>October</t>
  </si>
  <si>
    <t>United States of America</t>
  </si>
  <si>
    <t>Paseo</t>
  </si>
  <si>
    <t>February</t>
  </si>
  <si>
    <t>November</t>
  </si>
  <si>
    <t>Velo</t>
  </si>
  <si>
    <t>VTT</t>
  </si>
  <si>
    <t>April</t>
  </si>
  <si>
    <t>Amarilla</t>
  </si>
  <si>
    <t>Low</t>
  </si>
  <si>
    <t>May</t>
  </si>
  <si>
    <t>Medium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</si>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</sst>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4">
    <dxf>
      <font>
        <color theme="5" tint="-0.24994659260841701"/>
      </font>
    </dxf>
    <dxf>
      <font>
        <color rgb="FF9C0006"/>
      </font>
      <fill>
        <patternFill>
          <bgColor rgb="FFFFC7CE"/>
        </patternFill>
      </fill>
    </dxf>
    <dxf>
      <font>
        <color theme="5" tint="-0.24994659260841701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6F38C-7DB2-48A8-8B6E-F0BD3D7BB1C0}">
  <dimension ref="A1:Q1220"/>
  <sheetViews>
    <sheetView workbookViewId="0">
      <selection activeCell="J1" sqref="J1:J1048576"/>
    </sheetView>
  </sheetViews>
  <sheetFormatPr defaultRowHeight="14.4" x14ac:dyDescent="0.3"/>
  <cols>
    <col min="1" max="1" width="18.77734375" customWidth="1"/>
    <col min="2" max="2" width="14.88671875" bestFit="1" customWidth="1"/>
    <col min="3" max="3" width="21.5546875" bestFit="1" customWidth="1"/>
    <col min="4" max="4" width="8.77734375" bestFit="1" customWidth="1"/>
    <col min="5" max="5" width="12.6640625" bestFit="1" customWidth="1"/>
    <col min="6" max="6" width="9.109375" bestFit="1" customWidth="1"/>
    <col min="7" max="7" width="17.5546875" bestFit="1" customWidth="1"/>
    <col min="8" max="8" width="8.77734375" bestFit="1" customWidth="1"/>
    <col min="9" max="9" width="10.109375" bestFit="1" customWidth="1"/>
    <col min="10" max="10" width="9" bestFit="1" customWidth="1"/>
    <col min="11" max="11" width="10" bestFit="1" customWidth="1"/>
    <col min="12" max="12" width="8.5546875" bestFit="1" customWidth="1"/>
    <col min="13" max="13" width="10" bestFit="1" customWidth="1"/>
    <col min="14" max="14" width="10.33203125" bestFit="1" customWidth="1"/>
    <col min="15" max="15" width="13.5546875" bestFit="1" customWidth="1"/>
    <col min="16" max="16" width="11.77734375" bestFit="1" customWidth="1"/>
    <col min="17" max="17" width="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tr">
        <f ca="1">"ORD-" &amp; YEAR(N2) &amp; "-"  &amp; LEFT(C2,3) &amp; "-" &amp; RANDBETWEEN(1000,9999)</f>
        <v>ORD-2014-Ca0-4001</v>
      </c>
      <c r="B2" t="s">
        <v>17</v>
      </c>
      <c r="C2" t="s">
        <v>18</v>
      </c>
      <c r="D2" t="s">
        <v>19</v>
      </c>
      <c r="E2" t="s">
        <v>20</v>
      </c>
      <c r="F2">
        <v>1618.5</v>
      </c>
      <c r="G2">
        <v>3</v>
      </c>
      <c r="H2">
        <v>20</v>
      </c>
      <c r="I2">
        <v>32370</v>
      </c>
      <c r="J2">
        <v>0</v>
      </c>
      <c r="K2">
        <v>32370</v>
      </c>
      <c r="L2">
        <v>16185</v>
      </c>
      <c r="M2">
        <v>16185</v>
      </c>
      <c r="N2" s="1">
        <v>41640</v>
      </c>
      <c r="O2">
        <v>1</v>
      </c>
      <c r="P2" t="s">
        <v>21</v>
      </c>
      <c r="Q2">
        <v>2014</v>
      </c>
    </row>
    <row r="3" spans="1:17" x14ac:dyDescent="0.3">
      <c r="A3" t="str">
        <f t="shared" ref="A3:A66" ca="1" si="0">"ORD-" &amp; YEAR(N3) &amp; "-"  &amp; LEFT(C3,3) &amp; "-" &amp; RANDBETWEEN(1000,9999)</f>
        <v>ORD-2014-Ger-6927</v>
      </c>
      <c r="B3" t="s">
        <v>17</v>
      </c>
      <c r="C3" t="s">
        <v>22</v>
      </c>
      <c r="D3" t="s">
        <v>19</v>
      </c>
      <c r="E3" t="s">
        <v>20</v>
      </c>
      <c r="F3">
        <v>1321</v>
      </c>
      <c r="G3">
        <v>3</v>
      </c>
      <c r="H3">
        <v>20</v>
      </c>
      <c r="I3">
        <v>26420</v>
      </c>
      <c r="J3">
        <v>0</v>
      </c>
      <c r="K3">
        <v>26420</v>
      </c>
      <c r="L3">
        <v>13210</v>
      </c>
      <c r="M3">
        <v>13210</v>
      </c>
      <c r="N3" s="1">
        <v>41640</v>
      </c>
      <c r="O3">
        <v>1</v>
      </c>
      <c r="P3" t="s">
        <v>21</v>
      </c>
      <c r="Q3">
        <v>2014</v>
      </c>
    </row>
    <row r="4" spans="1:17" x14ac:dyDescent="0.3">
      <c r="A4" t="str">
        <f t="shared" ca="1" si="0"/>
        <v>ORD-2014-Fra-6122</v>
      </c>
      <c r="B4" t="s">
        <v>23</v>
      </c>
      <c r="C4" t="s">
        <v>24</v>
      </c>
      <c r="D4" t="s">
        <v>19</v>
      </c>
      <c r="E4" t="s">
        <v>20</v>
      </c>
      <c r="F4">
        <v>2178</v>
      </c>
      <c r="G4">
        <v>3</v>
      </c>
      <c r="H4">
        <v>15</v>
      </c>
      <c r="I4">
        <v>32670</v>
      </c>
      <c r="J4">
        <v>0</v>
      </c>
      <c r="K4">
        <v>32670</v>
      </c>
      <c r="L4">
        <v>21780</v>
      </c>
      <c r="M4">
        <v>10890</v>
      </c>
      <c r="N4" s="1">
        <v>41791</v>
      </c>
      <c r="O4">
        <v>6</v>
      </c>
      <c r="P4" t="s">
        <v>25</v>
      </c>
      <c r="Q4">
        <v>2014</v>
      </c>
    </row>
    <row r="5" spans="1:17" x14ac:dyDescent="0.3">
      <c r="A5" t="str">
        <f t="shared" ca="1" si="0"/>
        <v>ORD-2014-Ger-5335</v>
      </c>
      <c r="B5" t="s">
        <v>23</v>
      </c>
      <c r="C5" t="s">
        <v>22</v>
      </c>
      <c r="D5" t="s">
        <v>19</v>
      </c>
      <c r="E5" t="s">
        <v>20</v>
      </c>
      <c r="F5">
        <v>888</v>
      </c>
      <c r="G5">
        <v>3</v>
      </c>
      <c r="H5">
        <v>15</v>
      </c>
      <c r="I5">
        <v>13320</v>
      </c>
      <c r="J5">
        <v>0</v>
      </c>
      <c r="K5">
        <v>13320</v>
      </c>
      <c r="L5">
        <v>8880</v>
      </c>
      <c r="M5">
        <v>4440</v>
      </c>
      <c r="N5" s="1">
        <v>41791</v>
      </c>
      <c r="O5">
        <v>6</v>
      </c>
      <c r="P5" t="s">
        <v>25</v>
      </c>
      <c r="Q5">
        <v>2014</v>
      </c>
    </row>
    <row r="6" spans="1:17" x14ac:dyDescent="0.3">
      <c r="A6" t="str">
        <f t="shared" ca="1" si="0"/>
        <v>ORD-2014-Mex-7357</v>
      </c>
      <c r="B6" t="s">
        <v>23</v>
      </c>
      <c r="C6" t="s">
        <v>26</v>
      </c>
      <c r="D6" t="s">
        <v>19</v>
      </c>
      <c r="E6" t="s">
        <v>20</v>
      </c>
      <c r="F6">
        <v>2470</v>
      </c>
      <c r="G6">
        <v>3</v>
      </c>
      <c r="H6">
        <v>15</v>
      </c>
      <c r="I6">
        <v>37050</v>
      </c>
      <c r="J6">
        <v>0</v>
      </c>
      <c r="K6">
        <v>37050</v>
      </c>
      <c r="L6">
        <v>24700</v>
      </c>
      <c r="M6">
        <v>12350</v>
      </c>
      <c r="N6" s="1">
        <v>41791</v>
      </c>
      <c r="O6">
        <v>6</v>
      </c>
      <c r="P6" t="s">
        <v>25</v>
      </c>
      <c r="Q6">
        <v>2014</v>
      </c>
    </row>
    <row r="7" spans="1:17" x14ac:dyDescent="0.3">
      <c r="A7" t="str">
        <f t="shared" ca="1" si="0"/>
        <v>ORD-2014-Ger-1509</v>
      </c>
      <c r="B7" t="s">
        <v>17</v>
      </c>
      <c r="C7" t="s">
        <v>22</v>
      </c>
      <c r="D7" t="s">
        <v>19</v>
      </c>
      <c r="E7" t="s">
        <v>20</v>
      </c>
      <c r="F7">
        <v>1513</v>
      </c>
      <c r="G7">
        <v>3</v>
      </c>
      <c r="H7">
        <v>350</v>
      </c>
      <c r="I7">
        <v>529550</v>
      </c>
      <c r="J7">
        <v>0</v>
      </c>
      <c r="K7">
        <v>529550</v>
      </c>
      <c r="L7">
        <v>393380</v>
      </c>
      <c r="M7">
        <v>136170</v>
      </c>
      <c r="N7" s="1">
        <v>41974</v>
      </c>
      <c r="O7">
        <v>12</v>
      </c>
      <c r="P7" t="s">
        <v>27</v>
      </c>
      <c r="Q7">
        <v>2014</v>
      </c>
    </row>
    <row r="8" spans="1:17" x14ac:dyDescent="0.3">
      <c r="A8" t="str">
        <f t="shared" ca="1" si="0"/>
        <v>ORD-2014-Ger-9561</v>
      </c>
      <c r="B8" t="s">
        <v>23</v>
      </c>
      <c r="C8" t="s">
        <v>22</v>
      </c>
      <c r="D8" t="s">
        <v>28</v>
      </c>
      <c r="E8" t="s">
        <v>20</v>
      </c>
      <c r="F8">
        <v>921</v>
      </c>
      <c r="G8">
        <v>5</v>
      </c>
      <c r="H8">
        <v>15</v>
      </c>
      <c r="I8">
        <v>13815</v>
      </c>
      <c r="J8">
        <v>0</v>
      </c>
      <c r="K8">
        <v>13815</v>
      </c>
      <c r="L8">
        <v>9210</v>
      </c>
      <c r="M8">
        <v>4605</v>
      </c>
      <c r="N8" s="1">
        <v>41699</v>
      </c>
      <c r="O8">
        <v>3</v>
      </c>
      <c r="P8" t="s">
        <v>29</v>
      </c>
      <c r="Q8">
        <v>2014</v>
      </c>
    </row>
    <row r="9" spans="1:17" x14ac:dyDescent="0.3">
      <c r="A9" t="str">
        <f t="shared" ca="1" si="0"/>
        <v>ORD-2014-Ca0-7277</v>
      </c>
      <c r="B9" t="s">
        <v>30</v>
      </c>
      <c r="C9" t="s">
        <v>18</v>
      </c>
      <c r="D9" t="s">
        <v>28</v>
      </c>
      <c r="E9" t="s">
        <v>20</v>
      </c>
      <c r="F9">
        <v>2518</v>
      </c>
      <c r="G9">
        <v>5</v>
      </c>
      <c r="H9">
        <v>12</v>
      </c>
      <c r="I9">
        <v>30216</v>
      </c>
      <c r="J9">
        <v>0</v>
      </c>
      <c r="K9">
        <v>30216</v>
      </c>
      <c r="L9">
        <v>7554</v>
      </c>
      <c r="M9">
        <v>22662</v>
      </c>
      <c r="N9" s="1">
        <v>41791</v>
      </c>
      <c r="O9">
        <v>6</v>
      </c>
      <c r="P9" t="s">
        <v>25</v>
      </c>
      <c r="Q9">
        <v>2014</v>
      </c>
    </row>
    <row r="10" spans="1:17" x14ac:dyDescent="0.3">
      <c r="A10" t="str">
        <f t="shared" ca="1" si="0"/>
        <v>ORD-2014-Fra-9082</v>
      </c>
      <c r="B10" t="s">
        <v>17</v>
      </c>
      <c r="C10" t="s">
        <v>24</v>
      </c>
      <c r="D10" t="s">
        <v>28</v>
      </c>
      <c r="E10" t="s">
        <v>20</v>
      </c>
      <c r="F10">
        <v>1899</v>
      </c>
      <c r="G10">
        <v>5</v>
      </c>
      <c r="H10">
        <v>20</v>
      </c>
      <c r="I10">
        <v>37980</v>
      </c>
      <c r="J10">
        <v>0</v>
      </c>
      <c r="K10">
        <v>37980</v>
      </c>
      <c r="L10">
        <v>18990</v>
      </c>
      <c r="M10">
        <v>18990</v>
      </c>
      <c r="N10" s="1">
        <v>41791</v>
      </c>
      <c r="O10">
        <v>6</v>
      </c>
      <c r="P10" t="s">
        <v>25</v>
      </c>
      <c r="Q10">
        <v>2014</v>
      </c>
    </row>
    <row r="11" spans="1:17" x14ac:dyDescent="0.3">
      <c r="A11" t="str">
        <f t="shared" ca="1" si="0"/>
        <v>ORD-2014-Ger-9263</v>
      </c>
      <c r="B11" t="s">
        <v>30</v>
      </c>
      <c r="C11" t="s">
        <v>22</v>
      </c>
      <c r="D11" t="s">
        <v>28</v>
      </c>
      <c r="E11" t="s">
        <v>20</v>
      </c>
      <c r="F11">
        <v>1545</v>
      </c>
      <c r="G11">
        <v>5</v>
      </c>
      <c r="H11">
        <v>12</v>
      </c>
      <c r="I11">
        <v>18540</v>
      </c>
      <c r="J11">
        <v>0</v>
      </c>
      <c r="K11">
        <v>18540</v>
      </c>
      <c r="L11">
        <v>4635</v>
      </c>
      <c r="M11">
        <v>13905</v>
      </c>
      <c r="N11" s="1">
        <v>41791</v>
      </c>
      <c r="O11">
        <v>6</v>
      </c>
      <c r="P11" t="s">
        <v>25</v>
      </c>
      <c r="Q11">
        <v>2014</v>
      </c>
    </row>
    <row r="12" spans="1:17" x14ac:dyDescent="0.3">
      <c r="A12" t="str">
        <f t="shared" ca="1" si="0"/>
        <v>ORD-2014-Mex-1017</v>
      </c>
      <c r="B12" t="s">
        <v>23</v>
      </c>
      <c r="C12" t="s">
        <v>26</v>
      </c>
      <c r="D12" t="s">
        <v>28</v>
      </c>
      <c r="E12" t="s">
        <v>20</v>
      </c>
      <c r="F12">
        <v>2470</v>
      </c>
      <c r="G12">
        <v>5</v>
      </c>
      <c r="H12">
        <v>15</v>
      </c>
      <c r="I12">
        <v>37050</v>
      </c>
      <c r="J12">
        <v>0</v>
      </c>
      <c r="K12">
        <v>37050</v>
      </c>
      <c r="L12">
        <v>24700</v>
      </c>
      <c r="M12">
        <v>12350</v>
      </c>
      <c r="N12" s="1">
        <v>41791</v>
      </c>
      <c r="O12">
        <v>6</v>
      </c>
      <c r="P12" t="s">
        <v>25</v>
      </c>
      <c r="Q12">
        <v>2014</v>
      </c>
    </row>
    <row r="13" spans="1:17" x14ac:dyDescent="0.3">
      <c r="A13" t="str">
        <f t="shared" ca="1" si="0"/>
        <v>ORD-2014-Ca0-9138</v>
      </c>
      <c r="B13" t="s">
        <v>31</v>
      </c>
      <c r="C13" t="s">
        <v>18</v>
      </c>
      <c r="D13" t="s">
        <v>28</v>
      </c>
      <c r="E13" t="s">
        <v>20</v>
      </c>
      <c r="F13">
        <v>2665.5</v>
      </c>
      <c r="G13">
        <v>5</v>
      </c>
      <c r="H13">
        <v>125</v>
      </c>
      <c r="I13">
        <v>333187.5</v>
      </c>
      <c r="J13">
        <v>0</v>
      </c>
      <c r="K13">
        <v>333187.5</v>
      </c>
      <c r="L13">
        <v>319860</v>
      </c>
      <c r="M13">
        <v>13327.5</v>
      </c>
      <c r="N13" s="1">
        <v>41821</v>
      </c>
      <c r="O13">
        <v>7</v>
      </c>
      <c r="P13" t="s">
        <v>32</v>
      </c>
      <c r="Q13">
        <v>2014</v>
      </c>
    </row>
    <row r="14" spans="1:17" x14ac:dyDescent="0.3">
      <c r="A14" t="str">
        <f t="shared" ca="1" si="0"/>
        <v>ORD-2014-Mex-8454</v>
      </c>
      <c r="B14" t="s">
        <v>33</v>
      </c>
      <c r="C14" t="s">
        <v>26</v>
      </c>
      <c r="D14" t="s">
        <v>28</v>
      </c>
      <c r="E14" t="s">
        <v>20</v>
      </c>
      <c r="F14">
        <v>958</v>
      </c>
      <c r="G14">
        <v>5</v>
      </c>
      <c r="H14">
        <v>300</v>
      </c>
      <c r="I14">
        <v>287400</v>
      </c>
      <c r="J14">
        <v>0</v>
      </c>
      <c r="K14">
        <v>287400</v>
      </c>
      <c r="L14">
        <v>239500</v>
      </c>
      <c r="M14">
        <v>47900</v>
      </c>
      <c r="N14" s="1">
        <v>41852</v>
      </c>
      <c r="O14">
        <v>8</v>
      </c>
      <c r="P14" t="s">
        <v>34</v>
      </c>
      <c r="Q14">
        <v>2014</v>
      </c>
    </row>
    <row r="15" spans="1:17" x14ac:dyDescent="0.3">
      <c r="A15" t="str">
        <f t="shared" ca="1" si="0"/>
        <v>ORD-2014-Ger-4400</v>
      </c>
      <c r="B15" t="s">
        <v>17</v>
      </c>
      <c r="C15" t="s">
        <v>22</v>
      </c>
      <c r="D15" t="s">
        <v>28</v>
      </c>
      <c r="E15" t="s">
        <v>20</v>
      </c>
      <c r="F15">
        <v>2146</v>
      </c>
      <c r="G15">
        <v>5</v>
      </c>
      <c r="H15">
        <v>7</v>
      </c>
      <c r="I15">
        <v>15022</v>
      </c>
      <c r="J15">
        <v>0</v>
      </c>
      <c r="K15">
        <v>15022</v>
      </c>
      <c r="L15">
        <v>10730</v>
      </c>
      <c r="M15">
        <v>4292</v>
      </c>
      <c r="N15" s="1">
        <v>41883</v>
      </c>
      <c r="O15">
        <v>9</v>
      </c>
      <c r="P15" t="s">
        <v>35</v>
      </c>
      <c r="Q15">
        <v>2014</v>
      </c>
    </row>
    <row r="16" spans="1:17" x14ac:dyDescent="0.3">
      <c r="A16" t="str">
        <f t="shared" ca="1" si="0"/>
        <v>ORD-2013-Ca0-6441</v>
      </c>
      <c r="B16" t="s">
        <v>31</v>
      </c>
      <c r="C16" t="s">
        <v>18</v>
      </c>
      <c r="D16" t="s">
        <v>28</v>
      </c>
      <c r="E16" t="s">
        <v>20</v>
      </c>
      <c r="F16">
        <v>345</v>
      </c>
      <c r="G16">
        <v>5</v>
      </c>
      <c r="H16">
        <v>125</v>
      </c>
      <c r="I16">
        <v>43125</v>
      </c>
      <c r="J16">
        <v>0</v>
      </c>
      <c r="K16">
        <v>43125</v>
      </c>
      <c r="L16">
        <v>41400</v>
      </c>
      <c r="M16">
        <v>1725</v>
      </c>
      <c r="N16" s="1">
        <v>41548</v>
      </c>
      <c r="O16">
        <v>10</v>
      </c>
      <c r="P16" t="s">
        <v>36</v>
      </c>
      <c r="Q16">
        <v>2013</v>
      </c>
    </row>
    <row r="17" spans="1:17" x14ac:dyDescent="0.3">
      <c r="A17" t="str">
        <f t="shared" ca="1" si="0"/>
        <v>ORD-2014-Uni-1936</v>
      </c>
      <c r="B17" t="s">
        <v>23</v>
      </c>
      <c r="C17" t="s">
        <v>37</v>
      </c>
      <c r="D17" t="s">
        <v>28</v>
      </c>
      <c r="E17" t="s">
        <v>20</v>
      </c>
      <c r="F17">
        <v>615</v>
      </c>
      <c r="G17">
        <v>5</v>
      </c>
      <c r="H17">
        <v>15</v>
      </c>
      <c r="I17">
        <v>9225</v>
      </c>
      <c r="J17">
        <v>0</v>
      </c>
      <c r="K17">
        <v>9225</v>
      </c>
      <c r="L17">
        <v>6150</v>
      </c>
      <c r="M17">
        <v>3075</v>
      </c>
      <c r="N17" s="1">
        <v>41974</v>
      </c>
      <c r="O17">
        <v>12</v>
      </c>
      <c r="P17" t="s">
        <v>27</v>
      </c>
      <c r="Q17">
        <v>2014</v>
      </c>
    </row>
    <row r="18" spans="1:17" x14ac:dyDescent="0.3">
      <c r="A18" t="str">
        <f t="shared" ca="1" si="0"/>
        <v>ORD-2014-Ca0-8254</v>
      </c>
      <c r="B18" t="s">
        <v>17</v>
      </c>
      <c r="C18" t="s">
        <v>18</v>
      </c>
      <c r="D18" t="s">
        <v>38</v>
      </c>
      <c r="E18" t="s">
        <v>20</v>
      </c>
      <c r="F18">
        <v>292</v>
      </c>
      <c r="G18">
        <v>10</v>
      </c>
      <c r="H18">
        <v>20</v>
      </c>
      <c r="I18">
        <v>5840</v>
      </c>
      <c r="J18">
        <v>0</v>
      </c>
      <c r="K18">
        <v>5840</v>
      </c>
      <c r="L18">
        <v>2920</v>
      </c>
      <c r="M18">
        <v>2920</v>
      </c>
      <c r="N18" s="1">
        <v>41671</v>
      </c>
      <c r="O18">
        <v>2</v>
      </c>
      <c r="P18" t="s">
        <v>39</v>
      </c>
      <c r="Q18">
        <v>2014</v>
      </c>
    </row>
    <row r="19" spans="1:17" x14ac:dyDescent="0.3">
      <c r="A19" t="str">
        <f t="shared" ca="1" si="0"/>
        <v>ORD-2014-Mex-8460</v>
      </c>
      <c r="B19" t="s">
        <v>23</v>
      </c>
      <c r="C19" t="s">
        <v>26</v>
      </c>
      <c r="D19" t="s">
        <v>38</v>
      </c>
      <c r="E19" t="s">
        <v>20</v>
      </c>
      <c r="F19">
        <v>974</v>
      </c>
      <c r="G19">
        <v>10</v>
      </c>
      <c r="H19">
        <v>15</v>
      </c>
      <c r="I19">
        <v>14610</v>
      </c>
      <c r="J19">
        <v>0</v>
      </c>
      <c r="K19">
        <v>14610</v>
      </c>
      <c r="L19">
        <v>9740</v>
      </c>
      <c r="M19">
        <v>4870</v>
      </c>
      <c r="N19" s="1">
        <v>41671</v>
      </c>
      <c r="O19">
        <v>2</v>
      </c>
      <c r="P19" t="s">
        <v>39</v>
      </c>
      <c r="Q19">
        <v>2014</v>
      </c>
    </row>
    <row r="20" spans="1:17" x14ac:dyDescent="0.3">
      <c r="A20" t="str">
        <f t="shared" ca="1" si="0"/>
        <v>ORD-2014-Ca0-4143</v>
      </c>
      <c r="B20" t="s">
        <v>30</v>
      </c>
      <c r="C20" t="s">
        <v>18</v>
      </c>
      <c r="D20" t="s">
        <v>38</v>
      </c>
      <c r="E20" t="s">
        <v>20</v>
      </c>
      <c r="F20">
        <v>2518</v>
      </c>
      <c r="G20">
        <v>10</v>
      </c>
      <c r="H20">
        <v>12</v>
      </c>
      <c r="I20">
        <v>30216</v>
      </c>
      <c r="J20">
        <v>0</v>
      </c>
      <c r="K20">
        <v>30216</v>
      </c>
      <c r="L20">
        <v>7554</v>
      </c>
      <c r="M20">
        <v>22662</v>
      </c>
      <c r="N20" s="1">
        <v>41791</v>
      </c>
      <c r="O20">
        <v>6</v>
      </c>
      <c r="P20" t="s">
        <v>25</v>
      </c>
      <c r="Q20">
        <v>2014</v>
      </c>
    </row>
    <row r="21" spans="1:17" x14ac:dyDescent="0.3">
      <c r="A21" t="str">
        <f t="shared" ca="1" si="0"/>
        <v>ORD-2014-Ger-3195</v>
      </c>
      <c r="B21" t="s">
        <v>17</v>
      </c>
      <c r="C21" t="s">
        <v>22</v>
      </c>
      <c r="D21" t="s">
        <v>38</v>
      </c>
      <c r="E21" t="s">
        <v>20</v>
      </c>
      <c r="F21">
        <v>1006</v>
      </c>
      <c r="G21">
        <v>10</v>
      </c>
      <c r="H21">
        <v>350</v>
      </c>
      <c r="I21">
        <v>352100</v>
      </c>
      <c r="J21">
        <v>0</v>
      </c>
      <c r="K21">
        <v>352100</v>
      </c>
      <c r="L21">
        <v>261560</v>
      </c>
      <c r="M21">
        <v>90540</v>
      </c>
      <c r="N21" s="1">
        <v>41791</v>
      </c>
      <c r="O21">
        <v>6</v>
      </c>
      <c r="P21" t="s">
        <v>25</v>
      </c>
      <c r="Q21">
        <v>2014</v>
      </c>
    </row>
    <row r="22" spans="1:17" x14ac:dyDescent="0.3">
      <c r="A22" t="str">
        <f t="shared" ca="1" si="0"/>
        <v>ORD-2014-Ger-4258</v>
      </c>
      <c r="B22" t="s">
        <v>30</v>
      </c>
      <c r="C22" t="s">
        <v>22</v>
      </c>
      <c r="D22" t="s">
        <v>38</v>
      </c>
      <c r="E22" t="s">
        <v>20</v>
      </c>
      <c r="F22">
        <v>367</v>
      </c>
      <c r="G22">
        <v>10</v>
      </c>
      <c r="H22">
        <v>12</v>
      </c>
      <c r="I22">
        <v>4404</v>
      </c>
      <c r="J22">
        <v>0</v>
      </c>
      <c r="K22">
        <v>4404</v>
      </c>
      <c r="L22">
        <v>1101</v>
      </c>
      <c r="M22">
        <v>3303</v>
      </c>
      <c r="N22" s="1">
        <v>41821</v>
      </c>
      <c r="O22">
        <v>7</v>
      </c>
      <c r="P22" t="s">
        <v>32</v>
      </c>
      <c r="Q22">
        <v>2014</v>
      </c>
    </row>
    <row r="23" spans="1:17" x14ac:dyDescent="0.3">
      <c r="A23" t="str">
        <f t="shared" ca="1" si="0"/>
        <v>ORD-2014-Mex-7313</v>
      </c>
      <c r="B23" t="s">
        <v>17</v>
      </c>
      <c r="C23" t="s">
        <v>26</v>
      </c>
      <c r="D23" t="s">
        <v>38</v>
      </c>
      <c r="E23" t="s">
        <v>20</v>
      </c>
      <c r="F23">
        <v>883</v>
      </c>
      <c r="G23">
        <v>10</v>
      </c>
      <c r="H23">
        <v>7</v>
      </c>
      <c r="I23">
        <v>6181</v>
      </c>
      <c r="J23">
        <v>0</v>
      </c>
      <c r="K23">
        <v>6181</v>
      </c>
      <c r="L23">
        <v>4415</v>
      </c>
      <c r="M23">
        <v>1766</v>
      </c>
      <c r="N23" s="1">
        <v>41852</v>
      </c>
      <c r="O23">
        <v>8</v>
      </c>
      <c r="P23" t="s">
        <v>34</v>
      </c>
      <c r="Q23">
        <v>2014</v>
      </c>
    </row>
    <row r="24" spans="1:17" x14ac:dyDescent="0.3">
      <c r="A24" t="str">
        <f t="shared" ca="1" si="0"/>
        <v>ORD-2013-Fra-1945</v>
      </c>
      <c r="B24" t="s">
        <v>23</v>
      </c>
      <c r="C24" t="s">
        <v>24</v>
      </c>
      <c r="D24" t="s">
        <v>38</v>
      </c>
      <c r="E24" t="s">
        <v>20</v>
      </c>
      <c r="F24">
        <v>549</v>
      </c>
      <c r="G24">
        <v>10</v>
      </c>
      <c r="H24">
        <v>15</v>
      </c>
      <c r="I24">
        <v>8235</v>
      </c>
      <c r="J24">
        <v>0</v>
      </c>
      <c r="K24">
        <v>8235</v>
      </c>
      <c r="L24">
        <v>5490</v>
      </c>
      <c r="M24">
        <v>2745</v>
      </c>
      <c r="N24" s="1">
        <v>41518</v>
      </c>
      <c r="O24">
        <v>9</v>
      </c>
      <c r="P24" t="s">
        <v>35</v>
      </c>
      <c r="Q24">
        <v>2013</v>
      </c>
    </row>
    <row r="25" spans="1:17" x14ac:dyDescent="0.3">
      <c r="A25" t="str">
        <f t="shared" ca="1" si="0"/>
        <v>ORD-2013-Mex-2235</v>
      </c>
      <c r="B25" t="s">
        <v>33</v>
      </c>
      <c r="C25" t="s">
        <v>26</v>
      </c>
      <c r="D25" t="s">
        <v>38</v>
      </c>
      <c r="E25" t="s">
        <v>20</v>
      </c>
      <c r="F25">
        <v>788</v>
      </c>
      <c r="G25">
        <v>10</v>
      </c>
      <c r="H25">
        <v>300</v>
      </c>
      <c r="I25">
        <v>236400</v>
      </c>
      <c r="J25">
        <v>0</v>
      </c>
      <c r="K25">
        <v>236400</v>
      </c>
      <c r="L25">
        <v>197000</v>
      </c>
      <c r="M25">
        <v>39400</v>
      </c>
      <c r="N25" s="1">
        <v>41518</v>
      </c>
      <c r="O25">
        <v>9</v>
      </c>
      <c r="P25" t="s">
        <v>35</v>
      </c>
      <c r="Q25">
        <v>2013</v>
      </c>
    </row>
    <row r="26" spans="1:17" x14ac:dyDescent="0.3">
      <c r="A26" t="str">
        <f t="shared" ca="1" si="0"/>
        <v>ORD-2014-Mex-3524</v>
      </c>
      <c r="B26" t="s">
        <v>23</v>
      </c>
      <c r="C26" t="s">
        <v>26</v>
      </c>
      <c r="D26" t="s">
        <v>38</v>
      </c>
      <c r="E26" t="s">
        <v>20</v>
      </c>
      <c r="F26">
        <v>2472</v>
      </c>
      <c r="G26">
        <v>10</v>
      </c>
      <c r="H26">
        <v>15</v>
      </c>
      <c r="I26">
        <v>37080</v>
      </c>
      <c r="J26">
        <v>0</v>
      </c>
      <c r="K26">
        <v>37080</v>
      </c>
      <c r="L26">
        <v>24720</v>
      </c>
      <c r="M26">
        <v>12360</v>
      </c>
      <c r="N26" s="1">
        <v>41883</v>
      </c>
      <c r="O26">
        <v>9</v>
      </c>
      <c r="P26" t="s">
        <v>35</v>
      </c>
      <c r="Q26">
        <v>2014</v>
      </c>
    </row>
    <row r="27" spans="1:17" x14ac:dyDescent="0.3">
      <c r="A27" t="str">
        <f t="shared" ca="1" si="0"/>
        <v>ORD-2014-Uni-1292</v>
      </c>
      <c r="B27" t="s">
        <v>17</v>
      </c>
      <c r="C27" t="s">
        <v>37</v>
      </c>
      <c r="D27" t="s">
        <v>38</v>
      </c>
      <c r="E27" t="s">
        <v>20</v>
      </c>
      <c r="F27">
        <v>1143</v>
      </c>
      <c r="G27">
        <v>10</v>
      </c>
      <c r="H27">
        <v>7</v>
      </c>
      <c r="I27">
        <v>8001</v>
      </c>
      <c r="J27">
        <v>0</v>
      </c>
      <c r="K27">
        <v>8001</v>
      </c>
      <c r="L27">
        <v>5715</v>
      </c>
      <c r="M27">
        <v>2286</v>
      </c>
      <c r="N27" s="1">
        <v>41913</v>
      </c>
      <c r="O27">
        <v>10</v>
      </c>
      <c r="P27" t="s">
        <v>36</v>
      </c>
      <c r="Q27">
        <v>2014</v>
      </c>
    </row>
    <row r="28" spans="1:17" x14ac:dyDescent="0.3">
      <c r="A28" t="str">
        <f t="shared" ca="1" si="0"/>
        <v>ORD-2013-Ca0-3458</v>
      </c>
      <c r="B28" t="s">
        <v>17</v>
      </c>
      <c r="C28" t="s">
        <v>18</v>
      </c>
      <c r="D28" t="s">
        <v>38</v>
      </c>
      <c r="E28" t="s">
        <v>20</v>
      </c>
      <c r="F28">
        <v>1725</v>
      </c>
      <c r="G28">
        <v>10</v>
      </c>
      <c r="H28">
        <v>350</v>
      </c>
      <c r="I28">
        <v>603750</v>
      </c>
      <c r="J28">
        <v>0</v>
      </c>
      <c r="K28">
        <v>603750</v>
      </c>
      <c r="L28">
        <v>448500</v>
      </c>
      <c r="M28">
        <v>155250</v>
      </c>
      <c r="N28" s="1">
        <v>41579</v>
      </c>
      <c r="O28">
        <v>11</v>
      </c>
      <c r="P28" t="s">
        <v>40</v>
      </c>
      <c r="Q28">
        <v>2013</v>
      </c>
    </row>
    <row r="29" spans="1:17" x14ac:dyDescent="0.3">
      <c r="A29" t="str">
        <f t="shared" ca="1" si="0"/>
        <v>ORD-2013-Uni-9408</v>
      </c>
      <c r="B29" t="s">
        <v>30</v>
      </c>
      <c r="C29" t="s">
        <v>37</v>
      </c>
      <c r="D29" t="s">
        <v>38</v>
      </c>
      <c r="E29" t="s">
        <v>20</v>
      </c>
      <c r="F29">
        <v>912</v>
      </c>
      <c r="G29">
        <v>10</v>
      </c>
      <c r="H29">
        <v>12</v>
      </c>
      <c r="I29">
        <v>10944</v>
      </c>
      <c r="J29">
        <v>0</v>
      </c>
      <c r="K29">
        <v>10944</v>
      </c>
      <c r="L29">
        <v>2736</v>
      </c>
      <c r="M29">
        <v>8208</v>
      </c>
      <c r="N29" s="1">
        <v>41579</v>
      </c>
      <c r="O29">
        <v>11</v>
      </c>
      <c r="P29" t="s">
        <v>40</v>
      </c>
      <c r="Q29">
        <v>2013</v>
      </c>
    </row>
    <row r="30" spans="1:17" x14ac:dyDescent="0.3">
      <c r="A30" t="str">
        <f t="shared" ca="1" si="0"/>
        <v>ORD-2013-Ca0-1152</v>
      </c>
      <c r="B30" t="s">
        <v>23</v>
      </c>
      <c r="C30" t="s">
        <v>18</v>
      </c>
      <c r="D30" t="s">
        <v>38</v>
      </c>
      <c r="E30" t="s">
        <v>20</v>
      </c>
      <c r="F30">
        <v>2152</v>
      </c>
      <c r="G30">
        <v>10</v>
      </c>
      <c r="H30">
        <v>15</v>
      </c>
      <c r="I30">
        <v>32280</v>
      </c>
      <c r="J30">
        <v>0</v>
      </c>
      <c r="K30">
        <v>32280</v>
      </c>
      <c r="L30">
        <v>21520</v>
      </c>
      <c r="M30">
        <v>10760</v>
      </c>
      <c r="N30" s="1">
        <v>41609</v>
      </c>
      <c r="O30">
        <v>12</v>
      </c>
      <c r="P30" t="s">
        <v>27</v>
      </c>
      <c r="Q30">
        <v>2013</v>
      </c>
    </row>
    <row r="31" spans="1:17" x14ac:dyDescent="0.3">
      <c r="A31" t="str">
        <f t="shared" ca="1" si="0"/>
        <v>ORD-2014-Ca0-9996</v>
      </c>
      <c r="B31" t="s">
        <v>17</v>
      </c>
      <c r="C31" t="s">
        <v>18</v>
      </c>
      <c r="D31" t="s">
        <v>38</v>
      </c>
      <c r="E31" t="s">
        <v>20</v>
      </c>
      <c r="F31">
        <v>1817</v>
      </c>
      <c r="G31">
        <v>10</v>
      </c>
      <c r="H31">
        <v>20</v>
      </c>
      <c r="I31">
        <v>36340</v>
      </c>
      <c r="J31">
        <v>0</v>
      </c>
      <c r="K31">
        <v>36340</v>
      </c>
      <c r="L31">
        <v>18170</v>
      </c>
      <c r="M31">
        <v>18170</v>
      </c>
      <c r="N31" s="1">
        <v>41974</v>
      </c>
      <c r="O31">
        <v>12</v>
      </c>
      <c r="P31" t="s">
        <v>27</v>
      </c>
      <c r="Q31">
        <v>2014</v>
      </c>
    </row>
    <row r="32" spans="1:17" x14ac:dyDescent="0.3">
      <c r="A32" t="str">
        <f t="shared" ca="1" si="0"/>
        <v>ORD-2014-Ger-6811</v>
      </c>
      <c r="B32" t="s">
        <v>17</v>
      </c>
      <c r="C32" t="s">
        <v>22</v>
      </c>
      <c r="D32" t="s">
        <v>38</v>
      </c>
      <c r="E32" t="s">
        <v>20</v>
      </c>
      <c r="F32">
        <v>1513</v>
      </c>
      <c r="G32">
        <v>10</v>
      </c>
      <c r="H32">
        <v>350</v>
      </c>
      <c r="I32">
        <v>529550</v>
      </c>
      <c r="J32">
        <v>0</v>
      </c>
      <c r="K32">
        <v>529550</v>
      </c>
      <c r="L32">
        <v>393380</v>
      </c>
      <c r="M32">
        <v>136170</v>
      </c>
      <c r="N32" s="1">
        <v>41974</v>
      </c>
      <c r="O32">
        <v>12</v>
      </c>
      <c r="P32" t="s">
        <v>27</v>
      </c>
      <c r="Q32">
        <v>2014</v>
      </c>
    </row>
    <row r="33" spans="1:17" x14ac:dyDescent="0.3">
      <c r="A33" t="str">
        <f t="shared" ca="1" si="0"/>
        <v>ORD-2014-Mex-7063</v>
      </c>
      <c r="B33" t="s">
        <v>17</v>
      </c>
      <c r="C33" t="s">
        <v>26</v>
      </c>
      <c r="D33" t="s">
        <v>41</v>
      </c>
      <c r="E33" t="s">
        <v>20</v>
      </c>
      <c r="F33">
        <v>1493</v>
      </c>
      <c r="G33">
        <v>120</v>
      </c>
      <c r="H33">
        <v>7</v>
      </c>
      <c r="I33">
        <v>10451</v>
      </c>
      <c r="J33">
        <v>0</v>
      </c>
      <c r="K33">
        <v>10451</v>
      </c>
      <c r="L33">
        <v>7465</v>
      </c>
      <c r="M33">
        <v>2986</v>
      </c>
      <c r="N33" s="1">
        <v>41640</v>
      </c>
      <c r="O33">
        <v>1</v>
      </c>
      <c r="P33" t="s">
        <v>21</v>
      </c>
      <c r="Q33">
        <v>2014</v>
      </c>
    </row>
    <row r="34" spans="1:17" x14ac:dyDescent="0.3">
      <c r="A34" t="str">
        <f t="shared" ca="1" si="0"/>
        <v>ORD-2014-Fra-7676</v>
      </c>
      <c r="B34" t="s">
        <v>31</v>
      </c>
      <c r="C34" t="s">
        <v>24</v>
      </c>
      <c r="D34" t="s">
        <v>41</v>
      </c>
      <c r="E34" t="s">
        <v>20</v>
      </c>
      <c r="F34">
        <v>1804</v>
      </c>
      <c r="G34">
        <v>120</v>
      </c>
      <c r="H34">
        <v>125</v>
      </c>
      <c r="I34">
        <v>225500</v>
      </c>
      <c r="J34">
        <v>0</v>
      </c>
      <c r="K34">
        <v>225500</v>
      </c>
      <c r="L34">
        <v>216480</v>
      </c>
      <c r="M34">
        <v>9020</v>
      </c>
      <c r="N34" s="1">
        <v>41671</v>
      </c>
      <c r="O34">
        <v>2</v>
      </c>
      <c r="P34" t="s">
        <v>39</v>
      </c>
      <c r="Q34">
        <v>2014</v>
      </c>
    </row>
    <row r="35" spans="1:17" x14ac:dyDescent="0.3">
      <c r="A35" t="str">
        <f t="shared" ca="1" si="0"/>
        <v>ORD-2014-Ger-4781</v>
      </c>
      <c r="B35" t="s">
        <v>30</v>
      </c>
      <c r="C35" t="s">
        <v>22</v>
      </c>
      <c r="D35" t="s">
        <v>41</v>
      </c>
      <c r="E35" t="s">
        <v>20</v>
      </c>
      <c r="F35">
        <v>2161</v>
      </c>
      <c r="G35">
        <v>120</v>
      </c>
      <c r="H35">
        <v>12</v>
      </c>
      <c r="I35">
        <v>25932</v>
      </c>
      <c r="J35">
        <v>0</v>
      </c>
      <c r="K35">
        <v>25932</v>
      </c>
      <c r="L35">
        <v>6483</v>
      </c>
      <c r="M35">
        <v>19449</v>
      </c>
      <c r="N35" s="1">
        <v>41699</v>
      </c>
      <c r="O35">
        <v>3</v>
      </c>
      <c r="P35" t="s">
        <v>29</v>
      </c>
      <c r="Q35">
        <v>2014</v>
      </c>
    </row>
    <row r="36" spans="1:17" x14ac:dyDescent="0.3">
      <c r="A36" t="str">
        <f t="shared" ca="1" si="0"/>
        <v>ORD-2014-Ger-7103</v>
      </c>
      <c r="B36" t="s">
        <v>17</v>
      </c>
      <c r="C36" t="s">
        <v>22</v>
      </c>
      <c r="D36" t="s">
        <v>41</v>
      </c>
      <c r="E36" t="s">
        <v>20</v>
      </c>
      <c r="F36">
        <v>1006</v>
      </c>
      <c r="G36">
        <v>120</v>
      </c>
      <c r="H36">
        <v>350</v>
      </c>
      <c r="I36">
        <v>352100</v>
      </c>
      <c r="J36">
        <v>0</v>
      </c>
      <c r="K36">
        <v>352100</v>
      </c>
      <c r="L36">
        <v>261560</v>
      </c>
      <c r="M36">
        <v>90540</v>
      </c>
      <c r="N36" s="1">
        <v>41791</v>
      </c>
      <c r="O36">
        <v>6</v>
      </c>
      <c r="P36" t="s">
        <v>25</v>
      </c>
      <c r="Q36">
        <v>2014</v>
      </c>
    </row>
    <row r="37" spans="1:17" x14ac:dyDescent="0.3">
      <c r="A37" t="str">
        <f t="shared" ca="1" si="0"/>
        <v>ORD-2014-Ger-3246</v>
      </c>
      <c r="B37" t="s">
        <v>30</v>
      </c>
      <c r="C37" t="s">
        <v>22</v>
      </c>
      <c r="D37" t="s">
        <v>41</v>
      </c>
      <c r="E37" t="s">
        <v>20</v>
      </c>
      <c r="F37">
        <v>1545</v>
      </c>
      <c r="G37">
        <v>120</v>
      </c>
      <c r="H37">
        <v>12</v>
      </c>
      <c r="I37">
        <v>18540</v>
      </c>
      <c r="J37">
        <v>0</v>
      </c>
      <c r="K37">
        <v>18540</v>
      </c>
      <c r="L37">
        <v>4635</v>
      </c>
      <c r="M37">
        <v>13905</v>
      </c>
      <c r="N37" s="1">
        <v>41791</v>
      </c>
      <c r="O37">
        <v>6</v>
      </c>
      <c r="P37" t="s">
        <v>25</v>
      </c>
      <c r="Q37">
        <v>2014</v>
      </c>
    </row>
    <row r="38" spans="1:17" x14ac:dyDescent="0.3">
      <c r="A38" t="str">
        <f t="shared" ca="1" si="0"/>
        <v>ORD-2014-Uni-5520</v>
      </c>
      <c r="B38" t="s">
        <v>31</v>
      </c>
      <c r="C38" t="s">
        <v>37</v>
      </c>
      <c r="D38" t="s">
        <v>41</v>
      </c>
      <c r="E38" t="s">
        <v>20</v>
      </c>
      <c r="F38">
        <v>2821</v>
      </c>
      <c r="G38">
        <v>120</v>
      </c>
      <c r="H38">
        <v>125</v>
      </c>
      <c r="I38">
        <v>352625</v>
      </c>
      <c r="J38">
        <v>0</v>
      </c>
      <c r="K38">
        <v>352625</v>
      </c>
      <c r="L38">
        <v>338520</v>
      </c>
      <c r="M38">
        <v>14105</v>
      </c>
      <c r="N38" s="1">
        <v>41852</v>
      </c>
      <c r="O38">
        <v>8</v>
      </c>
      <c r="P38" t="s">
        <v>34</v>
      </c>
      <c r="Q38">
        <v>2014</v>
      </c>
    </row>
    <row r="39" spans="1:17" x14ac:dyDescent="0.3">
      <c r="A39" t="str">
        <f t="shared" ca="1" si="0"/>
        <v>ORD-2013-Ca0-1509</v>
      </c>
      <c r="B39" t="s">
        <v>31</v>
      </c>
      <c r="C39" t="s">
        <v>18</v>
      </c>
      <c r="D39" t="s">
        <v>41</v>
      </c>
      <c r="E39" t="s">
        <v>20</v>
      </c>
      <c r="F39">
        <v>345</v>
      </c>
      <c r="G39">
        <v>120</v>
      </c>
      <c r="H39">
        <v>125</v>
      </c>
      <c r="I39">
        <v>43125</v>
      </c>
      <c r="J39">
        <v>0</v>
      </c>
      <c r="K39">
        <v>43125</v>
      </c>
      <c r="L39">
        <v>41400</v>
      </c>
      <c r="M39">
        <v>1725</v>
      </c>
      <c r="N39" s="1">
        <v>41548</v>
      </c>
      <c r="O39">
        <v>10</v>
      </c>
      <c r="P39" t="s">
        <v>36</v>
      </c>
      <c r="Q39">
        <v>2013</v>
      </c>
    </row>
    <row r="40" spans="1:17" x14ac:dyDescent="0.3">
      <c r="A40" t="str">
        <f t="shared" ca="1" si="0"/>
        <v>ORD-2014-Ca0-1341</v>
      </c>
      <c r="B40" t="s">
        <v>33</v>
      </c>
      <c r="C40" t="s">
        <v>18</v>
      </c>
      <c r="D40" t="s">
        <v>42</v>
      </c>
      <c r="E40" t="s">
        <v>20</v>
      </c>
      <c r="F40">
        <v>2001</v>
      </c>
      <c r="G40">
        <v>250</v>
      </c>
      <c r="H40">
        <v>300</v>
      </c>
      <c r="I40">
        <v>600300</v>
      </c>
      <c r="J40">
        <v>0</v>
      </c>
      <c r="K40">
        <v>600300</v>
      </c>
      <c r="L40">
        <v>500250</v>
      </c>
      <c r="M40">
        <v>100050</v>
      </c>
      <c r="N40" s="1">
        <v>41671</v>
      </c>
      <c r="O40">
        <v>2</v>
      </c>
      <c r="P40" t="s">
        <v>39</v>
      </c>
      <c r="Q40">
        <v>2014</v>
      </c>
    </row>
    <row r="41" spans="1:17" x14ac:dyDescent="0.3">
      <c r="A41" t="str">
        <f t="shared" ca="1" si="0"/>
        <v>ORD-2014-Ger-6750</v>
      </c>
      <c r="B41" t="s">
        <v>30</v>
      </c>
      <c r="C41" t="s">
        <v>22</v>
      </c>
      <c r="D41" t="s">
        <v>42</v>
      </c>
      <c r="E41" t="s">
        <v>20</v>
      </c>
      <c r="F41">
        <v>2838</v>
      </c>
      <c r="G41">
        <v>250</v>
      </c>
      <c r="H41">
        <v>12</v>
      </c>
      <c r="I41">
        <v>34056</v>
      </c>
      <c r="J41">
        <v>0</v>
      </c>
      <c r="K41">
        <v>34056</v>
      </c>
      <c r="L41">
        <v>8514</v>
      </c>
      <c r="M41">
        <v>25542</v>
      </c>
      <c r="N41" s="1">
        <v>41730</v>
      </c>
      <c r="O41">
        <v>4</v>
      </c>
      <c r="P41" t="s">
        <v>43</v>
      </c>
      <c r="Q41">
        <v>2014</v>
      </c>
    </row>
    <row r="42" spans="1:17" x14ac:dyDescent="0.3">
      <c r="A42" t="str">
        <f t="shared" ca="1" si="0"/>
        <v>ORD-2014-Fra-9818</v>
      </c>
      <c r="B42" t="s">
        <v>23</v>
      </c>
      <c r="C42" t="s">
        <v>24</v>
      </c>
      <c r="D42" t="s">
        <v>42</v>
      </c>
      <c r="E42" t="s">
        <v>20</v>
      </c>
      <c r="F42">
        <v>2178</v>
      </c>
      <c r="G42">
        <v>250</v>
      </c>
      <c r="H42">
        <v>15</v>
      </c>
      <c r="I42">
        <v>32670</v>
      </c>
      <c r="J42">
        <v>0</v>
      </c>
      <c r="K42">
        <v>32670</v>
      </c>
      <c r="L42">
        <v>21780</v>
      </c>
      <c r="M42">
        <v>10890</v>
      </c>
      <c r="N42" s="1">
        <v>41791</v>
      </c>
      <c r="O42">
        <v>6</v>
      </c>
      <c r="P42" t="s">
        <v>25</v>
      </c>
      <c r="Q42">
        <v>2014</v>
      </c>
    </row>
    <row r="43" spans="1:17" x14ac:dyDescent="0.3">
      <c r="A43" t="str">
        <f t="shared" ca="1" si="0"/>
        <v>ORD-2014-Ger-9436</v>
      </c>
      <c r="B43" t="s">
        <v>23</v>
      </c>
      <c r="C43" t="s">
        <v>22</v>
      </c>
      <c r="D43" t="s">
        <v>42</v>
      </c>
      <c r="E43" t="s">
        <v>20</v>
      </c>
      <c r="F43">
        <v>888</v>
      </c>
      <c r="G43">
        <v>250</v>
      </c>
      <c r="H43">
        <v>15</v>
      </c>
      <c r="I43">
        <v>13320</v>
      </c>
      <c r="J43">
        <v>0</v>
      </c>
      <c r="K43">
        <v>13320</v>
      </c>
      <c r="L43">
        <v>8880</v>
      </c>
      <c r="M43">
        <v>4440</v>
      </c>
      <c r="N43" s="1">
        <v>41791</v>
      </c>
      <c r="O43">
        <v>6</v>
      </c>
      <c r="P43" t="s">
        <v>25</v>
      </c>
      <c r="Q43">
        <v>2014</v>
      </c>
    </row>
    <row r="44" spans="1:17" x14ac:dyDescent="0.3">
      <c r="A44" t="str">
        <f t="shared" ca="1" si="0"/>
        <v>ORD-2013-Fra-6539</v>
      </c>
      <c r="B44" t="s">
        <v>17</v>
      </c>
      <c r="C44" t="s">
        <v>24</v>
      </c>
      <c r="D44" t="s">
        <v>42</v>
      </c>
      <c r="E44" t="s">
        <v>20</v>
      </c>
      <c r="F44">
        <v>1527</v>
      </c>
      <c r="G44">
        <v>250</v>
      </c>
      <c r="H44">
        <v>350</v>
      </c>
      <c r="I44">
        <v>534450</v>
      </c>
      <c r="J44">
        <v>0</v>
      </c>
      <c r="K44">
        <v>534450</v>
      </c>
      <c r="L44">
        <v>397020</v>
      </c>
      <c r="M44">
        <v>137430</v>
      </c>
      <c r="N44" s="1">
        <v>41518</v>
      </c>
      <c r="O44">
        <v>9</v>
      </c>
      <c r="P44" t="s">
        <v>35</v>
      </c>
      <c r="Q44">
        <v>2013</v>
      </c>
    </row>
    <row r="45" spans="1:17" x14ac:dyDescent="0.3">
      <c r="A45" t="str">
        <f t="shared" ca="1" si="0"/>
        <v>ORD-2014-Fra-6262</v>
      </c>
      <c r="B45" t="s">
        <v>33</v>
      </c>
      <c r="C45" t="s">
        <v>24</v>
      </c>
      <c r="D45" t="s">
        <v>42</v>
      </c>
      <c r="E45" t="s">
        <v>20</v>
      </c>
      <c r="F45">
        <v>2151</v>
      </c>
      <c r="G45">
        <v>250</v>
      </c>
      <c r="H45">
        <v>300</v>
      </c>
      <c r="I45">
        <v>645300</v>
      </c>
      <c r="J45">
        <v>0</v>
      </c>
      <c r="K45">
        <v>645300</v>
      </c>
      <c r="L45">
        <v>537750</v>
      </c>
      <c r="M45">
        <v>107550</v>
      </c>
      <c r="N45" s="1">
        <v>41883</v>
      </c>
      <c r="O45">
        <v>9</v>
      </c>
      <c r="P45" t="s">
        <v>35</v>
      </c>
      <c r="Q45">
        <v>2014</v>
      </c>
    </row>
    <row r="46" spans="1:17" x14ac:dyDescent="0.3">
      <c r="A46" t="str">
        <f t="shared" ca="1" si="0"/>
        <v>ORD-2014-Ca0-4712</v>
      </c>
      <c r="B46" t="s">
        <v>17</v>
      </c>
      <c r="C46" t="s">
        <v>18</v>
      </c>
      <c r="D46" t="s">
        <v>42</v>
      </c>
      <c r="E46" t="s">
        <v>20</v>
      </c>
      <c r="F46">
        <v>1817</v>
      </c>
      <c r="G46">
        <v>250</v>
      </c>
      <c r="H46">
        <v>20</v>
      </c>
      <c r="I46">
        <v>36340</v>
      </c>
      <c r="J46">
        <v>0</v>
      </c>
      <c r="K46">
        <v>36340</v>
      </c>
      <c r="L46">
        <v>18170</v>
      </c>
      <c r="M46">
        <v>18170</v>
      </c>
      <c r="N46" s="1">
        <v>41974</v>
      </c>
      <c r="O46">
        <v>12</v>
      </c>
      <c r="P46" t="s">
        <v>27</v>
      </c>
      <c r="Q46">
        <v>2014</v>
      </c>
    </row>
    <row r="47" spans="1:17" x14ac:dyDescent="0.3">
      <c r="A47" t="str">
        <f t="shared" ca="1" si="0"/>
        <v>ORD-2014-Fra-6286</v>
      </c>
      <c r="B47" t="s">
        <v>17</v>
      </c>
      <c r="C47" t="s">
        <v>24</v>
      </c>
      <c r="D47" t="s">
        <v>44</v>
      </c>
      <c r="E47" t="s">
        <v>20</v>
      </c>
      <c r="F47">
        <v>2750</v>
      </c>
      <c r="G47">
        <v>260</v>
      </c>
      <c r="H47">
        <v>350</v>
      </c>
      <c r="I47">
        <v>962500</v>
      </c>
      <c r="J47">
        <v>0</v>
      </c>
      <c r="K47">
        <v>962500</v>
      </c>
      <c r="L47">
        <v>715000</v>
      </c>
      <c r="M47">
        <v>247500</v>
      </c>
      <c r="N47" s="1">
        <v>41671</v>
      </c>
      <c r="O47">
        <v>2</v>
      </c>
      <c r="P47" t="s">
        <v>39</v>
      </c>
      <c r="Q47">
        <v>2014</v>
      </c>
    </row>
    <row r="48" spans="1:17" x14ac:dyDescent="0.3">
      <c r="A48" t="str">
        <f t="shared" ca="1" si="0"/>
        <v>ORD-2014-Uni-8817</v>
      </c>
      <c r="B48" t="s">
        <v>30</v>
      </c>
      <c r="C48" t="s">
        <v>37</v>
      </c>
      <c r="D48" t="s">
        <v>44</v>
      </c>
      <c r="E48" t="s">
        <v>20</v>
      </c>
      <c r="F48">
        <v>1953</v>
      </c>
      <c r="G48">
        <v>260</v>
      </c>
      <c r="H48">
        <v>12</v>
      </c>
      <c r="I48">
        <v>23436</v>
      </c>
      <c r="J48">
        <v>0</v>
      </c>
      <c r="K48">
        <v>23436</v>
      </c>
      <c r="L48">
        <v>5859</v>
      </c>
      <c r="M48">
        <v>17577</v>
      </c>
      <c r="N48" s="1">
        <v>41730</v>
      </c>
      <c r="O48">
        <v>4</v>
      </c>
      <c r="P48" t="s">
        <v>43</v>
      </c>
      <c r="Q48">
        <v>2014</v>
      </c>
    </row>
    <row r="49" spans="1:17" x14ac:dyDescent="0.3">
      <c r="A49" t="str">
        <f t="shared" ca="1" si="0"/>
        <v>ORD-2014-Ger-5545</v>
      </c>
      <c r="B49" t="s">
        <v>31</v>
      </c>
      <c r="C49" t="s">
        <v>22</v>
      </c>
      <c r="D49" t="s">
        <v>44</v>
      </c>
      <c r="E49" t="s">
        <v>20</v>
      </c>
      <c r="F49">
        <v>4219.5</v>
      </c>
      <c r="G49">
        <v>260</v>
      </c>
      <c r="H49">
        <v>125</v>
      </c>
      <c r="I49">
        <v>527437.5</v>
      </c>
      <c r="J49">
        <v>0</v>
      </c>
      <c r="K49">
        <v>527437.5</v>
      </c>
      <c r="L49">
        <v>506340</v>
      </c>
      <c r="M49">
        <v>21097.5</v>
      </c>
      <c r="N49" s="1">
        <v>41730</v>
      </c>
      <c r="O49">
        <v>4</v>
      </c>
      <c r="P49" t="s">
        <v>43</v>
      </c>
      <c r="Q49">
        <v>2014</v>
      </c>
    </row>
    <row r="50" spans="1:17" x14ac:dyDescent="0.3">
      <c r="A50" t="str">
        <f t="shared" ca="1" si="0"/>
        <v>ORD-2014-Fra-5036</v>
      </c>
      <c r="B50" t="s">
        <v>17</v>
      </c>
      <c r="C50" t="s">
        <v>24</v>
      </c>
      <c r="D50" t="s">
        <v>44</v>
      </c>
      <c r="E50" t="s">
        <v>20</v>
      </c>
      <c r="F50">
        <v>1899</v>
      </c>
      <c r="G50">
        <v>260</v>
      </c>
      <c r="H50">
        <v>20</v>
      </c>
      <c r="I50">
        <v>37980</v>
      </c>
      <c r="J50">
        <v>0</v>
      </c>
      <c r="K50">
        <v>37980</v>
      </c>
      <c r="L50">
        <v>18990</v>
      </c>
      <c r="M50">
        <v>18990</v>
      </c>
      <c r="N50" s="1">
        <v>41791</v>
      </c>
      <c r="O50">
        <v>6</v>
      </c>
      <c r="P50" t="s">
        <v>25</v>
      </c>
      <c r="Q50">
        <v>2014</v>
      </c>
    </row>
    <row r="51" spans="1:17" x14ac:dyDescent="0.3">
      <c r="A51" t="str">
        <f t="shared" ca="1" si="0"/>
        <v>ORD-2014-Ger-9642</v>
      </c>
      <c r="B51" t="s">
        <v>17</v>
      </c>
      <c r="C51" t="s">
        <v>22</v>
      </c>
      <c r="D51" t="s">
        <v>44</v>
      </c>
      <c r="E51" t="s">
        <v>20</v>
      </c>
      <c r="F51">
        <v>1686</v>
      </c>
      <c r="G51">
        <v>260</v>
      </c>
      <c r="H51">
        <v>7</v>
      </c>
      <c r="I51">
        <v>11802</v>
      </c>
      <c r="J51">
        <v>0</v>
      </c>
      <c r="K51">
        <v>11802</v>
      </c>
      <c r="L51">
        <v>8430</v>
      </c>
      <c r="M51">
        <v>3372</v>
      </c>
      <c r="N51" s="1">
        <v>41821</v>
      </c>
      <c r="O51">
        <v>7</v>
      </c>
      <c r="P51" t="s">
        <v>32</v>
      </c>
      <c r="Q51">
        <v>2014</v>
      </c>
    </row>
    <row r="52" spans="1:17" x14ac:dyDescent="0.3">
      <c r="A52" t="str">
        <f t="shared" ca="1" si="0"/>
        <v>ORD-2014-Uni-7887</v>
      </c>
      <c r="B52" t="s">
        <v>30</v>
      </c>
      <c r="C52" t="s">
        <v>37</v>
      </c>
      <c r="D52" t="s">
        <v>44</v>
      </c>
      <c r="E52" t="s">
        <v>20</v>
      </c>
      <c r="F52">
        <v>2141</v>
      </c>
      <c r="G52">
        <v>260</v>
      </c>
      <c r="H52">
        <v>12</v>
      </c>
      <c r="I52">
        <v>25692</v>
      </c>
      <c r="J52">
        <v>0</v>
      </c>
      <c r="K52">
        <v>25692</v>
      </c>
      <c r="L52">
        <v>6423</v>
      </c>
      <c r="M52">
        <v>19269</v>
      </c>
      <c r="N52" s="1">
        <v>41852</v>
      </c>
      <c r="O52">
        <v>8</v>
      </c>
      <c r="P52" t="s">
        <v>34</v>
      </c>
      <c r="Q52">
        <v>2014</v>
      </c>
    </row>
    <row r="53" spans="1:17" x14ac:dyDescent="0.3">
      <c r="A53" t="str">
        <f t="shared" ca="1" si="0"/>
        <v>ORD-2014-Uni-4265</v>
      </c>
      <c r="B53" t="s">
        <v>17</v>
      </c>
      <c r="C53" t="s">
        <v>37</v>
      </c>
      <c r="D53" t="s">
        <v>44</v>
      </c>
      <c r="E53" t="s">
        <v>20</v>
      </c>
      <c r="F53">
        <v>1143</v>
      </c>
      <c r="G53">
        <v>260</v>
      </c>
      <c r="H53">
        <v>7</v>
      </c>
      <c r="I53">
        <v>8001</v>
      </c>
      <c r="J53">
        <v>0</v>
      </c>
      <c r="K53">
        <v>8001</v>
      </c>
      <c r="L53">
        <v>5715</v>
      </c>
      <c r="M53">
        <v>2286</v>
      </c>
      <c r="N53" s="1">
        <v>41913</v>
      </c>
      <c r="O53">
        <v>10</v>
      </c>
      <c r="P53" t="s">
        <v>36</v>
      </c>
      <c r="Q53">
        <v>2014</v>
      </c>
    </row>
    <row r="54" spans="1:17" x14ac:dyDescent="0.3">
      <c r="A54" t="str">
        <f t="shared" ca="1" si="0"/>
        <v>ORD-2014-Uni-7069</v>
      </c>
      <c r="B54" t="s">
        <v>23</v>
      </c>
      <c r="C54" t="s">
        <v>37</v>
      </c>
      <c r="D54" t="s">
        <v>44</v>
      </c>
      <c r="E54" t="s">
        <v>20</v>
      </c>
      <c r="F54">
        <v>615</v>
      </c>
      <c r="G54">
        <v>260</v>
      </c>
      <c r="H54">
        <v>15</v>
      </c>
      <c r="I54">
        <v>9225</v>
      </c>
      <c r="J54">
        <v>0</v>
      </c>
      <c r="K54">
        <v>9225</v>
      </c>
      <c r="L54">
        <v>6150</v>
      </c>
      <c r="M54">
        <v>3075</v>
      </c>
      <c r="N54" s="1">
        <v>41974</v>
      </c>
      <c r="O54">
        <v>12</v>
      </c>
      <c r="P54" t="s">
        <v>27</v>
      </c>
      <c r="Q54">
        <v>2014</v>
      </c>
    </row>
    <row r="55" spans="1:17" x14ac:dyDescent="0.3">
      <c r="A55" t="str">
        <f t="shared" ca="1" si="0"/>
        <v>ORD-2014-Fra-5226</v>
      </c>
      <c r="B55" t="s">
        <v>17</v>
      </c>
      <c r="C55" t="s">
        <v>24</v>
      </c>
      <c r="D55" t="s">
        <v>38</v>
      </c>
      <c r="E55" t="s">
        <v>45</v>
      </c>
      <c r="F55">
        <v>3945</v>
      </c>
      <c r="G55">
        <v>10</v>
      </c>
      <c r="H55">
        <v>7</v>
      </c>
      <c r="I55">
        <v>27615</v>
      </c>
      <c r="J55">
        <v>276.14999999999998</v>
      </c>
      <c r="K55">
        <v>27338.85</v>
      </c>
      <c r="L55">
        <v>19725</v>
      </c>
      <c r="M55">
        <v>7613.85</v>
      </c>
      <c r="N55" s="1">
        <v>41640</v>
      </c>
      <c r="O55">
        <v>1</v>
      </c>
      <c r="P55" t="s">
        <v>21</v>
      </c>
      <c r="Q55">
        <v>2014</v>
      </c>
    </row>
    <row r="56" spans="1:17" x14ac:dyDescent="0.3">
      <c r="A56" t="str">
        <f t="shared" ca="1" si="0"/>
        <v>ORD-2014-Fra-6779</v>
      </c>
      <c r="B56" t="s">
        <v>23</v>
      </c>
      <c r="C56" t="s">
        <v>24</v>
      </c>
      <c r="D56" t="s">
        <v>38</v>
      </c>
      <c r="E56" t="s">
        <v>45</v>
      </c>
      <c r="F56">
        <v>2296</v>
      </c>
      <c r="G56">
        <v>10</v>
      </c>
      <c r="H56">
        <v>15</v>
      </c>
      <c r="I56">
        <v>34440</v>
      </c>
      <c r="J56">
        <v>344.4</v>
      </c>
      <c r="K56">
        <v>34095.599999999999</v>
      </c>
      <c r="L56">
        <v>22960</v>
      </c>
      <c r="M56">
        <v>11135.6</v>
      </c>
      <c r="N56" s="1">
        <v>41671</v>
      </c>
      <c r="O56">
        <v>2</v>
      </c>
      <c r="P56" t="s">
        <v>39</v>
      </c>
      <c r="Q56">
        <v>2014</v>
      </c>
    </row>
    <row r="57" spans="1:17" x14ac:dyDescent="0.3">
      <c r="A57" t="str">
        <f t="shared" ca="1" si="0"/>
        <v>ORD-2014-Fra-7000</v>
      </c>
      <c r="B57" t="s">
        <v>17</v>
      </c>
      <c r="C57" t="s">
        <v>24</v>
      </c>
      <c r="D57" t="s">
        <v>38</v>
      </c>
      <c r="E57" t="s">
        <v>45</v>
      </c>
      <c r="F57">
        <v>1030</v>
      </c>
      <c r="G57">
        <v>10</v>
      </c>
      <c r="H57">
        <v>7</v>
      </c>
      <c r="I57">
        <v>7210</v>
      </c>
      <c r="J57">
        <v>72.099999999999994</v>
      </c>
      <c r="K57">
        <v>7137.9</v>
      </c>
      <c r="L57">
        <v>5150</v>
      </c>
      <c r="M57">
        <v>1987.9</v>
      </c>
      <c r="N57" s="1">
        <v>41760</v>
      </c>
      <c r="O57">
        <v>5</v>
      </c>
      <c r="P57" t="s">
        <v>46</v>
      </c>
      <c r="Q57">
        <v>2014</v>
      </c>
    </row>
    <row r="58" spans="1:17" x14ac:dyDescent="0.3">
      <c r="A58" t="str">
        <f t="shared" ca="1" si="0"/>
        <v>ORD-2014-Fra-2035</v>
      </c>
      <c r="B58" t="s">
        <v>17</v>
      </c>
      <c r="C58" t="s">
        <v>24</v>
      </c>
      <c r="D58" t="s">
        <v>41</v>
      </c>
      <c r="E58" t="s">
        <v>45</v>
      </c>
      <c r="F58">
        <v>639</v>
      </c>
      <c r="G58">
        <v>120</v>
      </c>
      <c r="H58">
        <v>7</v>
      </c>
      <c r="I58">
        <v>4473</v>
      </c>
      <c r="J58">
        <v>44.73</v>
      </c>
      <c r="K58">
        <v>4428.2700000000004</v>
      </c>
      <c r="L58">
        <v>3195</v>
      </c>
      <c r="M58">
        <v>1233.27</v>
      </c>
      <c r="N58" s="1">
        <v>41944</v>
      </c>
      <c r="O58">
        <v>11</v>
      </c>
      <c r="P58" t="s">
        <v>40</v>
      </c>
      <c r="Q58">
        <v>2014</v>
      </c>
    </row>
    <row r="59" spans="1:17" x14ac:dyDescent="0.3">
      <c r="A59" t="str">
        <f t="shared" ca="1" si="0"/>
        <v>ORD-2014-Ca0-8582</v>
      </c>
      <c r="B59" t="s">
        <v>17</v>
      </c>
      <c r="C59" t="s">
        <v>18</v>
      </c>
      <c r="D59" t="s">
        <v>42</v>
      </c>
      <c r="E59" t="s">
        <v>45</v>
      </c>
      <c r="F59">
        <v>1326</v>
      </c>
      <c r="G59">
        <v>250</v>
      </c>
      <c r="H59">
        <v>7</v>
      </c>
      <c r="I59">
        <v>9282</v>
      </c>
      <c r="J59">
        <v>92.82</v>
      </c>
      <c r="K59">
        <v>9189.18</v>
      </c>
      <c r="L59">
        <v>6630</v>
      </c>
      <c r="M59">
        <v>2559.1799999999998</v>
      </c>
      <c r="N59" s="1">
        <v>41699</v>
      </c>
      <c r="O59">
        <v>3</v>
      </c>
      <c r="P59" t="s">
        <v>29</v>
      </c>
      <c r="Q59">
        <v>2014</v>
      </c>
    </row>
    <row r="60" spans="1:17" x14ac:dyDescent="0.3">
      <c r="A60" t="str">
        <f t="shared" ca="1" si="0"/>
        <v>ORD-2014-Uni-9108</v>
      </c>
      <c r="B60" t="s">
        <v>30</v>
      </c>
      <c r="C60" t="s">
        <v>37</v>
      </c>
      <c r="D60" t="s">
        <v>19</v>
      </c>
      <c r="E60" t="s">
        <v>45</v>
      </c>
      <c r="F60">
        <v>1858</v>
      </c>
      <c r="G60">
        <v>3</v>
      </c>
      <c r="H60">
        <v>12</v>
      </c>
      <c r="I60">
        <v>22296</v>
      </c>
      <c r="J60">
        <v>222.96</v>
      </c>
      <c r="K60">
        <v>22073.040000000001</v>
      </c>
      <c r="L60">
        <v>5574</v>
      </c>
      <c r="M60">
        <v>16499.04</v>
      </c>
      <c r="N60" s="1">
        <v>41671</v>
      </c>
      <c r="O60">
        <v>2</v>
      </c>
      <c r="P60" t="s">
        <v>39</v>
      </c>
      <c r="Q60">
        <v>2014</v>
      </c>
    </row>
    <row r="61" spans="1:17" x14ac:dyDescent="0.3">
      <c r="A61" t="str">
        <f t="shared" ca="1" si="0"/>
        <v>ORD-2014-Mex-6560</v>
      </c>
      <c r="B61" t="s">
        <v>17</v>
      </c>
      <c r="C61" t="s">
        <v>26</v>
      </c>
      <c r="D61" t="s">
        <v>19</v>
      </c>
      <c r="E61" t="s">
        <v>45</v>
      </c>
      <c r="F61">
        <v>1210</v>
      </c>
      <c r="G61">
        <v>3</v>
      </c>
      <c r="H61">
        <v>350</v>
      </c>
      <c r="I61">
        <v>423500</v>
      </c>
      <c r="J61">
        <v>4235</v>
      </c>
      <c r="K61">
        <v>419265</v>
      </c>
      <c r="L61">
        <v>314600</v>
      </c>
      <c r="M61">
        <v>104665</v>
      </c>
      <c r="N61" s="1">
        <v>41699</v>
      </c>
      <c r="O61">
        <v>3</v>
      </c>
      <c r="P61" t="s">
        <v>29</v>
      </c>
      <c r="Q61">
        <v>2014</v>
      </c>
    </row>
    <row r="62" spans="1:17" x14ac:dyDescent="0.3">
      <c r="A62" t="str">
        <f t="shared" ca="1" si="0"/>
        <v>ORD-2014-Uni-8150</v>
      </c>
      <c r="B62" t="s">
        <v>17</v>
      </c>
      <c r="C62" t="s">
        <v>37</v>
      </c>
      <c r="D62" t="s">
        <v>19</v>
      </c>
      <c r="E62" t="s">
        <v>45</v>
      </c>
      <c r="F62">
        <v>2529</v>
      </c>
      <c r="G62">
        <v>3</v>
      </c>
      <c r="H62">
        <v>7</v>
      </c>
      <c r="I62">
        <v>17703</v>
      </c>
      <c r="J62">
        <v>177.03</v>
      </c>
      <c r="K62">
        <v>17525.97</v>
      </c>
      <c r="L62">
        <v>12645</v>
      </c>
      <c r="M62">
        <v>4880.97</v>
      </c>
      <c r="N62" s="1">
        <v>41821</v>
      </c>
      <c r="O62">
        <v>7</v>
      </c>
      <c r="P62" t="s">
        <v>32</v>
      </c>
      <c r="Q62">
        <v>2014</v>
      </c>
    </row>
    <row r="63" spans="1:17" x14ac:dyDescent="0.3">
      <c r="A63" t="str">
        <f t="shared" ca="1" si="0"/>
        <v>ORD-2014-Ca0-7745</v>
      </c>
      <c r="B63" t="s">
        <v>30</v>
      </c>
      <c r="C63" t="s">
        <v>18</v>
      </c>
      <c r="D63" t="s">
        <v>19</v>
      </c>
      <c r="E63" t="s">
        <v>45</v>
      </c>
      <c r="F63">
        <v>1445</v>
      </c>
      <c r="G63">
        <v>3</v>
      </c>
      <c r="H63">
        <v>12</v>
      </c>
      <c r="I63">
        <v>17340</v>
      </c>
      <c r="J63">
        <v>173.4</v>
      </c>
      <c r="K63">
        <v>17166.599999999999</v>
      </c>
      <c r="L63">
        <v>4335</v>
      </c>
      <c r="M63">
        <v>12831.6</v>
      </c>
      <c r="N63" s="1">
        <v>41883</v>
      </c>
      <c r="O63">
        <v>9</v>
      </c>
      <c r="P63" t="s">
        <v>35</v>
      </c>
      <c r="Q63">
        <v>2014</v>
      </c>
    </row>
    <row r="64" spans="1:17" x14ac:dyDescent="0.3">
      <c r="A64" t="str">
        <f t="shared" ca="1" si="0"/>
        <v>ORD-2013-Uni-7929</v>
      </c>
      <c r="B64" t="s">
        <v>31</v>
      </c>
      <c r="C64" t="s">
        <v>37</v>
      </c>
      <c r="D64" t="s">
        <v>19</v>
      </c>
      <c r="E64" t="s">
        <v>45</v>
      </c>
      <c r="F64">
        <v>330</v>
      </c>
      <c r="G64">
        <v>3</v>
      </c>
      <c r="H64">
        <v>125</v>
      </c>
      <c r="I64">
        <v>41250</v>
      </c>
      <c r="J64">
        <v>412.5</v>
      </c>
      <c r="K64">
        <v>40837.5</v>
      </c>
      <c r="L64">
        <v>39600</v>
      </c>
      <c r="M64">
        <v>1237.5</v>
      </c>
      <c r="N64" s="1">
        <v>41518</v>
      </c>
      <c r="O64">
        <v>9</v>
      </c>
      <c r="P64" t="s">
        <v>35</v>
      </c>
      <c r="Q64">
        <v>2013</v>
      </c>
    </row>
    <row r="65" spans="1:17" x14ac:dyDescent="0.3">
      <c r="A65" t="str">
        <f t="shared" ca="1" si="0"/>
        <v>ORD-2014-Fra-9133</v>
      </c>
      <c r="B65" t="s">
        <v>30</v>
      </c>
      <c r="C65" t="s">
        <v>24</v>
      </c>
      <c r="D65" t="s">
        <v>19</v>
      </c>
      <c r="E65" t="s">
        <v>45</v>
      </c>
      <c r="F65">
        <v>2671</v>
      </c>
      <c r="G65">
        <v>3</v>
      </c>
      <c r="H65">
        <v>12</v>
      </c>
      <c r="I65">
        <v>32052</v>
      </c>
      <c r="J65">
        <v>320.52</v>
      </c>
      <c r="K65">
        <v>31731.48</v>
      </c>
      <c r="L65">
        <v>8013</v>
      </c>
      <c r="M65">
        <v>23718.48</v>
      </c>
      <c r="N65" s="1">
        <v>41883</v>
      </c>
      <c r="O65">
        <v>9</v>
      </c>
      <c r="P65" t="s">
        <v>35</v>
      </c>
      <c r="Q65">
        <v>2014</v>
      </c>
    </row>
    <row r="66" spans="1:17" x14ac:dyDescent="0.3">
      <c r="A66" t="str">
        <f t="shared" ca="1" si="0"/>
        <v>ORD-2013-Ger-9402</v>
      </c>
      <c r="B66" t="s">
        <v>30</v>
      </c>
      <c r="C66" t="s">
        <v>22</v>
      </c>
      <c r="D66" t="s">
        <v>19</v>
      </c>
      <c r="E66" t="s">
        <v>45</v>
      </c>
      <c r="F66">
        <v>766</v>
      </c>
      <c r="G66">
        <v>3</v>
      </c>
      <c r="H66">
        <v>12</v>
      </c>
      <c r="I66">
        <v>9192</v>
      </c>
      <c r="J66">
        <v>91.92</v>
      </c>
      <c r="K66">
        <v>9100.08</v>
      </c>
      <c r="L66">
        <v>2298</v>
      </c>
      <c r="M66">
        <v>6802.08</v>
      </c>
      <c r="N66" s="1">
        <v>41548</v>
      </c>
      <c r="O66">
        <v>10</v>
      </c>
      <c r="P66" t="s">
        <v>36</v>
      </c>
      <c r="Q66">
        <v>2013</v>
      </c>
    </row>
    <row r="67" spans="1:17" x14ac:dyDescent="0.3">
      <c r="A67" t="str">
        <f t="shared" ref="A67:A130" ca="1" si="1">"ORD-" &amp; YEAR(N67) &amp; "-"  &amp; LEFT(C67,3) &amp; "-" &amp; RANDBETWEEN(1000,9999)</f>
        <v>ORD-2013-Mex-1733</v>
      </c>
      <c r="B67" t="s">
        <v>33</v>
      </c>
      <c r="C67" t="s">
        <v>26</v>
      </c>
      <c r="D67" t="s">
        <v>19</v>
      </c>
      <c r="E67" t="s">
        <v>45</v>
      </c>
      <c r="F67">
        <v>494</v>
      </c>
      <c r="G67">
        <v>3</v>
      </c>
      <c r="H67">
        <v>300</v>
      </c>
      <c r="I67">
        <v>148200</v>
      </c>
      <c r="J67">
        <v>1482</v>
      </c>
      <c r="K67">
        <v>146718</v>
      </c>
      <c r="L67">
        <v>123500</v>
      </c>
      <c r="M67">
        <v>23218</v>
      </c>
      <c r="N67" s="1">
        <v>41548</v>
      </c>
      <c r="O67">
        <v>10</v>
      </c>
      <c r="P67" t="s">
        <v>36</v>
      </c>
      <c r="Q67">
        <v>2013</v>
      </c>
    </row>
    <row r="68" spans="1:17" x14ac:dyDescent="0.3">
      <c r="A68" t="str">
        <f t="shared" ca="1" si="1"/>
        <v>ORD-2014-Mex-1601</v>
      </c>
      <c r="B68" t="s">
        <v>17</v>
      </c>
      <c r="C68" t="s">
        <v>26</v>
      </c>
      <c r="D68" t="s">
        <v>19</v>
      </c>
      <c r="E68" t="s">
        <v>45</v>
      </c>
      <c r="F68">
        <v>1397</v>
      </c>
      <c r="G68">
        <v>3</v>
      </c>
      <c r="H68">
        <v>350</v>
      </c>
      <c r="I68">
        <v>488950</v>
      </c>
      <c r="J68">
        <v>4889.5</v>
      </c>
      <c r="K68">
        <v>484060.5</v>
      </c>
      <c r="L68">
        <v>363220</v>
      </c>
      <c r="M68">
        <v>120840.5</v>
      </c>
      <c r="N68" s="1">
        <v>41913</v>
      </c>
      <c r="O68">
        <v>10</v>
      </c>
      <c r="P68" t="s">
        <v>36</v>
      </c>
      <c r="Q68">
        <v>2014</v>
      </c>
    </row>
    <row r="69" spans="1:17" x14ac:dyDescent="0.3">
      <c r="A69" t="str">
        <f t="shared" ca="1" si="1"/>
        <v>ORD-2014-Fra-6550</v>
      </c>
      <c r="B69" t="s">
        <v>17</v>
      </c>
      <c r="C69" t="s">
        <v>24</v>
      </c>
      <c r="D69" t="s">
        <v>19</v>
      </c>
      <c r="E69" t="s">
        <v>45</v>
      </c>
      <c r="F69">
        <v>2155</v>
      </c>
      <c r="G69">
        <v>3</v>
      </c>
      <c r="H69">
        <v>350</v>
      </c>
      <c r="I69">
        <v>754250</v>
      </c>
      <c r="J69">
        <v>7542.5</v>
      </c>
      <c r="K69">
        <v>746707.5</v>
      </c>
      <c r="L69">
        <v>560300</v>
      </c>
      <c r="M69">
        <v>186407.5</v>
      </c>
      <c r="N69" s="1">
        <v>41974</v>
      </c>
      <c r="O69">
        <v>12</v>
      </c>
      <c r="P69" t="s">
        <v>27</v>
      </c>
      <c r="Q69">
        <v>2014</v>
      </c>
    </row>
    <row r="70" spans="1:17" x14ac:dyDescent="0.3">
      <c r="A70" t="str">
        <f t="shared" ca="1" si="1"/>
        <v>ORD-2014-Mex-2317</v>
      </c>
      <c r="B70" t="s">
        <v>23</v>
      </c>
      <c r="C70" t="s">
        <v>26</v>
      </c>
      <c r="D70" t="s">
        <v>28</v>
      </c>
      <c r="E70" t="s">
        <v>45</v>
      </c>
      <c r="F70">
        <v>2214</v>
      </c>
      <c r="G70">
        <v>5</v>
      </c>
      <c r="H70">
        <v>15</v>
      </c>
      <c r="I70">
        <v>33210</v>
      </c>
      <c r="J70">
        <v>332.1</v>
      </c>
      <c r="K70">
        <v>32877.9</v>
      </c>
      <c r="L70">
        <v>22140</v>
      </c>
      <c r="M70">
        <v>10737.9</v>
      </c>
      <c r="N70" s="1">
        <v>41699</v>
      </c>
      <c r="O70">
        <v>3</v>
      </c>
      <c r="P70" t="s">
        <v>29</v>
      </c>
      <c r="Q70">
        <v>2014</v>
      </c>
    </row>
    <row r="71" spans="1:17" x14ac:dyDescent="0.3">
      <c r="A71" t="str">
        <f t="shared" ca="1" si="1"/>
        <v>ORD-2014-Uni-6480</v>
      </c>
      <c r="B71" t="s">
        <v>33</v>
      </c>
      <c r="C71" t="s">
        <v>37</v>
      </c>
      <c r="D71" t="s">
        <v>28</v>
      </c>
      <c r="E71" t="s">
        <v>45</v>
      </c>
      <c r="F71">
        <v>2301</v>
      </c>
      <c r="G71">
        <v>5</v>
      </c>
      <c r="H71">
        <v>300</v>
      </c>
      <c r="I71">
        <v>690300</v>
      </c>
      <c r="J71">
        <v>6903</v>
      </c>
      <c r="K71">
        <v>683397</v>
      </c>
      <c r="L71">
        <v>575250</v>
      </c>
      <c r="M71">
        <v>108147</v>
      </c>
      <c r="N71" s="1">
        <v>41730</v>
      </c>
      <c r="O71">
        <v>4</v>
      </c>
      <c r="P71" t="s">
        <v>43</v>
      </c>
      <c r="Q71">
        <v>2014</v>
      </c>
    </row>
    <row r="72" spans="1:17" x14ac:dyDescent="0.3">
      <c r="A72" t="str">
        <f t="shared" ca="1" si="1"/>
        <v>ORD-2014-Fra-5411</v>
      </c>
      <c r="B72" t="s">
        <v>17</v>
      </c>
      <c r="C72" t="s">
        <v>24</v>
      </c>
      <c r="D72" t="s">
        <v>28</v>
      </c>
      <c r="E72" t="s">
        <v>45</v>
      </c>
      <c r="F72">
        <v>1375.5</v>
      </c>
      <c r="G72">
        <v>5</v>
      </c>
      <c r="H72">
        <v>20</v>
      </c>
      <c r="I72">
        <v>27510</v>
      </c>
      <c r="J72">
        <v>275.10000000000002</v>
      </c>
      <c r="K72">
        <v>27234.9</v>
      </c>
      <c r="L72">
        <v>13755</v>
      </c>
      <c r="M72">
        <v>13479.9</v>
      </c>
      <c r="N72" s="1">
        <v>41821</v>
      </c>
      <c r="O72">
        <v>7</v>
      </c>
      <c r="P72" t="s">
        <v>32</v>
      </c>
      <c r="Q72">
        <v>2014</v>
      </c>
    </row>
    <row r="73" spans="1:17" x14ac:dyDescent="0.3">
      <c r="A73" t="str">
        <f t="shared" ca="1" si="1"/>
        <v>ORD-2014-Ca0-8083</v>
      </c>
      <c r="B73" t="s">
        <v>17</v>
      </c>
      <c r="C73" t="s">
        <v>18</v>
      </c>
      <c r="D73" t="s">
        <v>28</v>
      </c>
      <c r="E73" t="s">
        <v>45</v>
      </c>
      <c r="F73">
        <v>1830</v>
      </c>
      <c r="G73">
        <v>5</v>
      </c>
      <c r="H73">
        <v>7</v>
      </c>
      <c r="I73">
        <v>12810</v>
      </c>
      <c r="J73">
        <v>128.1</v>
      </c>
      <c r="K73">
        <v>12681.9</v>
      </c>
      <c r="L73">
        <v>9150</v>
      </c>
      <c r="M73">
        <v>3531.9</v>
      </c>
      <c r="N73" s="1">
        <v>41852</v>
      </c>
      <c r="O73">
        <v>8</v>
      </c>
      <c r="P73" t="s">
        <v>34</v>
      </c>
      <c r="Q73">
        <v>2014</v>
      </c>
    </row>
    <row r="74" spans="1:17" x14ac:dyDescent="0.3">
      <c r="A74" t="str">
        <f t="shared" ca="1" si="1"/>
        <v>ORD-2013-Uni-5649</v>
      </c>
      <c r="B74" t="s">
        <v>33</v>
      </c>
      <c r="C74" t="s">
        <v>37</v>
      </c>
      <c r="D74" t="s">
        <v>28</v>
      </c>
      <c r="E74" t="s">
        <v>45</v>
      </c>
      <c r="F74">
        <v>2498</v>
      </c>
      <c r="G74">
        <v>5</v>
      </c>
      <c r="H74">
        <v>300</v>
      </c>
      <c r="I74">
        <v>749400</v>
      </c>
      <c r="J74">
        <v>7494</v>
      </c>
      <c r="K74">
        <v>741906</v>
      </c>
      <c r="L74">
        <v>624500</v>
      </c>
      <c r="M74">
        <v>117406</v>
      </c>
      <c r="N74" s="1">
        <v>41518</v>
      </c>
      <c r="O74">
        <v>9</v>
      </c>
      <c r="P74" t="s">
        <v>35</v>
      </c>
      <c r="Q74">
        <v>2013</v>
      </c>
    </row>
    <row r="75" spans="1:17" x14ac:dyDescent="0.3">
      <c r="A75" t="str">
        <f t="shared" ca="1" si="1"/>
        <v>ORD-2013-Uni-3625</v>
      </c>
      <c r="B75" t="s">
        <v>31</v>
      </c>
      <c r="C75" t="s">
        <v>37</v>
      </c>
      <c r="D75" t="s">
        <v>28</v>
      </c>
      <c r="E75" t="s">
        <v>45</v>
      </c>
      <c r="F75">
        <v>663</v>
      </c>
      <c r="G75">
        <v>5</v>
      </c>
      <c r="H75">
        <v>125</v>
      </c>
      <c r="I75">
        <v>82875</v>
      </c>
      <c r="J75">
        <v>828.75</v>
      </c>
      <c r="K75">
        <v>82046.25</v>
      </c>
      <c r="L75">
        <v>79560</v>
      </c>
      <c r="M75">
        <v>2486.25</v>
      </c>
      <c r="N75" s="1">
        <v>41548</v>
      </c>
      <c r="O75">
        <v>10</v>
      </c>
      <c r="P75" t="s">
        <v>36</v>
      </c>
      <c r="Q75">
        <v>2013</v>
      </c>
    </row>
    <row r="76" spans="1:17" x14ac:dyDescent="0.3">
      <c r="A76" t="str">
        <f t="shared" ca="1" si="1"/>
        <v>ORD-2014-Uni-7988</v>
      </c>
      <c r="B76" t="s">
        <v>23</v>
      </c>
      <c r="C76" t="s">
        <v>37</v>
      </c>
      <c r="D76" t="s">
        <v>38</v>
      </c>
      <c r="E76" t="s">
        <v>45</v>
      </c>
      <c r="F76">
        <v>1514</v>
      </c>
      <c r="G76">
        <v>10</v>
      </c>
      <c r="H76">
        <v>15</v>
      </c>
      <c r="I76">
        <v>22710</v>
      </c>
      <c r="J76">
        <v>227.1</v>
      </c>
      <c r="K76">
        <v>22482.9</v>
      </c>
      <c r="L76">
        <v>15140</v>
      </c>
      <c r="M76">
        <v>7342.9</v>
      </c>
      <c r="N76" s="1">
        <v>41671</v>
      </c>
      <c r="O76">
        <v>2</v>
      </c>
      <c r="P76" t="s">
        <v>39</v>
      </c>
      <c r="Q76">
        <v>2014</v>
      </c>
    </row>
    <row r="77" spans="1:17" x14ac:dyDescent="0.3">
      <c r="A77" t="str">
        <f t="shared" ca="1" si="1"/>
        <v>ORD-2014-Uni-9938</v>
      </c>
      <c r="B77" t="s">
        <v>17</v>
      </c>
      <c r="C77" t="s">
        <v>37</v>
      </c>
      <c r="D77" t="s">
        <v>38</v>
      </c>
      <c r="E77" t="s">
        <v>45</v>
      </c>
      <c r="F77">
        <v>4492.5</v>
      </c>
      <c r="G77">
        <v>10</v>
      </c>
      <c r="H77">
        <v>7</v>
      </c>
      <c r="I77">
        <v>31447.5</v>
      </c>
      <c r="J77">
        <v>314.48</v>
      </c>
      <c r="K77">
        <v>31133.03</v>
      </c>
      <c r="L77">
        <v>22462.5</v>
      </c>
      <c r="M77">
        <v>8670.5300000000007</v>
      </c>
      <c r="N77" s="1">
        <v>41730</v>
      </c>
      <c r="O77">
        <v>4</v>
      </c>
      <c r="P77" t="s">
        <v>43</v>
      </c>
      <c r="Q77">
        <v>2014</v>
      </c>
    </row>
    <row r="78" spans="1:17" x14ac:dyDescent="0.3">
      <c r="A78" t="str">
        <f t="shared" ca="1" si="1"/>
        <v>ORD-2014-Uni-3970</v>
      </c>
      <c r="B78" t="s">
        <v>31</v>
      </c>
      <c r="C78" t="s">
        <v>37</v>
      </c>
      <c r="D78" t="s">
        <v>38</v>
      </c>
      <c r="E78" t="s">
        <v>45</v>
      </c>
      <c r="F78">
        <v>727</v>
      </c>
      <c r="G78">
        <v>10</v>
      </c>
      <c r="H78">
        <v>125</v>
      </c>
      <c r="I78">
        <v>90875</v>
      </c>
      <c r="J78">
        <v>908.75</v>
      </c>
      <c r="K78">
        <v>89966.25</v>
      </c>
      <c r="L78">
        <v>87240</v>
      </c>
      <c r="M78">
        <v>2726.25</v>
      </c>
      <c r="N78" s="1">
        <v>41791</v>
      </c>
      <c r="O78">
        <v>6</v>
      </c>
      <c r="P78" t="s">
        <v>25</v>
      </c>
      <c r="Q78">
        <v>2014</v>
      </c>
    </row>
    <row r="79" spans="1:17" x14ac:dyDescent="0.3">
      <c r="A79" t="str">
        <f t="shared" ca="1" si="1"/>
        <v>ORD-2014-Fra-8497</v>
      </c>
      <c r="B79" t="s">
        <v>31</v>
      </c>
      <c r="C79" t="s">
        <v>24</v>
      </c>
      <c r="D79" t="s">
        <v>38</v>
      </c>
      <c r="E79" t="s">
        <v>45</v>
      </c>
      <c r="F79">
        <v>787</v>
      </c>
      <c r="G79">
        <v>10</v>
      </c>
      <c r="H79">
        <v>125</v>
      </c>
      <c r="I79">
        <v>98375</v>
      </c>
      <c r="J79">
        <v>983.75</v>
      </c>
      <c r="K79">
        <v>97391.25</v>
      </c>
      <c r="L79">
        <v>94440</v>
      </c>
      <c r="M79">
        <v>2951.25</v>
      </c>
      <c r="N79" s="1">
        <v>41791</v>
      </c>
      <c r="O79">
        <v>6</v>
      </c>
      <c r="P79" t="s">
        <v>25</v>
      </c>
      <c r="Q79">
        <v>2014</v>
      </c>
    </row>
    <row r="80" spans="1:17" x14ac:dyDescent="0.3">
      <c r="A80" t="str">
        <f t="shared" ca="1" si="1"/>
        <v>ORD-2014-Mex-8616</v>
      </c>
      <c r="B80" t="s">
        <v>31</v>
      </c>
      <c r="C80" t="s">
        <v>26</v>
      </c>
      <c r="D80" t="s">
        <v>38</v>
      </c>
      <c r="E80" t="s">
        <v>45</v>
      </c>
      <c r="F80">
        <v>1823</v>
      </c>
      <c r="G80">
        <v>10</v>
      </c>
      <c r="H80">
        <v>125</v>
      </c>
      <c r="I80">
        <v>227875</v>
      </c>
      <c r="J80">
        <v>2278.75</v>
      </c>
      <c r="K80">
        <v>225596.25</v>
      </c>
      <c r="L80">
        <v>218760</v>
      </c>
      <c r="M80">
        <v>6836.25</v>
      </c>
      <c r="N80" s="1">
        <v>41821</v>
      </c>
      <c r="O80">
        <v>7</v>
      </c>
      <c r="P80" t="s">
        <v>32</v>
      </c>
      <c r="Q80">
        <v>2014</v>
      </c>
    </row>
    <row r="81" spans="1:17" x14ac:dyDescent="0.3">
      <c r="A81" t="str">
        <f t="shared" ca="1" si="1"/>
        <v>ORD-2014-Ger-1862</v>
      </c>
      <c r="B81" t="s">
        <v>23</v>
      </c>
      <c r="C81" t="s">
        <v>22</v>
      </c>
      <c r="D81" t="s">
        <v>38</v>
      </c>
      <c r="E81" t="s">
        <v>45</v>
      </c>
      <c r="F81">
        <v>747</v>
      </c>
      <c r="G81">
        <v>10</v>
      </c>
      <c r="H81">
        <v>15</v>
      </c>
      <c r="I81">
        <v>11205</v>
      </c>
      <c r="J81">
        <v>112.05</v>
      </c>
      <c r="K81">
        <v>11092.95</v>
      </c>
      <c r="L81">
        <v>7470</v>
      </c>
      <c r="M81">
        <v>3622.95</v>
      </c>
      <c r="N81" s="1">
        <v>41883</v>
      </c>
      <c r="O81">
        <v>9</v>
      </c>
      <c r="P81" t="s">
        <v>35</v>
      </c>
      <c r="Q81">
        <v>2014</v>
      </c>
    </row>
    <row r="82" spans="1:17" x14ac:dyDescent="0.3">
      <c r="A82" t="str">
        <f t="shared" ca="1" si="1"/>
        <v>ORD-2013-Ger-3560</v>
      </c>
      <c r="B82" t="s">
        <v>30</v>
      </c>
      <c r="C82" t="s">
        <v>22</v>
      </c>
      <c r="D82" t="s">
        <v>38</v>
      </c>
      <c r="E82" t="s">
        <v>45</v>
      </c>
      <c r="F82">
        <v>766</v>
      </c>
      <c r="G82">
        <v>10</v>
      </c>
      <c r="H82">
        <v>12</v>
      </c>
      <c r="I82">
        <v>9192</v>
      </c>
      <c r="J82">
        <v>91.92</v>
      </c>
      <c r="K82">
        <v>9100.08</v>
      </c>
      <c r="L82">
        <v>2298</v>
      </c>
      <c r="M82">
        <v>6802.08</v>
      </c>
      <c r="N82" s="1">
        <v>41548</v>
      </c>
      <c r="O82">
        <v>10</v>
      </c>
      <c r="P82" t="s">
        <v>36</v>
      </c>
      <c r="Q82">
        <v>2013</v>
      </c>
    </row>
    <row r="83" spans="1:17" x14ac:dyDescent="0.3">
      <c r="A83" t="str">
        <f t="shared" ca="1" si="1"/>
        <v>ORD-2014-Uni-7406</v>
      </c>
      <c r="B83" t="s">
        <v>33</v>
      </c>
      <c r="C83" t="s">
        <v>37</v>
      </c>
      <c r="D83" t="s">
        <v>38</v>
      </c>
      <c r="E83" t="s">
        <v>45</v>
      </c>
      <c r="F83">
        <v>2905</v>
      </c>
      <c r="G83">
        <v>10</v>
      </c>
      <c r="H83">
        <v>300</v>
      </c>
      <c r="I83">
        <v>871500</v>
      </c>
      <c r="J83">
        <v>8715</v>
      </c>
      <c r="K83">
        <v>862785</v>
      </c>
      <c r="L83">
        <v>726250</v>
      </c>
      <c r="M83">
        <v>136535</v>
      </c>
      <c r="N83" s="1">
        <v>41944</v>
      </c>
      <c r="O83">
        <v>11</v>
      </c>
      <c r="P83" t="s">
        <v>40</v>
      </c>
      <c r="Q83">
        <v>2014</v>
      </c>
    </row>
    <row r="84" spans="1:17" x14ac:dyDescent="0.3">
      <c r="A84" t="str">
        <f t="shared" ca="1" si="1"/>
        <v>ORD-2014-Fra-8887</v>
      </c>
      <c r="B84" t="s">
        <v>17</v>
      </c>
      <c r="C84" t="s">
        <v>24</v>
      </c>
      <c r="D84" t="s">
        <v>38</v>
      </c>
      <c r="E84" t="s">
        <v>45</v>
      </c>
      <c r="F84">
        <v>2155</v>
      </c>
      <c r="G84">
        <v>10</v>
      </c>
      <c r="H84">
        <v>350</v>
      </c>
      <c r="I84">
        <v>754250</v>
      </c>
      <c r="J84">
        <v>7542.5</v>
      </c>
      <c r="K84">
        <v>746707.5</v>
      </c>
      <c r="L84">
        <v>560300</v>
      </c>
      <c r="M84">
        <v>186407.5</v>
      </c>
      <c r="N84" s="1">
        <v>41974</v>
      </c>
      <c r="O84">
        <v>12</v>
      </c>
      <c r="P84" t="s">
        <v>27</v>
      </c>
      <c r="Q84">
        <v>2014</v>
      </c>
    </row>
    <row r="85" spans="1:17" x14ac:dyDescent="0.3">
      <c r="A85" t="str">
        <f t="shared" ca="1" si="1"/>
        <v>ORD-2014-Fra-7687</v>
      </c>
      <c r="B85" t="s">
        <v>17</v>
      </c>
      <c r="C85" t="s">
        <v>24</v>
      </c>
      <c r="D85" t="s">
        <v>41</v>
      </c>
      <c r="E85" t="s">
        <v>45</v>
      </c>
      <c r="F85">
        <v>3864</v>
      </c>
      <c r="G85">
        <v>120</v>
      </c>
      <c r="H85">
        <v>20</v>
      </c>
      <c r="I85">
        <v>77280</v>
      </c>
      <c r="J85">
        <v>772.8</v>
      </c>
      <c r="K85">
        <v>76507.199999999997</v>
      </c>
      <c r="L85">
        <v>38640</v>
      </c>
      <c r="M85">
        <v>37867.199999999997</v>
      </c>
      <c r="N85" s="1">
        <v>41730</v>
      </c>
      <c r="O85">
        <v>4</v>
      </c>
      <c r="P85" t="s">
        <v>43</v>
      </c>
      <c r="Q85">
        <v>2014</v>
      </c>
    </row>
    <row r="86" spans="1:17" x14ac:dyDescent="0.3">
      <c r="A86" t="str">
        <f t="shared" ca="1" si="1"/>
        <v>ORD-2014-Mex-9309</v>
      </c>
      <c r="B86" t="s">
        <v>17</v>
      </c>
      <c r="C86" t="s">
        <v>26</v>
      </c>
      <c r="D86" t="s">
        <v>41</v>
      </c>
      <c r="E86" t="s">
        <v>45</v>
      </c>
      <c r="F86">
        <v>362</v>
      </c>
      <c r="G86">
        <v>120</v>
      </c>
      <c r="H86">
        <v>7</v>
      </c>
      <c r="I86">
        <v>2534</v>
      </c>
      <c r="J86">
        <v>25.34</v>
      </c>
      <c r="K86">
        <v>2508.66</v>
      </c>
      <c r="L86">
        <v>1810</v>
      </c>
      <c r="M86">
        <v>698.66</v>
      </c>
      <c r="N86" s="1">
        <v>41760</v>
      </c>
      <c r="O86">
        <v>5</v>
      </c>
      <c r="P86" t="s">
        <v>46</v>
      </c>
      <c r="Q86">
        <v>2014</v>
      </c>
    </row>
    <row r="87" spans="1:17" x14ac:dyDescent="0.3">
      <c r="A87" t="str">
        <f t="shared" ca="1" si="1"/>
        <v>ORD-2014-Ca0-6041</v>
      </c>
      <c r="B87" t="s">
        <v>31</v>
      </c>
      <c r="C87" t="s">
        <v>18</v>
      </c>
      <c r="D87" t="s">
        <v>41</v>
      </c>
      <c r="E87" t="s">
        <v>45</v>
      </c>
      <c r="F87">
        <v>923</v>
      </c>
      <c r="G87">
        <v>120</v>
      </c>
      <c r="H87">
        <v>125</v>
      </c>
      <c r="I87">
        <v>115375</v>
      </c>
      <c r="J87">
        <v>1153.75</v>
      </c>
      <c r="K87">
        <v>114221.25</v>
      </c>
      <c r="L87">
        <v>110760</v>
      </c>
      <c r="M87">
        <v>3461.25</v>
      </c>
      <c r="N87" s="1">
        <v>41852</v>
      </c>
      <c r="O87">
        <v>8</v>
      </c>
      <c r="P87" t="s">
        <v>34</v>
      </c>
      <c r="Q87">
        <v>2014</v>
      </c>
    </row>
    <row r="88" spans="1:17" x14ac:dyDescent="0.3">
      <c r="A88" t="str">
        <f t="shared" ca="1" si="1"/>
        <v>ORD-2013-Uni-7820</v>
      </c>
      <c r="B88" t="s">
        <v>31</v>
      </c>
      <c r="C88" t="s">
        <v>37</v>
      </c>
      <c r="D88" t="s">
        <v>41</v>
      </c>
      <c r="E88" t="s">
        <v>45</v>
      </c>
      <c r="F88">
        <v>663</v>
      </c>
      <c r="G88">
        <v>120</v>
      </c>
      <c r="H88">
        <v>125</v>
      </c>
      <c r="I88">
        <v>82875</v>
      </c>
      <c r="J88">
        <v>828.75</v>
      </c>
      <c r="K88">
        <v>82046.25</v>
      </c>
      <c r="L88">
        <v>79560</v>
      </c>
      <c r="M88">
        <v>2486.25</v>
      </c>
      <c r="N88" s="1">
        <v>41548</v>
      </c>
      <c r="O88">
        <v>10</v>
      </c>
      <c r="P88" t="s">
        <v>36</v>
      </c>
      <c r="Q88">
        <v>2013</v>
      </c>
    </row>
    <row r="89" spans="1:17" x14ac:dyDescent="0.3">
      <c r="A89" t="str">
        <f t="shared" ca="1" si="1"/>
        <v>ORD-2013-Ca0-7545</v>
      </c>
      <c r="B89" t="s">
        <v>17</v>
      </c>
      <c r="C89" t="s">
        <v>18</v>
      </c>
      <c r="D89" t="s">
        <v>41</v>
      </c>
      <c r="E89" t="s">
        <v>45</v>
      </c>
      <c r="F89">
        <v>2092</v>
      </c>
      <c r="G89">
        <v>120</v>
      </c>
      <c r="H89">
        <v>7</v>
      </c>
      <c r="I89">
        <v>14644</v>
      </c>
      <c r="J89">
        <v>146.44</v>
      </c>
      <c r="K89">
        <v>14497.56</v>
      </c>
      <c r="L89">
        <v>10460</v>
      </c>
      <c r="M89">
        <v>4037.56</v>
      </c>
      <c r="N89" s="1">
        <v>41579</v>
      </c>
      <c r="O89">
        <v>11</v>
      </c>
      <c r="P89" t="s">
        <v>40</v>
      </c>
      <c r="Q89">
        <v>2013</v>
      </c>
    </row>
    <row r="90" spans="1:17" x14ac:dyDescent="0.3">
      <c r="A90" t="str">
        <f t="shared" ca="1" si="1"/>
        <v>ORD-2014-Ger-4061</v>
      </c>
      <c r="B90" t="s">
        <v>17</v>
      </c>
      <c r="C90" t="s">
        <v>22</v>
      </c>
      <c r="D90" t="s">
        <v>42</v>
      </c>
      <c r="E90" t="s">
        <v>45</v>
      </c>
      <c r="F90">
        <v>263</v>
      </c>
      <c r="G90">
        <v>250</v>
      </c>
      <c r="H90">
        <v>7</v>
      </c>
      <c r="I90">
        <v>1841</v>
      </c>
      <c r="J90">
        <v>18.41</v>
      </c>
      <c r="K90">
        <v>1822.59</v>
      </c>
      <c r="L90">
        <v>1315</v>
      </c>
      <c r="M90">
        <v>507.59</v>
      </c>
      <c r="N90" s="1">
        <v>41699</v>
      </c>
      <c r="O90">
        <v>3</v>
      </c>
      <c r="P90" t="s">
        <v>29</v>
      </c>
      <c r="Q90">
        <v>2014</v>
      </c>
    </row>
    <row r="91" spans="1:17" x14ac:dyDescent="0.3">
      <c r="A91" t="str">
        <f t="shared" ca="1" si="1"/>
        <v>ORD-2014-Ca0-1735</v>
      </c>
      <c r="B91" t="s">
        <v>17</v>
      </c>
      <c r="C91" t="s">
        <v>18</v>
      </c>
      <c r="D91" t="s">
        <v>42</v>
      </c>
      <c r="E91" t="s">
        <v>45</v>
      </c>
      <c r="F91">
        <v>943.5</v>
      </c>
      <c r="G91">
        <v>250</v>
      </c>
      <c r="H91">
        <v>350</v>
      </c>
      <c r="I91">
        <v>330225</v>
      </c>
      <c r="J91">
        <v>3302.25</v>
      </c>
      <c r="K91">
        <v>326922.75</v>
      </c>
      <c r="L91">
        <v>245310</v>
      </c>
      <c r="M91">
        <v>81612.75</v>
      </c>
      <c r="N91" s="1">
        <v>41730</v>
      </c>
      <c r="O91">
        <v>4</v>
      </c>
      <c r="P91" t="s">
        <v>43</v>
      </c>
      <c r="Q91">
        <v>2014</v>
      </c>
    </row>
    <row r="92" spans="1:17" x14ac:dyDescent="0.3">
      <c r="A92" t="str">
        <f t="shared" ca="1" si="1"/>
        <v>ORD-2014-Uni-7410</v>
      </c>
      <c r="B92" t="s">
        <v>31</v>
      </c>
      <c r="C92" t="s">
        <v>37</v>
      </c>
      <c r="D92" t="s">
        <v>42</v>
      </c>
      <c r="E92" t="s">
        <v>45</v>
      </c>
      <c r="F92">
        <v>727</v>
      </c>
      <c r="G92">
        <v>250</v>
      </c>
      <c r="H92">
        <v>125</v>
      </c>
      <c r="I92">
        <v>90875</v>
      </c>
      <c r="J92">
        <v>908.75</v>
      </c>
      <c r="K92">
        <v>89966.25</v>
      </c>
      <c r="L92">
        <v>87240</v>
      </c>
      <c r="M92">
        <v>2726.25</v>
      </c>
      <c r="N92" s="1">
        <v>41791</v>
      </c>
      <c r="O92">
        <v>6</v>
      </c>
      <c r="P92" t="s">
        <v>25</v>
      </c>
      <c r="Q92">
        <v>2014</v>
      </c>
    </row>
    <row r="93" spans="1:17" x14ac:dyDescent="0.3">
      <c r="A93" t="str">
        <f t="shared" ca="1" si="1"/>
        <v>ORD-2014-Fra-8682</v>
      </c>
      <c r="B93" t="s">
        <v>31</v>
      </c>
      <c r="C93" t="s">
        <v>24</v>
      </c>
      <c r="D93" t="s">
        <v>42</v>
      </c>
      <c r="E93" t="s">
        <v>45</v>
      </c>
      <c r="F93">
        <v>787</v>
      </c>
      <c r="G93">
        <v>250</v>
      </c>
      <c r="H93">
        <v>125</v>
      </c>
      <c r="I93">
        <v>98375</v>
      </c>
      <c r="J93">
        <v>983.75</v>
      </c>
      <c r="K93">
        <v>97391.25</v>
      </c>
      <c r="L93">
        <v>94440</v>
      </c>
      <c r="M93">
        <v>2951.25</v>
      </c>
      <c r="N93" s="1">
        <v>41791</v>
      </c>
      <c r="O93">
        <v>6</v>
      </c>
      <c r="P93" t="s">
        <v>25</v>
      </c>
      <c r="Q93">
        <v>2014</v>
      </c>
    </row>
    <row r="94" spans="1:17" x14ac:dyDescent="0.3">
      <c r="A94" t="str">
        <f t="shared" ca="1" si="1"/>
        <v>ORD-2014-Ger-9468</v>
      </c>
      <c r="B94" t="s">
        <v>33</v>
      </c>
      <c r="C94" t="s">
        <v>22</v>
      </c>
      <c r="D94" t="s">
        <v>42</v>
      </c>
      <c r="E94" t="s">
        <v>45</v>
      </c>
      <c r="F94">
        <v>986</v>
      </c>
      <c r="G94">
        <v>250</v>
      </c>
      <c r="H94">
        <v>300</v>
      </c>
      <c r="I94">
        <v>295800</v>
      </c>
      <c r="J94">
        <v>2958</v>
      </c>
      <c r="K94">
        <v>292842</v>
      </c>
      <c r="L94">
        <v>246500</v>
      </c>
      <c r="M94">
        <v>46342</v>
      </c>
      <c r="N94" s="1">
        <v>41883</v>
      </c>
      <c r="O94">
        <v>9</v>
      </c>
      <c r="P94" t="s">
        <v>35</v>
      </c>
      <c r="Q94">
        <v>2014</v>
      </c>
    </row>
    <row r="95" spans="1:17" x14ac:dyDescent="0.3">
      <c r="A95" t="str">
        <f t="shared" ca="1" si="1"/>
        <v>ORD-2013-Mex-7644</v>
      </c>
      <c r="B95" t="s">
        <v>33</v>
      </c>
      <c r="C95" t="s">
        <v>26</v>
      </c>
      <c r="D95" t="s">
        <v>42</v>
      </c>
      <c r="E95" t="s">
        <v>45</v>
      </c>
      <c r="F95">
        <v>494</v>
      </c>
      <c r="G95">
        <v>250</v>
      </c>
      <c r="H95">
        <v>300</v>
      </c>
      <c r="I95">
        <v>148200</v>
      </c>
      <c r="J95">
        <v>1482</v>
      </c>
      <c r="K95">
        <v>146718</v>
      </c>
      <c r="L95">
        <v>123500</v>
      </c>
      <c r="M95">
        <v>23218</v>
      </c>
      <c r="N95" s="1">
        <v>41548</v>
      </c>
      <c r="O95">
        <v>10</v>
      </c>
      <c r="P95" t="s">
        <v>36</v>
      </c>
      <c r="Q95">
        <v>2013</v>
      </c>
    </row>
    <row r="96" spans="1:17" x14ac:dyDescent="0.3">
      <c r="A96" t="str">
        <f t="shared" ca="1" si="1"/>
        <v>ORD-2014-Mex-2193</v>
      </c>
      <c r="B96" t="s">
        <v>17</v>
      </c>
      <c r="C96" t="s">
        <v>26</v>
      </c>
      <c r="D96" t="s">
        <v>42</v>
      </c>
      <c r="E96" t="s">
        <v>45</v>
      </c>
      <c r="F96">
        <v>1397</v>
      </c>
      <c r="G96">
        <v>250</v>
      </c>
      <c r="H96">
        <v>350</v>
      </c>
      <c r="I96">
        <v>488950</v>
      </c>
      <c r="J96">
        <v>4889.5</v>
      </c>
      <c r="K96">
        <v>484060.5</v>
      </c>
      <c r="L96">
        <v>363220</v>
      </c>
      <c r="M96">
        <v>120840.5</v>
      </c>
      <c r="N96" s="1">
        <v>41913</v>
      </c>
      <c r="O96">
        <v>10</v>
      </c>
      <c r="P96" t="s">
        <v>36</v>
      </c>
      <c r="Q96">
        <v>2014</v>
      </c>
    </row>
    <row r="97" spans="1:17" x14ac:dyDescent="0.3">
      <c r="A97" t="str">
        <f t="shared" ca="1" si="1"/>
        <v>ORD-2014-Fra-7549</v>
      </c>
      <c r="B97" t="s">
        <v>31</v>
      </c>
      <c r="C97" t="s">
        <v>24</v>
      </c>
      <c r="D97" t="s">
        <v>42</v>
      </c>
      <c r="E97" t="s">
        <v>45</v>
      </c>
      <c r="F97">
        <v>1744</v>
      </c>
      <c r="G97">
        <v>250</v>
      </c>
      <c r="H97">
        <v>125</v>
      </c>
      <c r="I97">
        <v>218000</v>
      </c>
      <c r="J97">
        <v>2180</v>
      </c>
      <c r="K97">
        <v>215820</v>
      </c>
      <c r="L97">
        <v>209280</v>
      </c>
      <c r="M97">
        <v>6540</v>
      </c>
      <c r="N97" s="1">
        <v>41944</v>
      </c>
      <c r="O97">
        <v>11</v>
      </c>
      <c r="P97" t="s">
        <v>40</v>
      </c>
      <c r="Q97">
        <v>2014</v>
      </c>
    </row>
    <row r="98" spans="1:17" x14ac:dyDescent="0.3">
      <c r="A98" t="str">
        <f t="shared" ca="1" si="1"/>
        <v>ORD-2013-Uni-9032</v>
      </c>
      <c r="B98" t="s">
        <v>30</v>
      </c>
      <c r="C98" t="s">
        <v>37</v>
      </c>
      <c r="D98" t="s">
        <v>44</v>
      </c>
      <c r="E98" t="s">
        <v>45</v>
      </c>
      <c r="F98">
        <v>1989</v>
      </c>
      <c r="G98">
        <v>260</v>
      </c>
      <c r="H98">
        <v>12</v>
      </c>
      <c r="I98">
        <v>23868</v>
      </c>
      <c r="J98">
        <v>238.68</v>
      </c>
      <c r="K98">
        <v>23629.32</v>
      </c>
      <c r="L98">
        <v>5967</v>
      </c>
      <c r="M98">
        <v>17662.32</v>
      </c>
      <c r="N98" s="1">
        <v>41518</v>
      </c>
      <c r="O98">
        <v>9</v>
      </c>
      <c r="P98" t="s">
        <v>35</v>
      </c>
      <c r="Q98">
        <v>2013</v>
      </c>
    </row>
    <row r="99" spans="1:17" x14ac:dyDescent="0.3">
      <c r="A99" t="str">
        <f t="shared" ca="1" si="1"/>
        <v>ORD-2013-Fra-1257</v>
      </c>
      <c r="B99" t="s">
        <v>23</v>
      </c>
      <c r="C99" t="s">
        <v>24</v>
      </c>
      <c r="D99" t="s">
        <v>44</v>
      </c>
      <c r="E99" t="s">
        <v>45</v>
      </c>
      <c r="F99">
        <v>321</v>
      </c>
      <c r="G99">
        <v>260</v>
      </c>
      <c r="H99">
        <v>15</v>
      </c>
      <c r="I99">
        <v>4815</v>
      </c>
      <c r="J99">
        <v>48.15</v>
      </c>
      <c r="K99">
        <v>4766.8500000000004</v>
      </c>
      <c r="L99">
        <v>3210</v>
      </c>
      <c r="M99">
        <v>1556.85</v>
      </c>
      <c r="N99" s="1">
        <v>41579</v>
      </c>
      <c r="O99">
        <v>11</v>
      </c>
      <c r="P99" t="s">
        <v>40</v>
      </c>
      <c r="Q99">
        <v>2013</v>
      </c>
    </row>
    <row r="100" spans="1:17" x14ac:dyDescent="0.3">
      <c r="A100" t="str">
        <f t="shared" ca="1" si="1"/>
        <v>ORD-2014-Ca0-5821</v>
      </c>
      <c r="B100" t="s">
        <v>31</v>
      </c>
      <c r="C100" t="s">
        <v>18</v>
      </c>
      <c r="D100" t="s">
        <v>19</v>
      </c>
      <c r="E100" t="s">
        <v>45</v>
      </c>
      <c r="F100">
        <v>742.5</v>
      </c>
      <c r="G100">
        <v>3</v>
      </c>
      <c r="H100">
        <v>125</v>
      </c>
      <c r="I100">
        <v>92812.5</v>
      </c>
      <c r="J100">
        <v>1856.25</v>
      </c>
      <c r="K100">
        <v>90956.25</v>
      </c>
      <c r="L100">
        <v>89100</v>
      </c>
      <c r="M100">
        <v>1856.25</v>
      </c>
      <c r="N100" s="1">
        <v>41730</v>
      </c>
      <c r="O100">
        <v>4</v>
      </c>
      <c r="P100" t="s">
        <v>43</v>
      </c>
      <c r="Q100">
        <v>2014</v>
      </c>
    </row>
    <row r="101" spans="1:17" x14ac:dyDescent="0.3">
      <c r="A101" t="str">
        <f t="shared" ca="1" si="1"/>
        <v>ORD-2014-Ca0-5472</v>
      </c>
      <c r="B101" t="s">
        <v>30</v>
      </c>
      <c r="C101" t="s">
        <v>18</v>
      </c>
      <c r="D101" t="s">
        <v>19</v>
      </c>
      <c r="E101" t="s">
        <v>45</v>
      </c>
      <c r="F101">
        <v>1295</v>
      </c>
      <c r="G101">
        <v>3</v>
      </c>
      <c r="H101">
        <v>12</v>
      </c>
      <c r="I101">
        <v>15540</v>
      </c>
      <c r="J101">
        <v>310.8</v>
      </c>
      <c r="K101">
        <v>15229.2</v>
      </c>
      <c r="L101">
        <v>3885</v>
      </c>
      <c r="M101">
        <v>11344.2</v>
      </c>
      <c r="N101" s="1">
        <v>41913</v>
      </c>
      <c r="O101">
        <v>10</v>
      </c>
      <c r="P101" t="s">
        <v>36</v>
      </c>
      <c r="Q101">
        <v>2014</v>
      </c>
    </row>
    <row r="102" spans="1:17" x14ac:dyDescent="0.3">
      <c r="A102" t="str">
        <f t="shared" ca="1" si="1"/>
        <v>ORD-2013-Ger-4421</v>
      </c>
      <c r="B102" t="s">
        <v>33</v>
      </c>
      <c r="C102" t="s">
        <v>22</v>
      </c>
      <c r="D102" t="s">
        <v>19</v>
      </c>
      <c r="E102" t="s">
        <v>45</v>
      </c>
      <c r="F102">
        <v>214</v>
      </c>
      <c r="G102">
        <v>3</v>
      </c>
      <c r="H102">
        <v>300</v>
      </c>
      <c r="I102">
        <v>64200</v>
      </c>
      <c r="J102">
        <v>1284</v>
      </c>
      <c r="K102">
        <v>62916</v>
      </c>
      <c r="L102">
        <v>53500</v>
      </c>
      <c r="M102">
        <v>9416</v>
      </c>
      <c r="N102" s="1">
        <v>41548</v>
      </c>
      <c r="O102">
        <v>10</v>
      </c>
      <c r="P102" t="s">
        <v>36</v>
      </c>
      <c r="Q102">
        <v>2013</v>
      </c>
    </row>
    <row r="103" spans="1:17" x14ac:dyDescent="0.3">
      <c r="A103" t="str">
        <f t="shared" ca="1" si="1"/>
        <v>ORD-2013-Fra-6703</v>
      </c>
      <c r="B103" t="s">
        <v>17</v>
      </c>
      <c r="C103" t="s">
        <v>24</v>
      </c>
      <c r="D103" t="s">
        <v>19</v>
      </c>
      <c r="E103" t="s">
        <v>45</v>
      </c>
      <c r="F103">
        <v>2145</v>
      </c>
      <c r="G103">
        <v>3</v>
      </c>
      <c r="H103">
        <v>7</v>
      </c>
      <c r="I103">
        <v>15015</v>
      </c>
      <c r="J103">
        <v>300.3</v>
      </c>
      <c r="K103">
        <v>14714.7</v>
      </c>
      <c r="L103">
        <v>10725</v>
      </c>
      <c r="M103">
        <v>3989.7</v>
      </c>
      <c r="N103" s="1">
        <v>41579</v>
      </c>
      <c r="O103">
        <v>11</v>
      </c>
      <c r="P103" t="s">
        <v>40</v>
      </c>
      <c r="Q103">
        <v>2013</v>
      </c>
    </row>
    <row r="104" spans="1:17" x14ac:dyDescent="0.3">
      <c r="A104" t="str">
        <f t="shared" ca="1" si="1"/>
        <v>ORD-2014-Ca0-7002</v>
      </c>
      <c r="B104" t="s">
        <v>17</v>
      </c>
      <c r="C104" t="s">
        <v>18</v>
      </c>
      <c r="D104" t="s">
        <v>19</v>
      </c>
      <c r="E104" t="s">
        <v>45</v>
      </c>
      <c r="F104">
        <v>2852</v>
      </c>
      <c r="G104">
        <v>3</v>
      </c>
      <c r="H104">
        <v>350</v>
      </c>
      <c r="I104">
        <v>998200</v>
      </c>
      <c r="J104">
        <v>19964</v>
      </c>
      <c r="K104">
        <v>978236</v>
      </c>
      <c r="L104">
        <v>741520</v>
      </c>
      <c r="M104">
        <v>236716</v>
      </c>
      <c r="N104" s="1">
        <v>41974</v>
      </c>
      <c r="O104">
        <v>12</v>
      </c>
      <c r="P104" t="s">
        <v>27</v>
      </c>
      <c r="Q104">
        <v>2014</v>
      </c>
    </row>
    <row r="105" spans="1:17" x14ac:dyDescent="0.3">
      <c r="A105" t="str">
        <f t="shared" ca="1" si="1"/>
        <v>ORD-2014-Uni-5640</v>
      </c>
      <c r="B105" t="s">
        <v>30</v>
      </c>
      <c r="C105" t="s">
        <v>37</v>
      </c>
      <c r="D105" t="s">
        <v>28</v>
      </c>
      <c r="E105" t="s">
        <v>45</v>
      </c>
      <c r="F105">
        <v>1142</v>
      </c>
      <c r="G105">
        <v>5</v>
      </c>
      <c r="H105">
        <v>12</v>
      </c>
      <c r="I105">
        <v>13704</v>
      </c>
      <c r="J105">
        <v>274.08</v>
      </c>
      <c r="K105">
        <v>13429.92</v>
      </c>
      <c r="L105">
        <v>3426</v>
      </c>
      <c r="M105">
        <v>10003.92</v>
      </c>
      <c r="N105" s="1">
        <v>41791</v>
      </c>
      <c r="O105">
        <v>6</v>
      </c>
      <c r="P105" t="s">
        <v>25</v>
      </c>
      <c r="Q105">
        <v>2014</v>
      </c>
    </row>
    <row r="106" spans="1:17" x14ac:dyDescent="0.3">
      <c r="A106" t="str">
        <f t="shared" ca="1" si="1"/>
        <v>ORD-2014-Uni-4858</v>
      </c>
      <c r="B106" t="s">
        <v>17</v>
      </c>
      <c r="C106" t="s">
        <v>37</v>
      </c>
      <c r="D106" t="s">
        <v>28</v>
      </c>
      <c r="E106" t="s">
        <v>45</v>
      </c>
      <c r="F106">
        <v>1566</v>
      </c>
      <c r="G106">
        <v>5</v>
      </c>
      <c r="H106">
        <v>20</v>
      </c>
      <c r="I106">
        <v>31320</v>
      </c>
      <c r="J106">
        <v>626.4</v>
      </c>
      <c r="K106">
        <v>30693.599999999999</v>
      </c>
      <c r="L106">
        <v>15660</v>
      </c>
      <c r="M106">
        <v>15033.6</v>
      </c>
      <c r="N106" s="1">
        <v>41913</v>
      </c>
      <c r="O106">
        <v>10</v>
      </c>
      <c r="P106" t="s">
        <v>36</v>
      </c>
      <c r="Q106">
        <v>2014</v>
      </c>
    </row>
    <row r="107" spans="1:17" x14ac:dyDescent="0.3">
      <c r="A107" t="str">
        <f t="shared" ca="1" si="1"/>
        <v>ORD-2014-Mex-6535</v>
      </c>
      <c r="B107" t="s">
        <v>30</v>
      </c>
      <c r="C107" t="s">
        <v>26</v>
      </c>
      <c r="D107" t="s">
        <v>28</v>
      </c>
      <c r="E107" t="s">
        <v>45</v>
      </c>
      <c r="F107">
        <v>690</v>
      </c>
      <c r="G107">
        <v>5</v>
      </c>
      <c r="H107">
        <v>12</v>
      </c>
      <c r="I107">
        <v>8280</v>
      </c>
      <c r="J107">
        <v>165.6</v>
      </c>
      <c r="K107">
        <v>8114.4</v>
      </c>
      <c r="L107">
        <v>2070</v>
      </c>
      <c r="M107">
        <v>6044.4</v>
      </c>
      <c r="N107" s="1">
        <v>41944</v>
      </c>
      <c r="O107">
        <v>11</v>
      </c>
      <c r="P107" t="s">
        <v>40</v>
      </c>
      <c r="Q107">
        <v>2014</v>
      </c>
    </row>
    <row r="108" spans="1:17" x14ac:dyDescent="0.3">
      <c r="A108" t="str">
        <f t="shared" ca="1" si="1"/>
        <v>ORD-2013-Mex-6409</v>
      </c>
      <c r="B108" t="s">
        <v>31</v>
      </c>
      <c r="C108" t="s">
        <v>26</v>
      </c>
      <c r="D108" t="s">
        <v>28</v>
      </c>
      <c r="E108" t="s">
        <v>45</v>
      </c>
      <c r="F108">
        <v>1660</v>
      </c>
      <c r="G108">
        <v>5</v>
      </c>
      <c r="H108">
        <v>125</v>
      </c>
      <c r="I108">
        <v>207500</v>
      </c>
      <c r="J108">
        <v>4150</v>
      </c>
      <c r="K108">
        <v>203350</v>
      </c>
      <c r="L108">
        <v>199200</v>
      </c>
      <c r="M108">
        <v>4150</v>
      </c>
      <c r="N108" s="1">
        <v>41579</v>
      </c>
      <c r="O108">
        <v>11</v>
      </c>
      <c r="P108" t="s">
        <v>40</v>
      </c>
      <c r="Q108">
        <v>2013</v>
      </c>
    </row>
    <row r="109" spans="1:17" x14ac:dyDescent="0.3">
      <c r="A109" t="str">
        <f t="shared" ca="1" si="1"/>
        <v>ORD-2014-Ca0-2726</v>
      </c>
      <c r="B109" t="s">
        <v>23</v>
      </c>
      <c r="C109" t="s">
        <v>18</v>
      </c>
      <c r="D109" t="s">
        <v>38</v>
      </c>
      <c r="E109" t="s">
        <v>45</v>
      </c>
      <c r="F109">
        <v>2363</v>
      </c>
      <c r="G109">
        <v>10</v>
      </c>
      <c r="H109">
        <v>15</v>
      </c>
      <c r="I109">
        <v>35445</v>
      </c>
      <c r="J109">
        <v>708.9</v>
      </c>
      <c r="K109">
        <v>34736.1</v>
      </c>
      <c r="L109">
        <v>23630</v>
      </c>
      <c r="M109">
        <v>11106.1</v>
      </c>
      <c r="N109" s="1">
        <v>41671</v>
      </c>
      <c r="O109">
        <v>2</v>
      </c>
      <c r="P109" t="s">
        <v>39</v>
      </c>
      <c r="Q109">
        <v>2014</v>
      </c>
    </row>
    <row r="110" spans="1:17" x14ac:dyDescent="0.3">
      <c r="A110" t="str">
        <f t="shared" ca="1" si="1"/>
        <v>ORD-2014-Fra-4877</v>
      </c>
      <c r="B110" t="s">
        <v>33</v>
      </c>
      <c r="C110" t="s">
        <v>24</v>
      </c>
      <c r="D110" t="s">
        <v>38</v>
      </c>
      <c r="E110" t="s">
        <v>45</v>
      </c>
      <c r="F110">
        <v>918</v>
      </c>
      <c r="G110">
        <v>10</v>
      </c>
      <c r="H110">
        <v>300</v>
      </c>
      <c r="I110">
        <v>275400</v>
      </c>
      <c r="J110">
        <v>5508</v>
      </c>
      <c r="K110">
        <v>269892</v>
      </c>
      <c r="L110">
        <v>229500</v>
      </c>
      <c r="M110">
        <v>40392</v>
      </c>
      <c r="N110" s="1">
        <v>41760</v>
      </c>
      <c r="O110">
        <v>5</v>
      </c>
      <c r="P110" t="s">
        <v>46</v>
      </c>
      <c r="Q110">
        <v>2014</v>
      </c>
    </row>
    <row r="111" spans="1:17" x14ac:dyDescent="0.3">
      <c r="A111" t="str">
        <f t="shared" ca="1" si="1"/>
        <v>ORD-2014-Ger-2734</v>
      </c>
      <c r="B111" t="s">
        <v>33</v>
      </c>
      <c r="C111" t="s">
        <v>22</v>
      </c>
      <c r="D111" t="s">
        <v>38</v>
      </c>
      <c r="E111" t="s">
        <v>45</v>
      </c>
      <c r="F111">
        <v>1728</v>
      </c>
      <c r="G111">
        <v>10</v>
      </c>
      <c r="H111">
        <v>300</v>
      </c>
      <c r="I111">
        <v>518400</v>
      </c>
      <c r="J111">
        <v>10368</v>
      </c>
      <c r="K111">
        <v>508032</v>
      </c>
      <c r="L111">
        <v>432000</v>
      </c>
      <c r="M111">
        <v>76032</v>
      </c>
      <c r="N111" s="1">
        <v>41760</v>
      </c>
      <c r="O111">
        <v>5</v>
      </c>
      <c r="P111" t="s">
        <v>46</v>
      </c>
      <c r="Q111">
        <v>2014</v>
      </c>
    </row>
    <row r="112" spans="1:17" x14ac:dyDescent="0.3">
      <c r="A112" t="str">
        <f t="shared" ca="1" si="1"/>
        <v>ORD-2014-Uni-9470</v>
      </c>
      <c r="B112" t="s">
        <v>30</v>
      </c>
      <c r="C112" t="s">
        <v>37</v>
      </c>
      <c r="D112" t="s">
        <v>38</v>
      </c>
      <c r="E112" t="s">
        <v>45</v>
      </c>
      <c r="F112">
        <v>1142</v>
      </c>
      <c r="G112">
        <v>10</v>
      </c>
      <c r="H112">
        <v>12</v>
      </c>
      <c r="I112">
        <v>13704</v>
      </c>
      <c r="J112">
        <v>274.08</v>
      </c>
      <c r="K112">
        <v>13429.92</v>
      </c>
      <c r="L112">
        <v>3426</v>
      </c>
      <c r="M112">
        <v>10003.92</v>
      </c>
      <c r="N112" s="1">
        <v>41791</v>
      </c>
      <c r="O112">
        <v>6</v>
      </c>
      <c r="P112" t="s">
        <v>25</v>
      </c>
      <c r="Q112">
        <v>2014</v>
      </c>
    </row>
    <row r="113" spans="1:17" x14ac:dyDescent="0.3">
      <c r="A113" t="str">
        <f t="shared" ca="1" si="1"/>
        <v>ORD-2014-Mex-6746</v>
      </c>
      <c r="B113" t="s">
        <v>31</v>
      </c>
      <c r="C113" t="s">
        <v>26</v>
      </c>
      <c r="D113" t="s">
        <v>38</v>
      </c>
      <c r="E113" t="s">
        <v>45</v>
      </c>
      <c r="F113">
        <v>662</v>
      </c>
      <c r="G113">
        <v>10</v>
      </c>
      <c r="H113">
        <v>125</v>
      </c>
      <c r="I113">
        <v>82750</v>
      </c>
      <c r="J113">
        <v>1655</v>
      </c>
      <c r="K113">
        <v>81095</v>
      </c>
      <c r="L113">
        <v>79440</v>
      </c>
      <c r="M113">
        <v>1655</v>
      </c>
      <c r="N113" s="1">
        <v>41791</v>
      </c>
      <c r="O113">
        <v>6</v>
      </c>
      <c r="P113" t="s">
        <v>25</v>
      </c>
      <c r="Q113">
        <v>2014</v>
      </c>
    </row>
    <row r="114" spans="1:17" x14ac:dyDescent="0.3">
      <c r="A114" t="str">
        <f t="shared" ca="1" si="1"/>
        <v>ORD-2014-Ca0-5831</v>
      </c>
      <c r="B114" t="s">
        <v>30</v>
      </c>
      <c r="C114" t="s">
        <v>18</v>
      </c>
      <c r="D114" t="s">
        <v>38</v>
      </c>
      <c r="E114" t="s">
        <v>45</v>
      </c>
      <c r="F114">
        <v>1295</v>
      </c>
      <c r="G114">
        <v>10</v>
      </c>
      <c r="H114">
        <v>12</v>
      </c>
      <c r="I114">
        <v>15540</v>
      </c>
      <c r="J114">
        <v>310.8</v>
      </c>
      <c r="K114">
        <v>15229.2</v>
      </c>
      <c r="L114">
        <v>3885</v>
      </c>
      <c r="M114">
        <v>11344.2</v>
      </c>
      <c r="N114" s="1">
        <v>41913</v>
      </c>
      <c r="O114">
        <v>10</v>
      </c>
      <c r="P114" t="s">
        <v>36</v>
      </c>
      <c r="Q114">
        <v>2014</v>
      </c>
    </row>
    <row r="115" spans="1:17" x14ac:dyDescent="0.3">
      <c r="A115" t="str">
        <f t="shared" ca="1" si="1"/>
        <v>ORD-2013-Ger-1559</v>
      </c>
      <c r="B115" t="s">
        <v>31</v>
      </c>
      <c r="C115" t="s">
        <v>22</v>
      </c>
      <c r="D115" t="s">
        <v>38</v>
      </c>
      <c r="E115" t="s">
        <v>45</v>
      </c>
      <c r="F115">
        <v>809</v>
      </c>
      <c r="G115">
        <v>10</v>
      </c>
      <c r="H115">
        <v>125</v>
      </c>
      <c r="I115">
        <v>101125</v>
      </c>
      <c r="J115">
        <v>2022.5</v>
      </c>
      <c r="K115">
        <v>99102.5</v>
      </c>
      <c r="L115">
        <v>97080</v>
      </c>
      <c r="M115">
        <v>2022.5</v>
      </c>
      <c r="N115" s="1">
        <v>41548</v>
      </c>
      <c r="O115">
        <v>10</v>
      </c>
      <c r="P115" t="s">
        <v>36</v>
      </c>
      <c r="Q115">
        <v>2013</v>
      </c>
    </row>
    <row r="116" spans="1:17" x14ac:dyDescent="0.3">
      <c r="A116" t="str">
        <f t="shared" ca="1" si="1"/>
        <v>ORD-2013-Mex-4723</v>
      </c>
      <c r="B116" t="s">
        <v>31</v>
      </c>
      <c r="C116" t="s">
        <v>26</v>
      </c>
      <c r="D116" t="s">
        <v>38</v>
      </c>
      <c r="E116" t="s">
        <v>45</v>
      </c>
      <c r="F116">
        <v>2145</v>
      </c>
      <c r="G116">
        <v>10</v>
      </c>
      <c r="H116">
        <v>125</v>
      </c>
      <c r="I116">
        <v>268125</v>
      </c>
      <c r="J116">
        <v>5362.5</v>
      </c>
      <c r="K116">
        <v>262762.5</v>
      </c>
      <c r="L116">
        <v>257400</v>
      </c>
      <c r="M116">
        <v>5362.5</v>
      </c>
      <c r="N116" s="1">
        <v>41548</v>
      </c>
      <c r="O116">
        <v>10</v>
      </c>
      <c r="P116" t="s">
        <v>36</v>
      </c>
      <c r="Q116">
        <v>2013</v>
      </c>
    </row>
    <row r="117" spans="1:17" x14ac:dyDescent="0.3">
      <c r="A117" t="str">
        <f t="shared" ca="1" si="1"/>
        <v>ORD-2013-Fra-4568</v>
      </c>
      <c r="B117" t="s">
        <v>30</v>
      </c>
      <c r="C117" t="s">
        <v>24</v>
      </c>
      <c r="D117" t="s">
        <v>38</v>
      </c>
      <c r="E117" t="s">
        <v>45</v>
      </c>
      <c r="F117">
        <v>1785</v>
      </c>
      <c r="G117">
        <v>10</v>
      </c>
      <c r="H117">
        <v>12</v>
      </c>
      <c r="I117">
        <v>21420</v>
      </c>
      <c r="J117">
        <v>428.4</v>
      </c>
      <c r="K117">
        <v>20991.599999999999</v>
      </c>
      <c r="L117">
        <v>5355</v>
      </c>
      <c r="M117">
        <v>15636.6</v>
      </c>
      <c r="N117" s="1">
        <v>41579</v>
      </c>
      <c r="O117">
        <v>11</v>
      </c>
      <c r="P117" t="s">
        <v>40</v>
      </c>
      <c r="Q117">
        <v>2013</v>
      </c>
    </row>
    <row r="118" spans="1:17" x14ac:dyDescent="0.3">
      <c r="A118" t="str">
        <f t="shared" ca="1" si="1"/>
        <v>ORD-2014-Ca0-7184</v>
      </c>
      <c r="B118" t="s">
        <v>33</v>
      </c>
      <c r="C118" t="s">
        <v>18</v>
      </c>
      <c r="D118" t="s">
        <v>38</v>
      </c>
      <c r="E118" t="s">
        <v>45</v>
      </c>
      <c r="F118">
        <v>1916</v>
      </c>
      <c r="G118">
        <v>10</v>
      </c>
      <c r="H118">
        <v>300</v>
      </c>
      <c r="I118">
        <v>574800</v>
      </c>
      <c r="J118">
        <v>11496</v>
      </c>
      <c r="K118">
        <v>563304</v>
      </c>
      <c r="L118">
        <v>479000</v>
      </c>
      <c r="M118">
        <v>84304</v>
      </c>
      <c r="N118" s="1">
        <v>41974</v>
      </c>
      <c r="O118">
        <v>12</v>
      </c>
      <c r="P118" t="s">
        <v>27</v>
      </c>
      <c r="Q118">
        <v>2014</v>
      </c>
    </row>
    <row r="119" spans="1:17" x14ac:dyDescent="0.3">
      <c r="A119" t="str">
        <f t="shared" ca="1" si="1"/>
        <v>ORD-2014-Ca0-8559</v>
      </c>
      <c r="B119" t="s">
        <v>17</v>
      </c>
      <c r="C119" t="s">
        <v>18</v>
      </c>
      <c r="D119" t="s">
        <v>38</v>
      </c>
      <c r="E119" t="s">
        <v>45</v>
      </c>
      <c r="F119">
        <v>2852</v>
      </c>
      <c r="G119">
        <v>10</v>
      </c>
      <c r="H119">
        <v>350</v>
      </c>
      <c r="I119">
        <v>998200</v>
      </c>
      <c r="J119">
        <v>19964</v>
      </c>
      <c r="K119">
        <v>978236</v>
      </c>
      <c r="L119">
        <v>741520</v>
      </c>
      <c r="M119">
        <v>236716</v>
      </c>
      <c r="N119" s="1">
        <v>41974</v>
      </c>
      <c r="O119">
        <v>12</v>
      </c>
      <c r="P119" t="s">
        <v>27</v>
      </c>
      <c r="Q119">
        <v>2014</v>
      </c>
    </row>
    <row r="120" spans="1:17" x14ac:dyDescent="0.3">
      <c r="A120" t="str">
        <f t="shared" ca="1" si="1"/>
        <v>ORD-2014-Ca0-5476</v>
      </c>
      <c r="B120" t="s">
        <v>31</v>
      </c>
      <c r="C120" t="s">
        <v>18</v>
      </c>
      <c r="D120" t="s">
        <v>38</v>
      </c>
      <c r="E120" t="s">
        <v>45</v>
      </c>
      <c r="F120">
        <v>2729</v>
      </c>
      <c r="G120">
        <v>10</v>
      </c>
      <c r="H120">
        <v>125</v>
      </c>
      <c r="I120">
        <v>341125</v>
      </c>
      <c r="J120">
        <v>6822.5</v>
      </c>
      <c r="K120">
        <v>334302.5</v>
      </c>
      <c r="L120">
        <v>327480</v>
      </c>
      <c r="M120">
        <v>6822.5</v>
      </c>
      <c r="N120" s="1">
        <v>41974</v>
      </c>
      <c r="O120">
        <v>12</v>
      </c>
      <c r="P120" t="s">
        <v>27</v>
      </c>
      <c r="Q120">
        <v>2014</v>
      </c>
    </row>
    <row r="121" spans="1:17" x14ac:dyDescent="0.3">
      <c r="A121" t="str">
        <f t="shared" ca="1" si="1"/>
        <v>ORD-2013-Uni-8258</v>
      </c>
      <c r="B121" t="s">
        <v>23</v>
      </c>
      <c r="C121" t="s">
        <v>37</v>
      </c>
      <c r="D121" t="s">
        <v>38</v>
      </c>
      <c r="E121" t="s">
        <v>45</v>
      </c>
      <c r="F121">
        <v>1925</v>
      </c>
      <c r="G121">
        <v>10</v>
      </c>
      <c r="H121">
        <v>15</v>
      </c>
      <c r="I121">
        <v>28875</v>
      </c>
      <c r="J121">
        <v>577.5</v>
      </c>
      <c r="K121">
        <v>28297.5</v>
      </c>
      <c r="L121">
        <v>19250</v>
      </c>
      <c r="M121">
        <v>9047.5</v>
      </c>
      <c r="N121" s="1">
        <v>41609</v>
      </c>
      <c r="O121">
        <v>12</v>
      </c>
      <c r="P121" t="s">
        <v>27</v>
      </c>
      <c r="Q121">
        <v>2013</v>
      </c>
    </row>
    <row r="122" spans="1:17" x14ac:dyDescent="0.3">
      <c r="A122" t="str">
        <f t="shared" ca="1" si="1"/>
        <v>ORD-2013-Uni-2049</v>
      </c>
      <c r="B122" t="s">
        <v>17</v>
      </c>
      <c r="C122" t="s">
        <v>37</v>
      </c>
      <c r="D122" t="s">
        <v>38</v>
      </c>
      <c r="E122" t="s">
        <v>45</v>
      </c>
      <c r="F122">
        <v>2013</v>
      </c>
      <c r="G122">
        <v>10</v>
      </c>
      <c r="H122">
        <v>7</v>
      </c>
      <c r="I122">
        <v>14091</v>
      </c>
      <c r="J122">
        <v>281.82</v>
      </c>
      <c r="K122">
        <v>13809.18</v>
      </c>
      <c r="L122">
        <v>10065</v>
      </c>
      <c r="M122">
        <v>3744.18</v>
      </c>
      <c r="N122" s="1">
        <v>41609</v>
      </c>
      <c r="O122">
        <v>12</v>
      </c>
      <c r="P122" t="s">
        <v>27</v>
      </c>
      <c r="Q122">
        <v>2013</v>
      </c>
    </row>
    <row r="123" spans="1:17" x14ac:dyDescent="0.3">
      <c r="A123" t="str">
        <f t="shared" ca="1" si="1"/>
        <v>ORD-2014-Fra-1561</v>
      </c>
      <c r="B123" t="s">
        <v>30</v>
      </c>
      <c r="C123" t="s">
        <v>24</v>
      </c>
      <c r="D123" t="s">
        <v>38</v>
      </c>
      <c r="E123" t="s">
        <v>45</v>
      </c>
      <c r="F123">
        <v>1055</v>
      </c>
      <c r="G123">
        <v>10</v>
      </c>
      <c r="H123">
        <v>12</v>
      </c>
      <c r="I123">
        <v>12660</v>
      </c>
      <c r="J123">
        <v>253.2</v>
      </c>
      <c r="K123">
        <v>12406.8</v>
      </c>
      <c r="L123">
        <v>3165</v>
      </c>
      <c r="M123">
        <v>9241.7999999999993</v>
      </c>
      <c r="N123" s="1">
        <v>41974</v>
      </c>
      <c r="O123">
        <v>12</v>
      </c>
      <c r="P123" t="s">
        <v>27</v>
      </c>
      <c r="Q123">
        <v>2014</v>
      </c>
    </row>
    <row r="124" spans="1:17" x14ac:dyDescent="0.3">
      <c r="A124" t="str">
        <f t="shared" ca="1" si="1"/>
        <v>ORD-2014-Mex-9801</v>
      </c>
      <c r="B124" t="s">
        <v>30</v>
      </c>
      <c r="C124" t="s">
        <v>26</v>
      </c>
      <c r="D124" t="s">
        <v>38</v>
      </c>
      <c r="E124" t="s">
        <v>45</v>
      </c>
      <c r="F124">
        <v>1084</v>
      </c>
      <c r="G124">
        <v>10</v>
      </c>
      <c r="H124">
        <v>12</v>
      </c>
      <c r="I124">
        <v>13008</v>
      </c>
      <c r="J124">
        <v>260.16000000000003</v>
      </c>
      <c r="K124">
        <v>12747.84</v>
      </c>
      <c r="L124">
        <v>3252</v>
      </c>
      <c r="M124">
        <v>9495.84</v>
      </c>
      <c r="N124" s="1">
        <v>41974</v>
      </c>
      <c r="O124">
        <v>12</v>
      </c>
      <c r="P124" t="s">
        <v>27</v>
      </c>
      <c r="Q124">
        <v>2014</v>
      </c>
    </row>
    <row r="125" spans="1:17" x14ac:dyDescent="0.3">
      <c r="A125" t="str">
        <f t="shared" ca="1" si="1"/>
        <v>ORD-2014-Uni-5274</v>
      </c>
      <c r="B125" t="s">
        <v>17</v>
      </c>
      <c r="C125" t="s">
        <v>37</v>
      </c>
      <c r="D125" t="s">
        <v>41</v>
      </c>
      <c r="E125" t="s">
        <v>45</v>
      </c>
      <c r="F125">
        <v>1566</v>
      </c>
      <c r="G125">
        <v>120</v>
      </c>
      <c r="H125">
        <v>20</v>
      </c>
      <c r="I125">
        <v>31320</v>
      </c>
      <c r="J125">
        <v>626.4</v>
      </c>
      <c r="K125">
        <v>30693.599999999999</v>
      </c>
      <c r="L125">
        <v>15660</v>
      </c>
      <c r="M125">
        <v>15033.6</v>
      </c>
      <c r="N125" s="1">
        <v>41913</v>
      </c>
      <c r="O125">
        <v>10</v>
      </c>
      <c r="P125" t="s">
        <v>36</v>
      </c>
      <c r="Q125">
        <v>2014</v>
      </c>
    </row>
    <row r="126" spans="1:17" x14ac:dyDescent="0.3">
      <c r="A126" t="str">
        <f t="shared" ca="1" si="1"/>
        <v>ORD-2013-Ger-3390</v>
      </c>
      <c r="B126" t="s">
        <v>17</v>
      </c>
      <c r="C126" t="s">
        <v>22</v>
      </c>
      <c r="D126" t="s">
        <v>41</v>
      </c>
      <c r="E126" t="s">
        <v>45</v>
      </c>
      <c r="F126">
        <v>2966</v>
      </c>
      <c r="G126">
        <v>120</v>
      </c>
      <c r="H126">
        <v>350</v>
      </c>
      <c r="I126">
        <v>1038100</v>
      </c>
      <c r="J126">
        <v>20762</v>
      </c>
      <c r="K126">
        <v>1017338</v>
      </c>
      <c r="L126">
        <v>771160</v>
      </c>
      <c r="M126">
        <v>246178</v>
      </c>
      <c r="N126" s="1">
        <v>41548</v>
      </c>
      <c r="O126">
        <v>10</v>
      </c>
      <c r="P126" t="s">
        <v>36</v>
      </c>
      <c r="Q126">
        <v>2013</v>
      </c>
    </row>
    <row r="127" spans="1:17" x14ac:dyDescent="0.3">
      <c r="A127" t="str">
        <f t="shared" ca="1" si="1"/>
        <v>ORD-2014-Ger-2164</v>
      </c>
      <c r="B127" t="s">
        <v>17</v>
      </c>
      <c r="C127" t="s">
        <v>22</v>
      </c>
      <c r="D127" t="s">
        <v>41</v>
      </c>
      <c r="E127" t="s">
        <v>45</v>
      </c>
      <c r="F127">
        <v>2877</v>
      </c>
      <c r="G127">
        <v>120</v>
      </c>
      <c r="H127">
        <v>350</v>
      </c>
      <c r="I127">
        <v>1006950</v>
      </c>
      <c r="J127">
        <v>20139</v>
      </c>
      <c r="K127">
        <v>986811</v>
      </c>
      <c r="L127">
        <v>748020</v>
      </c>
      <c r="M127">
        <v>238791</v>
      </c>
      <c r="N127" s="1">
        <v>41913</v>
      </c>
      <c r="O127">
        <v>10</v>
      </c>
      <c r="P127" t="s">
        <v>36</v>
      </c>
      <c r="Q127">
        <v>2014</v>
      </c>
    </row>
    <row r="128" spans="1:17" x14ac:dyDescent="0.3">
      <c r="A128" t="str">
        <f t="shared" ca="1" si="1"/>
        <v>ORD-2013-Ger-2350</v>
      </c>
      <c r="B128" t="s">
        <v>31</v>
      </c>
      <c r="C128" t="s">
        <v>22</v>
      </c>
      <c r="D128" t="s">
        <v>41</v>
      </c>
      <c r="E128" t="s">
        <v>45</v>
      </c>
      <c r="F128">
        <v>809</v>
      </c>
      <c r="G128">
        <v>120</v>
      </c>
      <c r="H128">
        <v>125</v>
      </c>
      <c r="I128">
        <v>101125</v>
      </c>
      <c r="J128">
        <v>2022.5</v>
      </c>
      <c r="K128">
        <v>99102.5</v>
      </c>
      <c r="L128">
        <v>97080</v>
      </c>
      <c r="M128">
        <v>2022.5</v>
      </c>
      <c r="N128" s="1">
        <v>41548</v>
      </c>
      <c r="O128">
        <v>10</v>
      </c>
      <c r="P128" t="s">
        <v>36</v>
      </c>
      <c r="Q128">
        <v>2013</v>
      </c>
    </row>
    <row r="129" spans="1:17" x14ac:dyDescent="0.3">
      <c r="A129" t="str">
        <f t="shared" ca="1" si="1"/>
        <v>ORD-2013-Mex-7063</v>
      </c>
      <c r="B129" t="s">
        <v>31</v>
      </c>
      <c r="C129" t="s">
        <v>26</v>
      </c>
      <c r="D129" t="s">
        <v>41</v>
      </c>
      <c r="E129" t="s">
        <v>45</v>
      </c>
      <c r="F129">
        <v>2145</v>
      </c>
      <c r="G129">
        <v>120</v>
      </c>
      <c r="H129">
        <v>125</v>
      </c>
      <c r="I129">
        <v>268125</v>
      </c>
      <c r="J129">
        <v>5362.5</v>
      </c>
      <c r="K129">
        <v>262762.5</v>
      </c>
      <c r="L129">
        <v>257400</v>
      </c>
      <c r="M129">
        <v>5362.5</v>
      </c>
      <c r="N129" s="1">
        <v>41548</v>
      </c>
      <c r="O129">
        <v>10</v>
      </c>
      <c r="P129" t="s">
        <v>36</v>
      </c>
      <c r="Q129">
        <v>2013</v>
      </c>
    </row>
    <row r="130" spans="1:17" x14ac:dyDescent="0.3">
      <c r="A130" t="str">
        <f t="shared" ca="1" si="1"/>
        <v>ORD-2014-Fra-2517</v>
      </c>
      <c r="B130" t="s">
        <v>30</v>
      </c>
      <c r="C130" t="s">
        <v>24</v>
      </c>
      <c r="D130" t="s">
        <v>41</v>
      </c>
      <c r="E130" t="s">
        <v>45</v>
      </c>
      <c r="F130">
        <v>1055</v>
      </c>
      <c r="G130">
        <v>120</v>
      </c>
      <c r="H130">
        <v>12</v>
      </c>
      <c r="I130">
        <v>12660</v>
      </c>
      <c r="J130">
        <v>253.2</v>
      </c>
      <c r="K130">
        <v>12406.8</v>
      </c>
      <c r="L130">
        <v>3165</v>
      </c>
      <c r="M130">
        <v>9241.7999999999993</v>
      </c>
      <c r="N130" s="1">
        <v>41974</v>
      </c>
      <c r="O130">
        <v>12</v>
      </c>
      <c r="P130" t="s">
        <v>27</v>
      </c>
      <c r="Q130">
        <v>2014</v>
      </c>
    </row>
    <row r="131" spans="1:17" x14ac:dyDescent="0.3">
      <c r="A131" t="str">
        <f t="shared" ref="A131:A194" ca="1" si="2">"ORD-" &amp; YEAR(N131) &amp; "-"  &amp; LEFT(C131,3) &amp; "-" &amp; RANDBETWEEN(1000,9999)</f>
        <v>ORD-2013-Mex-8265</v>
      </c>
      <c r="B131" t="s">
        <v>17</v>
      </c>
      <c r="C131" t="s">
        <v>26</v>
      </c>
      <c r="D131" t="s">
        <v>41</v>
      </c>
      <c r="E131" t="s">
        <v>45</v>
      </c>
      <c r="F131">
        <v>544</v>
      </c>
      <c r="G131">
        <v>120</v>
      </c>
      <c r="H131">
        <v>20</v>
      </c>
      <c r="I131">
        <v>10880</v>
      </c>
      <c r="J131">
        <v>217.6</v>
      </c>
      <c r="K131">
        <v>10662.4</v>
      </c>
      <c r="L131">
        <v>5440</v>
      </c>
      <c r="M131">
        <v>5222.3999999999996</v>
      </c>
      <c r="N131" s="1">
        <v>41609</v>
      </c>
      <c r="O131">
        <v>12</v>
      </c>
      <c r="P131" t="s">
        <v>27</v>
      </c>
      <c r="Q131">
        <v>2013</v>
      </c>
    </row>
    <row r="132" spans="1:17" x14ac:dyDescent="0.3">
      <c r="A132" t="str">
        <f t="shared" ca="1" si="2"/>
        <v>ORD-2014-Mex-6257</v>
      </c>
      <c r="B132" t="s">
        <v>30</v>
      </c>
      <c r="C132" t="s">
        <v>26</v>
      </c>
      <c r="D132" t="s">
        <v>41</v>
      </c>
      <c r="E132" t="s">
        <v>45</v>
      </c>
      <c r="F132">
        <v>1084</v>
      </c>
      <c r="G132">
        <v>120</v>
      </c>
      <c r="H132">
        <v>12</v>
      </c>
      <c r="I132">
        <v>13008</v>
      </c>
      <c r="J132">
        <v>260.16000000000003</v>
      </c>
      <c r="K132">
        <v>12747.84</v>
      </c>
      <c r="L132">
        <v>3252</v>
      </c>
      <c r="M132">
        <v>9495.84</v>
      </c>
      <c r="N132" s="1">
        <v>41974</v>
      </c>
      <c r="O132">
        <v>12</v>
      </c>
      <c r="P132" t="s">
        <v>27</v>
      </c>
      <c r="Q132">
        <v>2014</v>
      </c>
    </row>
    <row r="133" spans="1:17" x14ac:dyDescent="0.3">
      <c r="A133" t="str">
        <f t="shared" ca="1" si="2"/>
        <v>ORD-2014-Mex-7121</v>
      </c>
      <c r="B133" t="s">
        <v>31</v>
      </c>
      <c r="C133" t="s">
        <v>26</v>
      </c>
      <c r="D133" t="s">
        <v>42</v>
      </c>
      <c r="E133" t="s">
        <v>45</v>
      </c>
      <c r="F133">
        <v>662</v>
      </c>
      <c r="G133">
        <v>250</v>
      </c>
      <c r="H133">
        <v>125</v>
      </c>
      <c r="I133">
        <v>82750</v>
      </c>
      <c r="J133">
        <v>1655</v>
      </c>
      <c r="K133">
        <v>81095</v>
      </c>
      <c r="L133">
        <v>79440</v>
      </c>
      <c r="M133">
        <v>1655</v>
      </c>
      <c r="N133" s="1">
        <v>41791</v>
      </c>
      <c r="O133">
        <v>6</v>
      </c>
      <c r="P133" t="s">
        <v>25</v>
      </c>
      <c r="Q133">
        <v>2014</v>
      </c>
    </row>
    <row r="134" spans="1:17" x14ac:dyDescent="0.3">
      <c r="A134" t="str">
        <f t="shared" ca="1" si="2"/>
        <v>ORD-2013-Ger-1434</v>
      </c>
      <c r="B134" t="s">
        <v>33</v>
      </c>
      <c r="C134" t="s">
        <v>22</v>
      </c>
      <c r="D134" t="s">
        <v>42</v>
      </c>
      <c r="E134" t="s">
        <v>45</v>
      </c>
      <c r="F134">
        <v>214</v>
      </c>
      <c r="G134">
        <v>250</v>
      </c>
      <c r="H134">
        <v>300</v>
      </c>
      <c r="I134">
        <v>64200</v>
      </c>
      <c r="J134">
        <v>1284</v>
      </c>
      <c r="K134">
        <v>62916</v>
      </c>
      <c r="L134">
        <v>53500</v>
      </c>
      <c r="M134">
        <v>9416</v>
      </c>
      <c r="N134" s="1">
        <v>41548</v>
      </c>
      <c r="O134">
        <v>10</v>
      </c>
      <c r="P134" t="s">
        <v>36</v>
      </c>
      <c r="Q134">
        <v>2013</v>
      </c>
    </row>
    <row r="135" spans="1:17" x14ac:dyDescent="0.3">
      <c r="A135" t="str">
        <f t="shared" ca="1" si="2"/>
        <v>ORD-2014-Ger-3528</v>
      </c>
      <c r="B135" t="s">
        <v>17</v>
      </c>
      <c r="C135" t="s">
        <v>22</v>
      </c>
      <c r="D135" t="s">
        <v>42</v>
      </c>
      <c r="E135" t="s">
        <v>45</v>
      </c>
      <c r="F135">
        <v>2877</v>
      </c>
      <c r="G135">
        <v>250</v>
      </c>
      <c r="H135">
        <v>350</v>
      </c>
      <c r="I135">
        <v>1006950</v>
      </c>
      <c r="J135">
        <v>20139</v>
      </c>
      <c r="K135">
        <v>986811</v>
      </c>
      <c r="L135">
        <v>748020</v>
      </c>
      <c r="M135">
        <v>238791</v>
      </c>
      <c r="N135" s="1">
        <v>41913</v>
      </c>
      <c r="O135">
        <v>10</v>
      </c>
      <c r="P135" t="s">
        <v>36</v>
      </c>
      <c r="Q135">
        <v>2014</v>
      </c>
    </row>
    <row r="136" spans="1:17" x14ac:dyDescent="0.3">
      <c r="A136" t="str">
        <f t="shared" ca="1" si="2"/>
        <v>ORD-2014-Ca0-6059</v>
      </c>
      <c r="B136" t="s">
        <v>31</v>
      </c>
      <c r="C136" t="s">
        <v>18</v>
      </c>
      <c r="D136" t="s">
        <v>42</v>
      </c>
      <c r="E136" t="s">
        <v>45</v>
      </c>
      <c r="F136">
        <v>2729</v>
      </c>
      <c r="G136">
        <v>250</v>
      </c>
      <c r="H136">
        <v>125</v>
      </c>
      <c r="I136">
        <v>341125</v>
      </c>
      <c r="J136">
        <v>6822.5</v>
      </c>
      <c r="K136">
        <v>334302.5</v>
      </c>
      <c r="L136">
        <v>327480</v>
      </c>
      <c r="M136">
        <v>6822.5</v>
      </c>
      <c r="N136" s="1">
        <v>41974</v>
      </c>
      <c r="O136">
        <v>12</v>
      </c>
      <c r="P136" t="s">
        <v>27</v>
      </c>
      <c r="Q136">
        <v>2014</v>
      </c>
    </row>
    <row r="137" spans="1:17" x14ac:dyDescent="0.3">
      <c r="A137" t="str">
        <f t="shared" ca="1" si="2"/>
        <v>ORD-2013-Uni-7972</v>
      </c>
      <c r="B137" t="s">
        <v>17</v>
      </c>
      <c r="C137" t="s">
        <v>37</v>
      </c>
      <c r="D137" t="s">
        <v>42</v>
      </c>
      <c r="E137" t="s">
        <v>45</v>
      </c>
      <c r="F137">
        <v>266</v>
      </c>
      <c r="G137">
        <v>250</v>
      </c>
      <c r="H137">
        <v>350</v>
      </c>
      <c r="I137">
        <v>93100</v>
      </c>
      <c r="J137">
        <v>1862</v>
      </c>
      <c r="K137">
        <v>91238</v>
      </c>
      <c r="L137">
        <v>69160</v>
      </c>
      <c r="M137">
        <v>22078</v>
      </c>
      <c r="N137" s="1">
        <v>41609</v>
      </c>
      <c r="O137">
        <v>12</v>
      </c>
      <c r="P137" t="s">
        <v>27</v>
      </c>
      <c r="Q137">
        <v>2013</v>
      </c>
    </row>
    <row r="138" spans="1:17" x14ac:dyDescent="0.3">
      <c r="A138" t="str">
        <f t="shared" ca="1" si="2"/>
        <v>ORD-2013-Mex-7633</v>
      </c>
      <c r="B138" t="s">
        <v>17</v>
      </c>
      <c r="C138" t="s">
        <v>26</v>
      </c>
      <c r="D138" t="s">
        <v>42</v>
      </c>
      <c r="E138" t="s">
        <v>45</v>
      </c>
      <c r="F138">
        <v>1940</v>
      </c>
      <c r="G138">
        <v>250</v>
      </c>
      <c r="H138">
        <v>350</v>
      </c>
      <c r="I138">
        <v>679000</v>
      </c>
      <c r="J138">
        <v>13580</v>
      </c>
      <c r="K138">
        <v>665420</v>
      </c>
      <c r="L138">
        <v>504400</v>
      </c>
      <c r="M138">
        <v>161020</v>
      </c>
      <c r="N138" s="1">
        <v>41609</v>
      </c>
      <c r="O138">
        <v>12</v>
      </c>
      <c r="P138" t="s">
        <v>27</v>
      </c>
      <c r="Q138">
        <v>2013</v>
      </c>
    </row>
    <row r="139" spans="1:17" x14ac:dyDescent="0.3">
      <c r="A139" t="str">
        <f t="shared" ca="1" si="2"/>
        <v>ORD-2014-Ger-7143</v>
      </c>
      <c r="B139" t="s">
        <v>33</v>
      </c>
      <c r="C139" t="s">
        <v>22</v>
      </c>
      <c r="D139" t="s">
        <v>44</v>
      </c>
      <c r="E139" t="s">
        <v>45</v>
      </c>
      <c r="F139">
        <v>259</v>
      </c>
      <c r="G139">
        <v>260</v>
      </c>
      <c r="H139">
        <v>300</v>
      </c>
      <c r="I139">
        <v>77700</v>
      </c>
      <c r="J139">
        <v>1554</v>
      </c>
      <c r="K139">
        <v>76146</v>
      </c>
      <c r="L139">
        <v>64750</v>
      </c>
      <c r="M139">
        <v>11396</v>
      </c>
      <c r="N139" s="1">
        <v>41699</v>
      </c>
      <c r="O139">
        <v>3</v>
      </c>
      <c r="P139" t="s">
        <v>29</v>
      </c>
      <c r="Q139">
        <v>2014</v>
      </c>
    </row>
    <row r="140" spans="1:17" x14ac:dyDescent="0.3">
      <c r="A140" t="str">
        <f t="shared" ca="1" si="2"/>
        <v>ORD-2014-Mex-4027</v>
      </c>
      <c r="B140" t="s">
        <v>33</v>
      </c>
      <c r="C140" t="s">
        <v>26</v>
      </c>
      <c r="D140" t="s">
        <v>44</v>
      </c>
      <c r="E140" t="s">
        <v>45</v>
      </c>
      <c r="F140">
        <v>1101</v>
      </c>
      <c r="G140">
        <v>260</v>
      </c>
      <c r="H140">
        <v>300</v>
      </c>
      <c r="I140">
        <v>330300</v>
      </c>
      <c r="J140">
        <v>6606</v>
      </c>
      <c r="K140">
        <v>323694</v>
      </c>
      <c r="L140">
        <v>275250</v>
      </c>
      <c r="M140">
        <v>48444</v>
      </c>
      <c r="N140" s="1">
        <v>41699</v>
      </c>
      <c r="O140">
        <v>3</v>
      </c>
      <c r="P140" t="s">
        <v>29</v>
      </c>
      <c r="Q140">
        <v>2014</v>
      </c>
    </row>
    <row r="141" spans="1:17" x14ac:dyDescent="0.3">
      <c r="A141" t="str">
        <f t="shared" ca="1" si="2"/>
        <v>ORD-2014-Ger-6983</v>
      </c>
      <c r="B141" t="s">
        <v>31</v>
      </c>
      <c r="C141" t="s">
        <v>22</v>
      </c>
      <c r="D141" t="s">
        <v>44</v>
      </c>
      <c r="E141" t="s">
        <v>45</v>
      </c>
      <c r="F141">
        <v>2276</v>
      </c>
      <c r="G141">
        <v>260</v>
      </c>
      <c r="H141">
        <v>125</v>
      </c>
      <c r="I141">
        <v>284500</v>
      </c>
      <c r="J141">
        <v>5690</v>
      </c>
      <c r="K141">
        <v>278810</v>
      </c>
      <c r="L141">
        <v>273120</v>
      </c>
      <c r="M141">
        <v>5690</v>
      </c>
      <c r="N141" s="1">
        <v>41760</v>
      </c>
      <c r="O141">
        <v>5</v>
      </c>
      <c r="P141" t="s">
        <v>46</v>
      </c>
      <c r="Q141">
        <v>2014</v>
      </c>
    </row>
    <row r="142" spans="1:17" x14ac:dyDescent="0.3">
      <c r="A142" t="str">
        <f t="shared" ca="1" si="2"/>
        <v>ORD-2013-Ger-1748</v>
      </c>
      <c r="B142" t="s">
        <v>17</v>
      </c>
      <c r="C142" t="s">
        <v>22</v>
      </c>
      <c r="D142" t="s">
        <v>44</v>
      </c>
      <c r="E142" t="s">
        <v>45</v>
      </c>
      <c r="F142">
        <v>2966</v>
      </c>
      <c r="G142">
        <v>260</v>
      </c>
      <c r="H142">
        <v>350</v>
      </c>
      <c r="I142">
        <v>1038100</v>
      </c>
      <c r="J142">
        <v>20762</v>
      </c>
      <c r="K142">
        <v>1017338</v>
      </c>
      <c r="L142">
        <v>771160</v>
      </c>
      <c r="M142">
        <v>246178</v>
      </c>
      <c r="N142" s="1">
        <v>41548</v>
      </c>
      <c r="O142">
        <v>10</v>
      </c>
      <c r="P142" t="s">
        <v>36</v>
      </c>
      <c r="Q142">
        <v>2013</v>
      </c>
    </row>
    <row r="143" spans="1:17" x14ac:dyDescent="0.3">
      <c r="A143" t="str">
        <f t="shared" ca="1" si="2"/>
        <v>ORD-2014-Uni-4046</v>
      </c>
      <c r="B143" t="s">
        <v>17</v>
      </c>
      <c r="C143" t="s">
        <v>37</v>
      </c>
      <c r="D143" t="s">
        <v>44</v>
      </c>
      <c r="E143" t="s">
        <v>45</v>
      </c>
      <c r="F143">
        <v>1236</v>
      </c>
      <c r="G143">
        <v>260</v>
      </c>
      <c r="H143">
        <v>20</v>
      </c>
      <c r="I143">
        <v>24720</v>
      </c>
      <c r="J143">
        <v>494.4</v>
      </c>
      <c r="K143">
        <v>24225.599999999999</v>
      </c>
      <c r="L143">
        <v>12360</v>
      </c>
      <c r="M143">
        <v>11865.6</v>
      </c>
      <c r="N143" s="1">
        <v>41944</v>
      </c>
      <c r="O143">
        <v>11</v>
      </c>
      <c r="P143" t="s">
        <v>40</v>
      </c>
      <c r="Q143">
        <v>2014</v>
      </c>
    </row>
    <row r="144" spans="1:17" x14ac:dyDescent="0.3">
      <c r="A144" t="str">
        <f t="shared" ca="1" si="2"/>
        <v>ORD-2014-Fra-9764</v>
      </c>
      <c r="B144" t="s">
        <v>17</v>
      </c>
      <c r="C144" t="s">
        <v>24</v>
      </c>
      <c r="D144" t="s">
        <v>44</v>
      </c>
      <c r="E144" t="s">
        <v>45</v>
      </c>
      <c r="F144">
        <v>941</v>
      </c>
      <c r="G144">
        <v>260</v>
      </c>
      <c r="H144">
        <v>20</v>
      </c>
      <c r="I144">
        <v>18820</v>
      </c>
      <c r="J144">
        <v>376.4</v>
      </c>
      <c r="K144">
        <v>18443.599999999999</v>
      </c>
      <c r="L144">
        <v>9410</v>
      </c>
      <c r="M144">
        <v>9033.6</v>
      </c>
      <c r="N144" s="1">
        <v>41944</v>
      </c>
      <c r="O144">
        <v>11</v>
      </c>
      <c r="P144" t="s">
        <v>40</v>
      </c>
      <c r="Q144">
        <v>2014</v>
      </c>
    </row>
    <row r="145" spans="1:17" x14ac:dyDescent="0.3">
      <c r="A145" t="str">
        <f t="shared" ca="1" si="2"/>
        <v>ORD-2014-Ca0-1758</v>
      </c>
      <c r="B145" t="s">
        <v>33</v>
      </c>
      <c r="C145" t="s">
        <v>18</v>
      </c>
      <c r="D145" t="s">
        <v>44</v>
      </c>
      <c r="E145" t="s">
        <v>45</v>
      </c>
      <c r="F145">
        <v>1916</v>
      </c>
      <c r="G145">
        <v>260</v>
      </c>
      <c r="H145">
        <v>300</v>
      </c>
      <c r="I145">
        <v>574800</v>
      </c>
      <c r="J145">
        <v>11496</v>
      </c>
      <c r="K145">
        <v>563304</v>
      </c>
      <c r="L145">
        <v>479000</v>
      </c>
      <c r="M145">
        <v>84304</v>
      </c>
      <c r="N145" s="1">
        <v>41974</v>
      </c>
      <c r="O145">
        <v>12</v>
      </c>
      <c r="P145" t="s">
        <v>27</v>
      </c>
      <c r="Q145">
        <v>2014</v>
      </c>
    </row>
    <row r="146" spans="1:17" x14ac:dyDescent="0.3">
      <c r="A146" t="str">
        <f t="shared" ca="1" si="2"/>
        <v>ORD-2014-Fra-4569</v>
      </c>
      <c r="B146" t="s">
        <v>31</v>
      </c>
      <c r="C146" t="s">
        <v>24</v>
      </c>
      <c r="D146" t="s">
        <v>19</v>
      </c>
      <c r="E146" t="s">
        <v>45</v>
      </c>
      <c r="F146">
        <v>4243.5</v>
      </c>
      <c r="G146">
        <v>3</v>
      </c>
      <c r="H146">
        <v>125</v>
      </c>
      <c r="I146">
        <v>530437.5</v>
      </c>
      <c r="J146">
        <v>15913.13</v>
      </c>
      <c r="K146">
        <v>514524.38</v>
      </c>
      <c r="L146">
        <v>509220</v>
      </c>
      <c r="M146">
        <v>5304.38</v>
      </c>
      <c r="N146" s="1">
        <v>41730</v>
      </c>
      <c r="O146">
        <v>4</v>
      </c>
      <c r="P146" t="s">
        <v>43</v>
      </c>
      <c r="Q146">
        <v>2014</v>
      </c>
    </row>
    <row r="147" spans="1:17" x14ac:dyDescent="0.3">
      <c r="A147" t="str">
        <f t="shared" ca="1" si="2"/>
        <v>ORD-2014-Ger-9806</v>
      </c>
      <c r="B147" t="s">
        <v>17</v>
      </c>
      <c r="C147" t="s">
        <v>22</v>
      </c>
      <c r="D147" t="s">
        <v>19</v>
      </c>
      <c r="E147" t="s">
        <v>45</v>
      </c>
      <c r="F147">
        <v>2580</v>
      </c>
      <c r="G147">
        <v>3</v>
      </c>
      <c r="H147">
        <v>20</v>
      </c>
      <c r="I147">
        <v>51600</v>
      </c>
      <c r="J147">
        <v>1548</v>
      </c>
      <c r="K147">
        <v>50052</v>
      </c>
      <c r="L147">
        <v>25800</v>
      </c>
      <c r="M147">
        <v>24252</v>
      </c>
      <c r="N147" s="1">
        <v>41730</v>
      </c>
      <c r="O147">
        <v>4</v>
      </c>
      <c r="P147" t="s">
        <v>43</v>
      </c>
      <c r="Q147">
        <v>2014</v>
      </c>
    </row>
    <row r="148" spans="1:17" x14ac:dyDescent="0.3">
      <c r="A148" t="str">
        <f t="shared" ca="1" si="2"/>
        <v>ORD-2014-Ger-1335</v>
      </c>
      <c r="B148" t="s">
        <v>33</v>
      </c>
      <c r="C148" t="s">
        <v>22</v>
      </c>
      <c r="D148" t="s">
        <v>19</v>
      </c>
      <c r="E148" t="s">
        <v>45</v>
      </c>
      <c r="F148">
        <v>689</v>
      </c>
      <c r="G148">
        <v>3</v>
      </c>
      <c r="H148">
        <v>300</v>
      </c>
      <c r="I148">
        <v>206700</v>
      </c>
      <c r="J148">
        <v>6201</v>
      </c>
      <c r="K148">
        <v>200499</v>
      </c>
      <c r="L148">
        <v>172250</v>
      </c>
      <c r="M148">
        <v>28249</v>
      </c>
      <c r="N148" s="1">
        <v>41791</v>
      </c>
      <c r="O148">
        <v>6</v>
      </c>
      <c r="P148" t="s">
        <v>25</v>
      </c>
      <c r="Q148">
        <v>2014</v>
      </c>
    </row>
    <row r="149" spans="1:17" x14ac:dyDescent="0.3">
      <c r="A149" t="str">
        <f t="shared" ca="1" si="2"/>
        <v>ORD-2014-Uni-9226</v>
      </c>
      <c r="B149" t="s">
        <v>30</v>
      </c>
      <c r="C149" t="s">
        <v>37</v>
      </c>
      <c r="D149" t="s">
        <v>19</v>
      </c>
      <c r="E149" t="s">
        <v>45</v>
      </c>
      <c r="F149">
        <v>1947</v>
      </c>
      <c r="G149">
        <v>3</v>
      </c>
      <c r="H149">
        <v>12</v>
      </c>
      <c r="I149">
        <v>23364</v>
      </c>
      <c r="J149">
        <v>700.92</v>
      </c>
      <c r="K149">
        <v>22663.08</v>
      </c>
      <c r="L149">
        <v>5841</v>
      </c>
      <c r="M149">
        <v>16822.080000000002</v>
      </c>
      <c r="N149" s="1">
        <v>41883</v>
      </c>
      <c r="O149">
        <v>9</v>
      </c>
      <c r="P149" t="s">
        <v>35</v>
      </c>
      <c r="Q149">
        <v>2014</v>
      </c>
    </row>
    <row r="150" spans="1:17" x14ac:dyDescent="0.3">
      <c r="A150" t="str">
        <f t="shared" ca="1" si="2"/>
        <v>ORD-2013-Ca0-5902</v>
      </c>
      <c r="B150" t="s">
        <v>30</v>
      </c>
      <c r="C150" t="s">
        <v>18</v>
      </c>
      <c r="D150" t="s">
        <v>19</v>
      </c>
      <c r="E150" t="s">
        <v>45</v>
      </c>
      <c r="F150">
        <v>908</v>
      </c>
      <c r="G150">
        <v>3</v>
      </c>
      <c r="H150">
        <v>12</v>
      </c>
      <c r="I150">
        <v>10896</v>
      </c>
      <c r="J150">
        <v>326.88</v>
      </c>
      <c r="K150">
        <v>10569.12</v>
      </c>
      <c r="L150">
        <v>2724</v>
      </c>
      <c r="M150">
        <v>7845.12</v>
      </c>
      <c r="N150" s="1">
        <v>41609</v>
      </c>
      <c r="O150">
        <v>12</v>
      </c>
      <c r="P150" t="s">
        <v>27</v>
      </c>
      <c r="Q150">
        <v>2013</v>
      </c>
    </row>
    <row r="151" spans="1:17" x14ac:dyDescent="0.3">
      <c r="A151" t="str">
        <f t="shared" ca="1" si="2"/>
        <v>ORD-2014-Ger-5448</v>
      </c>
      <c r="B151" t="s">
        <v>17</v>
      </c>
      <c r="C151" t="s">
        <v>22</v>
      </c>
      <c r="D151" t="s">
        <v>28</v>
      </c>
      <c r="E151" t="s">
        <v>45</v>
      </c>
      <c r="F151">
        <v>1958</v>
      </c>
      <c r="G151">
        <v>5</v>
      </c>
      <c r="H151">
        <v>7</v>
      </c>
      <c r="I151">
        <v>13706</v>
      </c>
      <c r="J151">
        <v>411.18</v>
      </c>
      <c r="K151">
        <v>13294.82</v>
      </c>
      <c r="L151">
        <v>9790</v>
      </c>
      <c r="M151">
        <v>3504.82</v>
      </c>
      <c r="N151" s="1">
        <v>41671</v>
      </c>
      <c r="O151">
        <v>2</v>
      </c>
      <c r="P151" t="s">
        <v>39</v>
      </c>
      <c r="Q151">
        <v>2014</v>
      </c>
    </row>
    <row r="152" spans="1:17" x14ac:dyDescent="0.3">
      <c r="A152" t="str">
        <f t="shared" ca="1" si="2"/>
        <v>ORD-2014-Fra-7808</v>
      </c>
      <c r="B152" t="s">
        <v>30</v>
      </c>
      <c r="C152" t="s">
        <v>24</v>
      </c>
      <c r="D152" t="s">
        <v>28</v>
      </c>
      <c r="E152" t="s">
        <v>45</v>
      </c>
      <c r="F152">
        <v>1901</v>
      </c>
      <c r="G152">
        <v>5</v>
      </c>
      <c r="H152">
        <v>12</v>
      </c>
      <c r="I152">
        <v>22812</v>
      </c>
      <c r="J152">
        <v>684.36</v>
      </c>
      <c r="K152">
        <v>22127.64</v>
      </c>
      <c r="L152">
        <v>5703</v>
      </c>
      <c r="M152">
        <v>16424.64</v>
      </c>
      <c r="N152" s="1">
        <v>41791</v>
      </c>
      <c r="O152">
        <v>6</v>
      </c>
      <c r="P152" t="s">
        <v>25</v>
      </c>
      <c r="Q152">
        <v>2014</v>
      </c>
    </row>
    <row r="153" spans="1:17" x14ac:dyDescent="0.3">
      <c r="A153" t="str">
        <f t="shared" ca="1" si="2"/>
        <v>ORD-2014-Fra-2681</v>
      </c>
      <c r="B153" t="s">
        <v>17</v>
      </c>
      <c r="C153" t="s">
        <v>24</v>
      </c>
      <c r="D153" t="s">
        <v>28</v>
      </c>
      <c r="E153" t="s">
        <v>45</v>
      </c>
      <c r="F153">
        <v>544</v>
      </c>
      <c r="G153">
        <v>5</v>
      </c>
      <c r="H153">
        <v>7</v>
      </c>
      <c r="I153">
        <v>3808</v>
      </c>
      <c r="J153">
        <v>114.24</v>
      </c>
      <c r="K153">
        <v>3693.76</v>
      </c>
      <c r="L153">
        <v>2720</v>
      </c>
      <c r="M153">
        <v>973.76</v>
      </c>
      <c r="N153" s="1">
        <v>41883</v>
      </c>
      <c r="O153">
        <v>9</v>
      </c>
      <c r="P153" t="s">
        <v>35</v>
      </c>
      <c r="Q153">
        <v>2014</v>
      </c>
    </row>
    <row r="154" spans="1:17" x14ac:dyDescent="0.3">
      <c r="A154" t="str">
        <f t="shared" ca="1" si="2"/>
        <v>ORD-2013-Ger-1204</v>
      </c>
      <c r="B154" t="s">
        <v>17</v>
      </c>
      <c r="C154" t="s">
        <v>22</v>
      </c>
      <c r="D154" t="s">
        <v>28</v>
      </c>
      <c r="E154" t="s">
        <v>45</v>
      </c>
      <c r="F154">
        <v>1797</v>
      </c>
      <c r="G154">
        <v>5</v>
      </c>
      <c r="H154">
        <v>350</v>
      </c>
      <c r="I154">
        <v>628950</v>
      </c>
      <c r="J154">
        <v>18868.5</v>
      </c>
      <c r="K154">
        <v>610081.5</v>
      </c>
      <c r="L154">
        <v>467220</v>
      </c>
      <c r="M154">
        <v>142861.5</v>
      </c>
      <c r="N154" s="1">
        <v>41518</v>
      </c>
      <c r="O154">
        <v>9</v>
      </c>
      <c r="P154" t="s">
        <v>35</v>
      </c>
      <c r="Q154">
        <v>2013</v>
      </c>
    </row>
    <row r="155" spans="1:17" x14ac:dyDescent="0.3">
      <c r="A155" t="str">
        <f t="shared" ca="1" si="2"/>
        <v>ORD-2014-Fra-9229</v>
      </c>
      <c r="B155" t="s">
        <v>31</v>
      </c>
      <c r="C155" t="s">
        <v>24</v>
      </c>
      <c r="D155" t="s">
        <v>28</v>
      </c>
      <c r="E155" t="s">
        <v>45</v>
      </c>
      <c r="F155">
        <v>1287</v>
      </c>
      <c r="G155">
        <v>5</v>
      </c>
      <c r="H155">
        <v>125</v>
      </c>
      <c r="I155">
        <v>160875</v>
      </c>
      <c r="J155">
        <v>4826.25</v>
      </c>
      <c r="K155">
        <v>156048.75</v>
      </c>
      <c r="L155">
        <v>154440</v>
      </c>
      <c r="M155">
        <v>1608.75</v>
      </c>
      <c r="N155" s="1">
        <v>41974</v>
      </c>
      <c r="O155">
        <v>12</v>
      </c>
      <c r="P155" t="s">
        <v>27</v>
      </c>
      <c r="Q155">
        <v>2014</v>
      </c>
    </row>
    <row r="156" spans="1:17" x14ac:dyDescent="0.3">
      <c r="A156" t="str">
        <f t="shared" ca="1" si="2"/>
        <v>ORD-2014-Ger-6673</v>
      </c>
      <c r="B156" t="s">
        <v>31</v>
      </c>
      <c r="C156" t="s">
        <v>22</v>
      </c>
      <c r="D156" t="s">
        <v>28</v>
      </c>
      <c r="E156" t="s">
        <v>45</v>
      </c>
      <c r="F156">
        <v>1706</v>
      </c>
      <c r="G156">
        <v>5</v>
      </c>
      <c r="H156">
        <v>125</v>
      </c>
      <c r="I156">
        <v>213250</v>
      </c>
      <c r="J156">
        <v>6397.5</v>
      </c>
      <c r="K156">
        <v>206852.5</v>
      </c>
      <c r="L156">
        <v>204720</v>
      </c>
      <c r="M156">
        <v>2132.5</v>
      </c>
      <c r="N156" s="1">
        <v>41974</v>
      </c>
      <c r="O156">
        <v>12</v>
      </c>
      <c r="P156" t="s">
        <v>27</v>
      </c>
      <c r="Q156">
        <v>2014</v>
      </c>
    </row>
    <row r="157" spans="1:17" x14ac:dyDescent="0.3">
      <c r="A157" t="str">
        <f t="shared" ca="1" si="2"/>
        <v>ORD-2014-Fra-8021</v>
      </c>
      <c r="B157" t="s">
        <v>33</v>
      </c>
      <c r="C157" t="s">
        <v>24</v>
      </c>
      <c r="D157" t="s">
        <v>38</v>
      </c>
      <c r="E157" t="s">
        <v>45</v>
      </c>
      <c r="F157">
        <v>2434.5</v>
      </c>
      <c r="G157">
        <v>10</v>
      </c>
      <c r="H157">
        <v>300</v>
      </c>
      <c r="I157">
        <v>730350</v>
      </c>
      <c r="J157">
        <v>21910.5</v>
      </c>
      <c r="K157">
        <v>708439.5</v>
      </c>
      <c r="L157">
        <v>608625</v>
      </c>
      <c r="M157">
        <v>99814.5</v>
      </c>
      <c r="N157" s="1">
        <v>41640</v>
      </c>
      <c r="O157">
        <v>1</v>
      </c>
      <c r="P157" t="s">
        <v>21</v>
      </c>
      <c r="Q157">
        <v>2014</v>
      </c>
    </row>
    <row r="158" spans="1:17" x14ac:dyDescent="0.3">
      <c r="A158" t="str">
        <f t="shared" ca="1" si="2"/>
        <v>ORD-2014-Ca0-9788</v>
      </c>
      <c r="B158" t="s">
        <v>31</v>
      </c>
      <c r="C158" t="s">
        <v>18</v>
      </c>
      <c r="D158" t="s">
        <v>38</v>
      </c>
      <c r="E158" t="s">
        <v>45</v>
      </c>
      <c r="F158">
        <v>1774</v>
      </c>
      <c r="G158">
        <v>10</v>
      </c>
      <c r="H158">
        <v>125</v>
      </c>
      <c r="I158">
        <v>221750</v>
      </c>
      <c r="J158">
        <v>6652.5</v>
      </c>
      <c r="K158">
        <v>215097.5</v>
      </c>
      <c r="L158">
        <v>212880</v>
      </c>
      <c r="M158">
        <v>2217.5</v>
      </c>
      <c r="N158" s="1">
        <v>41699</v>
      </c>
      <c r="O158">
        <v>3</v>
      </c>
      <c r="P158" t="s">
        <v>29</v>
      </c>
      <c r="Q158">
        <v>2014</v>
      </c>
    </row>
    <row r="159" spans="1:17" x14ac:dyDescent="0.3">
      <c r="A159" t="str">
        <f t="shared" ca="1" si="2"/>
        <v>ORD-2014-Fra-8703</v>
      </c>
      <c r="B159" t="s">
        <v>30</v>
      </c>
      <c r="C159" t="s">
        <v>24</v>
      </c>
      <c r="D159" t="s">
        <v>38</v>
      </c>
      <c r="E159" t="s">
        <v>45</v>
      </c>
      <c r="F159">
        <v>1901</v>
      </c>
      <c r="G159">
        <v>10</v>
      </c>
      <c r="H159">
        <v>12</v>
      </c>
      <c r="I159">
        <v>22812</v>
      </c>
      <c r="J159">
        <v>684.36</v>
      </c>
      <c r="K159">
        <v>22127.64</v>
      </c>
      <c r="L159">
        <v>5703</v>
      </c>
      <c r="M159">
        <v>16424.64</v>
      </c>
      <c r="N159" s="1">
        <v>41791</v>
      </c>
      <c r="O159">
        <v>6</v>
      </c>
      <c r="P159" t="s">
        <v>25</v>
      </c>
      <c r="Q159">
        <v>2014</v>
      </c>
    </row>
    <row r="160" spans="1:17" x14ac:dyDescent="0.3">
      <c r="A160" t="str">
        <f t="shared" ca="1" si="2"/>
        <v>ORD-2014-Ger-7064</v>
      </c>
      <c r="B160" t="s">
        <v>33</v>
      </c>
      <c r="C160" t="s">
        <v>22</v>
      </c>
      <c r="D160" t="s">
        <v>38</v>
      </c>
      <c r="E160" t="s">
        <v>45</v>
      </c>
      <c r="F160">
        <v>689</v>
      </c>
      <c r="G160">
        <v>10</v>
      </c>
      <c r="H160">
        <v>300</v>
      </c>
      <c r="I160">
        <v>206700</v>
      </c>
      <c r="J160">
        <v>6201</v>
      </c>
      <c r="K160">
        <v>200499</v>
      </c>
      <c r="L160">
        <v>172250</v>
      </c>
      <c r="M160">
        <v>28249</v>
      </c>
      <c r="N160" s="1">
        <v>41791</v>
      </c>
      <c r="O160">
        <v>6</v>
      </c>
      <c r="P160" t="s">
        <v>25</v>
      </c>
      <c r="Q160">
        <v>2014</v>
      </c>
    </row>
    <row r="161" spans="1:17" x14ac:dyDescent="0.3">
      <c r="A161" t="str">
        <f t="shared" ca="1" si="2"/>
        <v>ORD-2014-Ger-7528</v>
      </c>
      <c r="B161" t="s">
        <v>31</v>
      </c>
      <c r="C161" t="s">
        <v>22</v>
      </c>
      <c r="D161" t="s">
        <v>38</v>
      </c>
      <c r="E161" t="s">
        <v>45</v>
      </c>
      <c r="F161">
        <v>1570</v>
      </c>
      <c r="G161">
        <v>10</v>
      </c>
      <c r="H161">
        <v>125</v>
      </c>
      <c r="I161">
        <v>196250</v>
      </c>
      <c r="J161">
        <v>5887.5</v>
      </c>
      <c r="K161">
        <v>190362.5</v>
      </c>
      <c r="L161">
        <v>188400</v>
      </c>
      <c r="M161">
        <v>1962.5</v>
      </c>
      <c r="N161" s="1">
        <v>41791</v>
      </c>
      <c r="O161">
        <v>6</v>
      </c>
      <c r="P161" t="s">
        <v>25</v>
      </c>
      <c r="Q161">
        <v>2014</v>
      </c>
    </row>
    <row r="162" spans="1:17" x14ac:dyDescent="0.3">
      <c r="A162" t="str">
        <f t="shared" ca="1" si="2"/>
        <v>ORD-2014-Uni-1594</v>
      </c>
      <c r="B162" t="s">
        <v>30</v>
      </c>
      <c r="C162" t="s">
        <v>37</v>
      </c>
      <c r="D162" t="s">
        <v>38</v>
      </c>
      <c r="E162" t="s">
        <v>45</v>
      </c>
      <c r="F162">
        <v>1369.5</v>
      </c>
      <c r="G162">
        <v>10</v>
      </c>
      <c r="H162">
        <v>12</v>
      </c>
      <c r="I162">
        <v>16434</v>
      </c>
      <c r="J162">
        <v>493.02</v>
      </c>
      <c r="K162">
        <v>15940.98</v>
      </c>
      <c r="L162">
        <v>4108.5</v>
      </c>
      <c r="M162">
        <v>11832.48</v>
      </c>
      <c r="N162" s="1">
        <v>41821</v>
      </c>
      <c r="O162">
        <v>7</v>
      </c>
      <c r="P162" t="s">
        <v>32</v>
      </c>
      <c r="Q162">
        <v>2014</v>
      </c>
    </row>
    <row r="163" spans="1:17" x14ac:dyDescent="0.3">
      <c r="A163" t="str">
        <f t="shared" ca="1" si="2"/>
        <v>ORD-2014-Ca0-8483</v>
      </c>
      <c r="B163" t="s">
        <v>31</v>
      </c>
      <c r="C163" t="s">
        <v>18</v>
      </c>
      <c r="D163" t="s">
        <v>38</v>
      </c>
      <c r="E163" t="s">
        <v>45</v>
      </c>
      <c r="F163">
        <v>2009</v>
      </c>
      <c r="G163">
        <v>10</v>
      </c>
      <c r="H163">
        <v>125</v>
      </c>
      <c r="I163">
        <v>251125</v>
      </c>
      <c r="J163">
        <v>7533.75</v>
      </c>
      <c r="K163">
        <v>243591.25</v>
      </c>
      <c r="L163">
        <v>241080</v>
      </c>
      <c r="M163">
        <v>2511.25</v>
      </c>
      <c r="N163" s="1">
        <v>41913</v>
      </c>
      <c r="O163">
        <v>10</v>
      </c>
      <c r="P163" t="s">
        <v>36</v>
      </c>
      <c r="Q163">
        <v>2014</v>
      </c>
    </row>
    <row r="164" spans="1:17" x14ac:dyDescent="0.3">
      <c r="A164" t="str">
        <f t="shared" ca="1" si="2"/>
        <v>ORD-2013-Ger-5140</v>
      </c>
      <c r="B164" t="s">
        <v>23</v>
      </c>
      <c r="C164" t="s">
        <v>22</v>
      </c>
      <c r="D164" t="s">
        <v>38</v>
      </c>
      <c r="E164" t="s">
        <v>45</v>
      </c>
      <c r="F164">
        <v>1945</v>
      </c>
      <c r="G164">
        <v>10</v>
      </c>
      <c r="H164">
        <v>15</v>
      </c>
      <c r="I164">
        <v>29175</v>
      </c>
      <c r="J164">
        <v>875.25</v>
      </c>
      <c r="K164">
        <v>28299.75</v>
      </c>
      <c r="L164">
        <v>19450</v>
      </c>
      <c r="M164">
        <v>8849.75</v>
      </c>
      <c r="N164" s="1">
        <v>41548</v>
      </c>
      <c r="O164">
        <v>10</v>
      </c>
      <c r="P164" t="s">
        <v>36</v>
      </c>
      <c r="Q164">
        <v>2013</v>
      </c>
    </row>
    <row r="165" spans="1:17" x14ac:dyDescent="0.3">
      <c r="A165" t="str">
        <f t="shared" ca="1" si="2"/>
        <v>ORD-2014-Fra-1069</v>
      </c>
      <c r="B165" t="s">
        <v>31</v>
      </c>
      <c r="C165" t="s">
        <v>24</v>
      </c>
      <c r="D165" t="s">
        <v>38</v>
      </c>
      <c r="E165" t="s">
        <v>45</v>
      </c>
      <c r="F165">
        <v>1287</v>
      </c>
      <c r="G165">
        <v>10</v>
      </c>
      <c r="H165">
        <v>125</v>
      </c>
      <c r="I165">
        <v>160875</v>
      </c>
      <c r="J165">
        <v>4826.25</v>
      </c>
      <c r="K165">
        <v>156048.75</v>
      </c>
      <c r="L165">
        <v>154440</v>
      </c>
      <c r="M165">
        <v>1608.75</v>
      </c>
      <c r="N165" s="1">
        <v>41974</v>
      </c>
      <c r="O165">
        <v>12</v>
      </c>
      <c r="P165" t="s">
        <v>27</v>
      </c>
      <c r="Q165">
        <v>2014</v>
      </c>
    </row>
    <row r="166" spans="1:17" x14ac:dyDescent="0.3">
      <c r="A166" t="str">
        <f t="shared" ca="1" si="2"/>
        <v>ORD-2014-Ger-9819</v>
      </c>
      <c r="B166" t="s">
        <v>31</v>
      </c>
      <c r="C166" t="s">
        <v>22</v>
      </c>
      <c r="D166" t="s">
        <v>38</v>
      </c>
      <c r="E166" t="s">
        <v>45</v>
      </c>
      <c r="F166">
        <v>1706</v>
      </c>
      <c r="G166">
        <v>10</v>
      </c>
      <c r="H166">
        <v>125</v>
      </c>
      <c r="I166">
        <v>213250</v>
      </c>
      <c r="J166">
        <v>6397.5</v>
      </c>
      <c r="K166">
        <v>206852.5</v>
      </c>
      <c r="L166">
        <v>204720</v>
      </c>
      <c r="M166">
        <v>2132.5</v>
      </c>
      <c r="N166" s="1">
        <v>41974</v>
      </c>
      <c r="O166">
        <v>12</v>
      </c>
      <c r="P166" t="s">
        <v>27</v>
      </c>
      <c r="Q166">
        <v>2014</v>
      </c>
    </row>
    <row r="167" spans="1:17" x14ac:dyDescent="0.3">
      <c r="A167" t="str">
        <f t="shared" ca="1" si="2"/>
        <v>ORD-2014-Ca0-5366</v>
      </c>
      <c r="B167" t="s">
        <v>31</v>
      </c>
      <c r="C167" t="s">
        <v>18</v>
      </c>
      <c r="D167" t="s">
        <v>41</v>
      </c>
      <c r="E167" t="s">
        <v>45</v>
      </c>
      <c r="F167">
        <v>2009</v>
      </c>
      <c r="G167">
        <v>120</v>
      </c>
      <c r="H167">
        <v>125</v>
      </c>
      <c r="I167">
        <v>251125</v>
      </c>
      <c r="J167">
        <v>7533.75</v>
      </c>
      <c r="K167">
        <v>243591.25</v>
      </c>
      <c r="L167">
        <v>241080</v>
      </c>
      <c r="M167">
        <v>2511.25</v>
      </c>
      <c r="N167" s="1">
        <v>41913</v>
      </c>
      <c r="O167">
        <v>10</v>
      </c>
      <c r="P167" t="s">
        <v>36</v>
      </c>
      <c r="Q167">
        <v>2014</v>
      </c>
    </row>
    <row r="168" spans="1:17" x14ac:dyDescent="0.3">
      <c r="A168" t="str">
        <f t="shared" ca="1" si="2"/>
        <v>ORD-2014-Uni-2686</v>
      </c>
      <c r="B168" t="s">
        <v>33</v>
      </c>
      <c r="C168" t="s">
        <v>37</v>
      </c>
      <c r="D168" t="s">
        <v>42</v>
      </c>
      <c r="E168" t="s">
        <v>45</v>
      </c>
      <c r="F168">
        <v>2844</v>
      </c>
      <c r="G168">
        <v>250</v>
      </c>
      <c r="H168">
        <v>300</v>
      </c>
      <c r="I168">
        <v>853200</v>
      </c>
      <c r="J168">
        <v>25596</v>
      </c>
      <c r="K168">
        <v>827604</v>
      </c>
      <c r="L168">
        <v>711000</v>
      </c>
      <c r="M168">
        <v>116604</v>
      </c>
      <c r="N168" s="1">
        <v>41671</v>
      </c>
      <c r="O168">
        <v>2</v>
      </c>
      <c r="P168" t="s">
        <v>39</v>
      </c>
      <c r="Q168">
        <v>2014</v>
      </c>
    </row>
    <row r="169" spans="1:17" x14ac:dyDescent="0.3">
      <c r="A169" t="str">
        <f t="shared" ca="1" si="2"/>
        <v>ORD-2014-Mex-5307</v>
      </c>
      <c r="B169" t="s">
        <v>30</v>
      </c>
      <c r="C169" t="s">
        <v>26</v>
      </c>
      <c r="D169" t="s">
        <v>42</v>
      </c>
      <c r="E169" t="s">
        <v>45</v>
      </c>
      <c r="F169">
        <v>1916</v>
      </c>
      <c r="G169">
        <v>250</v>
      </c>
      <c r="H169">
        <v>12</v>
      </c>
      <c r="I169">
        <v>22992</v>
      </c>
      <c r="J169">
        <v>689.76</v>
      </c>
      <c r="K169">
        <v>22302.240000000002</v>
      </c>
      <c r="L169">
        <v>5748</v>
      </c>
      <c r="M169">
        <v>16554.240000000002</v>
      </c>
      <c r="N169" s="1">
        <v>41730</v>
      </c>
      <c r="O169">
        <v>4</v>
      </c>
      <c r="P169" t="s">
        <v>43</v>
      </c>
      <c r="Q169">
        <v>2014</v>
      </c>
    </row>
    <row r="170" spans="1:17" x14ac:dyDescent="0.3">
      <c r="A170" t="str">
        <f t="shared" ca="1" si="2"/>
        <v>ORD-2014-Ger-4098</v>
      </c>
      <c r="B170" t="s">
        <v>31</v>
      </c>
      <c r="C170" t="s">
        <v>22</v>
      </c>
      <c r="D170" t="s">
        <v>42</v>
      </c>
      <c r="E170" t="s">
        <v>45</v>
      </c>
      <c r="F170">
        <v>1570</v>
      </c>
      <c r="G170">
        <v>250</v>
      </c>
      <c r="H170">
        <v>125</v>
      </c>
      <c r="I170">
        <v>196250</v>
      </c>
      <c r="J170">
        <v>5887.5</v>
      </c>
      <c r="K170">
        <v>190362.5</v>
      </c>
      <c r="L170">
        <v>188400</v>
      </c>
      <c r="M170">
        <v>1962.5</v>
      </c>
      <c r="N170" s="1">
        <v>41791</v>
      </c>
      <c r="O170">
        <v>6</v>
      </c>
      <c r="P170" t="s">
        <v>25</v>
      </c>
      <c r="Q170">
        <v>2014</v>
      </c>
    </row>
    <row r="171" spans="1:17" x14ac:dyDescent="0.3">
      <c r="A171" t="str">
        <f t="shared" ca="1" si="2"/>
        <v>ORD-2014-Ca0-3556</v>
      </c>
      <c r="B171" t="s">
        <v>33</v>
      </c>
      <c r="C171" t="s">
        <v>18</v>
      </c>
      <c r="D171" t="s">
        <v>42</v>
      </c>
      <c r="E171" t="s">
        <v>45</v>
      </c>
      <c r="F171">
        <v>1874</v>
      </c>
      <c r="G171">
        <v>250</v>
      </c>
      <c r="H171">
        <v>300</v>
      </c>
      <c r="I171">
        <v>562200</v>
      </c>
      <c r="J171">
        <v>16866</v>
      </c>
      <c r="K171">
        <v>545334</v>
      </c>
      <c r="L171">
        <v>468500</v>
      </c>
      <c r="M171">
        <v>76834</v>
      </c>
      <c r="N171" s="1">
        <v>41852</v>
      </c>
      <c r="O171">
        <v>8</v>
      </c>
      <c r="P171" t="s">
        <v>34</v>
      </c>
      <c r="Q171">
        <v>2014</v>
      </c>
    </row>
    <row r="172" spans="1:17" x14ac:dyDescent="0.3">
      <c r="A172" t="str">
        <f t="shared" ca="1" si="2"/>
        <v>ORD-2014-Mex-6163</v>
      </c>
      <c r="B172" t="s">
        <v>17</v>
      </c>
      <c r="C172" t="s">
        <v>26</v>
      </c>
      <c r="D172" t="s">
        <v>42</v>
      </c>
      <c r="E172" t="s">
        <v>45</v>
      </c>
      <c r="F172">
        <v>1642</v>
      </c>
      <c r="G172">
        <v>250</v>
      </c>
      <c r="H172">
        <v>350</v>
      </c>
      <c r="I172">
        <v>574700</v>
      </c>
      <c r="J172">
        <v>17241</v>
      </c>
      <c r="K172">
        <v>557459</v>
      </c>
      <c r="L172">
        <v>426920</v>
      </c>
      <c r="M172">
        <v>130539</v>
      </c>
      <c r="N172" s="1">
        <v>41852</v>
      </c>
      <c r="O172">
        <v>8</v>
      </c>
      <c r="P172" t="s">
        <v>34</v>
      </c>
      <c r="Q172">
        <v>2014</v>
      </c>
    </row>
    <row r="173" spans="1:17" x14ac:dyDescent="0.3">
      <c r="A173" t="str">
        <f t="shared" ca="1" si="2"/>
        <v>ORD-2013-Ger-6888</v>
      </c>
      <c r="B173" t="s">
        <v>23</v>
      </c>
      <c r="C173" t="s">
        <v>22</v>
      </c>
      <c r="D173" t="s">
        <v>42</v>
      </c>
      <c r="E173" t="s">
        <v>45</v>
      </c>
      <c r="F173">
        <v>1945</v>
      </c>
      <c r="G173">
        <v>250</v>
      </c>
      <c r="H173">
        <v>15</v>
      </c>
      <c r="I173">
        <v>29175</v>
      </c>
      <c r="J173">
        <v>875.25</v>
      </c>
      <c r="K173">
        <v>28299.75</v>
      </c>
      <c r="L173">
        <v>19450</v>
      </c>
      <c r="M173">
        <v>8849.75</v>
      </c>
      <c r="N173" s="1">
        <v>41548</v>
      </c>
      <c r="O173">
        <v>10</v>
      </c>
      <c r="P173" t="s">
        <v>36</v>
      </c>
      <c r="Q173">
        <v>2013</v>
      </c>
    </row>
    <row r="174" spans="1:17" x14ac:dyDescent="0.3">
      <c r="A174" t="str">
        <f t="shared" ca="1" si="2"/>
        <v>ORD-2014-Ca0-1479</v>
      </c>
      <c r="B174" t="s">
        <v>17</v>
      </c>
      <c r="C174" t="s">
        <v>18</v>
      </c>
      <c r="D174" t="s">
        <v>19</v>
      </c>
      <c r="E174" t="s">
        <v>45</v>
      </c>
      <c r="F174">
        <v>831</v>
      </c>
      <c r="G174">
        <v>3</v>
      </c>
      <c r="H174">
        <v>20</v>
      </c>
      <c r="I174">
        <v>16620</v>
      </c>
      <c r="J174">
        <v>498.6</v>
      </c>
      <c r="K174">
        <v>16121.4</v>
      </c>
      <c r="L174">
        <v>8310</v>
      </c>
      <c r="M174">
        <v>7811.4</v>
      </c>
      <c r="N174" s="1">
        <v>41760</v>
      </c>
      <c r="O174">
        <v>5</v>
      </c>
      <c r="P174" t="s">
        <v>46</v>
      </c>
      <c r="Q174">
        <v>2014</v>
      </c>
    </row>
    <row r="175" spans="1:17" x14ac:dyDescent="0.3">
      <c r="A175" t="str">
        <f t="shared" ca="1" si="2"/>
        <v>ORD-2013-Mex-3464</v>
      </c>
      <c r="B175" t="s">
        <v>17</v>
      </c>
      <c r="C175" t="s">
        <v>26</v>
      </c>
      <c r="D175" t="s">
        <v>38</v>
      </c>
      <c r="E175" t="s">
        <v>45</v>
      </c>
      <c r="F175">
        <v>1760</v>
      </c>
      <c r="G175">
        <v>10</v>
      </c>
      <c r="H175">
        <v>7</v>
      </c>
      <c r="I175">
        <v>12320</v>
      </c>
      <c r="J175">
        <v>369.6</v>
      </c>
      <c r="K175">
        <v>11950.4</v>
      </c>
      <c r="L175">
        <v>8800</v>
      </c>
      <c r="M175">
        <v>3150.4</v>
      </c>
      <c r="N175" s="1">
        <v>41518</v>
      </c>
      <c r="O175">
        <v>9</v>
      </c>
      <c r="P175" t="s">
        <v>35</v>
      </c>
      <c r="Q175">
        <v>2013</v>
      </c>
    </row>
    <row r="176" spans="1:17" x14ac:dyDescent="0.3">
      <c r="A176" t="str">
        <f t="shared" ca="1" si="2"/>
        <v>ORD-2014-Ca0-3602</v>
      </c>
      <c r="B176" t="s">
        <v>17</v>
      </c>
      <c r="C176" t="s">
        <v>18</v>
      </c>
      <c r="D176" t="s">
        <v>41</v>
      </c>
      <c r="E176" t="s">
        <v>45</v>
      </c>
      <c r="F176">
        <v>3850.5</v>
      </c>
      <c r="G176">
        <v>120</v>
      </c>
      <c r="H176">
        <v>20</v>
      </c>
      <c r="I176">
        <v>77010</v>
      </c>
      <c r="J176">
        <v>2310.3000000000002</v>
      </c>
      <c r="K176">
        <v>74699.7</v>
      </c>
      <c r="L176">
        <v>38505</v>
      </c>
      <c r="M176">
        <v>36194.699999999997</v>
      </c>
      <c r="N176" s="1">
        <v>41730</v>
      </c>
      <c r="O176">
        <v>4</v>
      </c>
      <c r="P176" t="s">
        <v>43</v>
      </c>
      <c r="Q176">
        <v>2014</v>
      </c>
    </row>
    <row r="177" spans="1:17" x14ac:dyDescent="0.3">
      <c r="A177" t="str">
        <f t="shared" ca="1" si="2"/>
        <v>ORD-2014-Ger-7558</v>
      </c>
      <c r="B177" t="s">
        <v>30</v>
      </c>
      <c r="C177" t="s">
        <v>22</v>
      </c>
      <c r="D177" t="s">
        <v>42</v>
      </c>
      <c r="E177" t="s">
        <v>45</v>
      </c>
      <c r="F177">
        <v>2479</v>
      </c>
      <c r="G177">
        <v>250</v>
      </c>
      <c r="H177">
        <v>12</v>
      </c>
      <c r="I177">
        <v>29748</v>
      </c>
      <c r="J177">
        <v>892.44</v>
      </c>
      <c r="K177">
        <v>28855.56</v>
      </c>
      <c r="L177">
        <v>7437</v>
      </c>
      <c r="M177">
        <v>21418.560000000001</v>
      </c>
      <c r="N177" s="1">
        <v>41640</v>
      </c>
      <c r="O177">
        <v>1</v>
      </c>
      <c r="P177" t="s">
        <v>21</v>
      </c>
      <c r="Q177">
        <v>2014</v>
      </c>
    </row>
    <row r="178" spans="1:17" x14ac:dyDescent="0.3">
      <c r="A178" t="str">
        <f t="shared" ca="1" si="2"/>
        <v>ORD-2014-Mex-5700</v>
      </c>
      <c r="B178" t="s">
        <v>23</v>
      </c>
      <c r="C178" t="s">
        <v>26</v>
      </c>
      <c r="D178" t="s">
        <v>28</v>
      </c>
      <c r="E178" t="s">
        <v>45</v>
      </c>
      <c r="F178">
        <v>2031</v>
      </c>
      <c r="G178">
        <v>5</v>
      </c>
      <c r="H178">
        <v>15</v>
      </c>
      <c r="I178">
        <v>30465</v>
      </c>
      <c r="J178">
        <v>1218.5999999999999</v>
      </c>
      <c r="K178">
        <v>29246.400000000001</v>
      </c>
      <c r="L178">
        <v>20310</v>
      </c>
      <c r="M178">
        <v>8936.4</v>
      </c>
      <c r="N178" s="1">
        <v>41913</v>
      </c>
      <c r="O178">
        <v>10</v>
      </c>
      <c r="P178" t="s">
        <v>36</v>
      </c>
      <c r="Q178">
        <v>2014</v>
      </c>
    </row>
    <row r="179" spans="1:17" x14ac:dyDescent="0.3">
      <c r="A179" t="str">
        <f t="shared" ca="1" si="2"/>
        <v>ORD-2014-Mex-2810</v>
      </c>
      <c r="B179" t="s">
        <v>23</v>
      </c>
      <c r="C179" t="s">
        <v>26</v>
      </c>
      <c r="D179" t="s">
        <v>38</v>
      </c>
      <c r="E179" t="s">
        <v>45</v>
      </c>
      <c r="F179">
        <v>2031</v>
      </c>
      <c r="G179">
        <v>10</v>
      </c>
      <c r="H179">
        <v>15</v>
      </c>
      <c r="I179">
        <v>30465</v>
      </c>
      <c r="J179">
        <v>1218.5999999999999</v>
      </c>
      <c r="K179">
        <v>29246.400000000001</v>
      </c>
      <c r="L179">
        <v>20310</v>
      </c>
      <c r="M179">
        <v>8936.4</v>
      </c>
      <c r="N179" s="1">
        <v>41913</v>
      </c>
      <c r="O179">
        <v>10</v>
      </c>
      <c r="P179" t="s">
        <v>36</v>
      </c>
      <c r="Q179">
        <v>2014</v>
      </c>
    </row>
    <row r="180" spans="1:17" x14ac:dyDescent="0.3">
      <c r="A180" t="str">
        <f t="shared" ca="1" si="2"/>
        <v>ORD-2013-Fra-3730</v>
      </c>
      <c r="B180" t="s">
        <v>23</v>
      </c>
      <c r="C180" t="s">
        <v>24</v>
      </c>
      <c r="D180" t="s">
        <v>38</v>
      </c>
      <c r="E180" t="s">
        <v>45</v>
      </c>
      <c r="F180">
        <v>2261</v>
      </c>
      <c r="G180">
        <v>10</v>
      </c>
      <c r="H180">
        <v>15</v>
      </c>
      <c r="I180">
        <v>33915</v>
      </c>
      <c r="J180">
        <v>1356.6</v>
      </c>
      <c r="K180">
        <v>32558.400000000001</v>
      </c>
      <c r="L180">
        <v>22610</v>
      </c>
      <c r="M180">
        <v>9948.4</v>
      </c>
      <c r="N180" s="1">
        <v>41609</v>
      </c>
      <c r="O180">
        <v>12</v>
      </c>
      <c r="P180" t="s">
        <v>27</v>
      </c>
      <c r="Q180">
        <v>2013</v>
      </c>
    </row>
    <row r="181" spans="1:17" x14ac:dyDescent="0.3">
      <c r="A181" t="str">
        <f t="shared" ca="1" si="2"/>
        <v>ORD-2013-Uni-7735</v>
      </c>
      <c r="B181" t="s">
        <v>17</v>
      </c>
      <c r="C181" t="s">
        <v>37</v>
      </c>
      <c r="D181" t="s">
        <v>41</v>
      </c>
      <c r="E181" t="s">
        <v>45</v>
      </c>
      <c r="F181">
        <v>736</v>
      </c>
      <c r="G181">
        <v>120</v>
      </c>
      <c r="H181">
        <v>20</v>
      </c>
      <c r="I181">
        <v>14720</v>
      </c>
      <c r="J181">
        <v>588.79999999999995</v>
      </c>
      <c r="K181">
        <v>14131.2</v>
      </c>
      <c r="L181">
        <v>7360</v>
      </c>
      <c r="M181">
        <v>6771.2</v>
      </c>
      <c r="N181" s="1">
        <v>41518</v>
      </c>
      <c r="O181">
        <v>9</v>
      </c>
      <c r="P181" t="s">
        <v>35</v>
      </c>
      <c r="Q181">
        <v>2013</v>
      </c>
    </row>
    <row r="182" spans="1:17" x14ac:dyDescent="0.3">
      <c r="A182" t="str">
        <f t="shared" ca="1" si="2"/>
        <v>ORD-2013-Ca0-9637</v>
      </c>
      <c r="B182" t="s">
        <v>17</v>
      </c>
      <c r="C182" t="s">
        <v>18</v>
      </c>
      <c r="D182" t="s">
        <v>19</v>
      </c>
      <c r="E182" t="s">
        <v>45</v>
      </c>
      <c r="F182">
        <v>2851</v>
      </c>
      <c r="G182">
        <v>3</v>
      </c>
      <c r="H182">
        <v>7</v>
      </c>
      <c r="I182">
        <v>19957</v>
      </c>
      <c r="J182">
        <v>798.28</v>
      </c>
      <c r="K182">
        <v>19158.72</v>
      </c>
      <c r="L182">
        <v>14255</v>
      </c>
      <c r="M182">
        <v>4903.72</v>
      </c>
      <c r="N182" s="1">
        <v>41548</v>
      </c>
      <c r="O182">
        <v>10</v>
      </c>
      <c r="P182" t="s">
        <v>36</v>
      </c>
      <c r="Q182">
        <v>2013</v>
      </c>
    </row>
    <row r="183" spans="1:17" x14ac:dyDescent="0.3">
      <c r="A183" t="str">
        <f t="shared" ca="1" si="2"/>
        <v>ORD-2014-Ger-7962</v>
      </c>
      <c r="B183" t="s">
        <v>33</v>
      </c>
      <c r="C183" t="s">
        <v>22</v>
      </c>
      <c r="D183" t="s">
        <v>19</v>
      </c>
      <c r="E183" t="s">
        <v>45</v>
      </c>
      <c r="F183">
        <v>2021</v>
      </c>
      <c r="G183">
        <v>3</v>
      </c>
      <c r="H183">
        <v>300</v>
      </c>
      <c r="I183">
        <v>606300</v>
      </c>
      <c r="J183">
        <v>24252</v>
      </c>
      <c r="K183">
        <v>582048</v>
      </c>
      <c r="L183">
        <v>505250</v>
      </c>
      <c r="M183">
        <v>76798</v>
      </c>
      <c r="N183" s="1">
        <v>41913</v>
      </c>
      <c r="O183">
        <v>10</v>
      </c>
      <c r="P183" t="s">
        <v>36</v>
      </c>
      <c r="Q183">
        <v>2014</v>
      </c>
    </row>
    <row r="184" spans="1:17" x14ac:dyDescent="0.3">
      <c r="A184" t="str">
        <f t="shared" ca="1" si="2"/>
        <v>ORD-2014-Uni-1590</v>
      </c>
      <c r="B184" t="s">
        <v>17</v>
      </c>
      <c r="C184" t="s">
        <v>37</v>
      </c>
      <c r="D184" t="s">
        <v>19</v>
      </c>
      <c r="E184" t="s">
        <v>45</v>
      </c>
      <c r="F184">
        <v>274</v>
      </c>
      <c r="G184">
        <v>3</v>
      </c>
      <c r="H184">
        <v>350</v>
      </c>
      <c r="I184">
        <v>95900</v>
      </c>
      <c r="J184">
        <v>3836</v>
      </c>
      <c r="K184">
        <v>92064</v>
      </c>
      <c r="L184">
        <v>71240</v>
      </c>
      <c r="M184">
        <v>20824</v>
      </c>
      <c r="N184" s="1">
        <v>41974</v>
      </c>
      <c r="O184">
        <v>12</v>
      </c>
      <c r="P184" t="s">
        <v>27</v>
      </c>
      <c r="Q184">
        <v>2014</v>
      </c>
    </row>
    <row r="185" spans="1:17" x14ac:dyDescent="0.3">
      <c r="A185" t="str">
        <f t="shared" ca="1" si="2"/>
        <v>ORD-2014-Ca0-6447</v>
      </c>
      <c r="B185" t="s">
        <v>23</v>
      </c>
      <c r="C185" t="s">
        <v>18</v>
      </c>
      <c r="D185" t="s">
        <v>28</v>
      </c>
      <c r="E185" t="s">
        <v>45</v>
      </c>
      <c r="F185">
        <v>1967</v>
      </c>
      <c r="G185">
        <v>5</v>
      </c>
      <c r="H185">
        <v>15</v>
      </c>
      <c r="I185">
        <v>29505</v>
      </c>
      <c r="J185">
        <v>1180.2</v>
      </c>
      <c r="K185">
        <v>28324.799999999999</v>
      </c>
      <c r="L185">
        <v>19670</v>
      </c>
      <c r="M185">
        <v>8654.7999999999993</v>
      </c>
      <c r="N185" s="1">
        <v>41699</v>
      </c>
      <c r="O185">
        <v>3</v>
      </c>
      <c r="P185" t="s">
        <v>29</v>
      </c>
      <c r="Q185">
        <v>2014</v>
      </c>
    </row>
    <row r="186" spans="1:17" x14ac:dyDescent="0.3">
      <c r="A186" t="str">
        <f t="shared" ca="1" si="2"/>
        <v>ORD-2014-Ger-9615</v>
      </c>
      <c r="B186" t="s">
        <v>33</v>
      </c>
      <c r="C186" t="s">
        <v>22</v>
      </c>
      <c r="D186" t="s">
        <v>28</v>
      </c>
      <c r="E186" t="s">
        <v>45</v>
      </c>
      <c r="F186">
        <v>1859</v>
      </c>
      <c r="G186">
        <v>5</v>
      </c>
      <c r="H186">
        <v>300</v>
      </c>
      <c r="I186">
        <v>557700</v>
      </c>
      <c r="J186">
        <v>22308</v>
      </c>
      <c r="K186">
        <v>535392</v>
      </c>
      <c r="L186">
        <v>464750</v>
      </c>
      <c r="M186">
        <v>70642</v>
      </c>
      <c r="N186" s="1">
        <v>41852</v>
      </c>
      <c r="O186">
        <v>8</v>
      </c>
      <c r="P186" t="s">
        <v>34</v>
      </c>
      <c r="Q186">
        <v>2014</v>
      </c>
    </row>
    <row r="187" spans="1:17" x14ac:dyDescent="0.3">
      <c r="A187" t="str">
        <f t="shared" ca="1" si="2"/>
        <v>ORD-2013-Ca0-1731</v>
      </c>
      <c r="B187" t="s">
        <v>17</v>
      </c>
      <c r="C187" t="s">
        <v>18</v>
      </c>
      <c r="D187" t="s">
        <v>28</v>
      </c>
      <c r="E187" t="s">
        <v>45</v>
      </c>
      <c r="F187">
        <v>2851</v>
      </c>
      <c r="G187">
        <v>5</v>
      </c>
      <c r="H187">
        <v>7</v>
      </c>
      <c r="I187">
        <v>19957</v>
      </c>
      <c r="J187">
        <v>798.28</v>
      </c>
      <c r="K187">
        <v>19158.72</v>
      </c>
      <c r="L187">
        <v>14255</v>
      </c>
      <c r="M187">
        <v>4903.72</v>
      </c>
      <c r="N187" s="1">
        <v>41548</v>
      </c>
      <c r="O187">
        <v>10</v>
      </c>
      <c r="P187" t="s">
        <v>36</v>
      </c>
      <c r="Q187">
        <v>2013</v>
      </c>
    </row>
    <row r="188" spans="1:17" x14ac:dyDescent="0.3">
      <c r="A188" t="str">
        <f t="shared" ca="1" si="2"/>
        <v>ORD-2014-Ger-9260</v>
      </c>
      <c r="B188" t="s">
        <v>33</v>
      </c>
      <c r="C188" t="s">
        <v>22</v>
      </c>
      <c r="D188" t="s">
        <v>28</v>
      </c>
      <c r="E188" t="s">
        <v>45</v>
      </c>
      <c r="F188">
        <v>2021</v>
      </c>
      <c r="G188">
        <v>5</v>
      </c>
      <c r="H188">
        <v>300</v>
      </c>
      <c r="I188">
        <v>606300</v>
      </c>
      <c r="J188">
        <v>24252</v>
      </c>
      <c r="K188">
        <v>582048</v>
      </c>
      <c r="L188">
        <v>505250</v>
      </c>
      <c r="M188">
        <v>76798</v>
      </c>
      <c r="N188" s="1">
        <v>41913</v>
      </c>
      <c r="O188">
        <v>10</v>
      </c>
      <c r="P188" t="s">
        <v>36</v>
      </c>
      <c r="Q188">
        <v>2014</v>
      </c>
    </row>
    <row r="189" spans="1:17" x14ac:dyDescent="0.3">
      <c r="A189" t="str">
        <f t="shared" ca="1" si="2"/>
        <v>ORD-2014-Mex-8091</v>
      </c>
      <c r="B189" t="s">
        <v>31</v>
      </c>
      <c r="C189" t="s">
        <v>26</v>
      </c>
      <c r="D189" t="s">
        <v>28</v>
      </c>
      <c r="E189" t="s">
        <v>45</v>
      </c>
      <c r="F189">
        <v>1138</v>
      </c>
      <c r="G189">
        <v>5</v>
      </c>
      <c r="H189">
        <v>125</v>
      </c>
      <c r="I189">
        <v>142250</v>
      </c>
      <c r="J189">
        <v>5690</v>
      </c>
      <c r="K189">
        <v>136560</v>
      </c>
      <c r="L189">
        <v>136560</v>
      </c>
      <c r="M189">
        <f>K189-L189</f>
        <v>0</v>
      </c>
      <c r="N189" s="1">
        <v>41974</v>
      </c>
      <c r="O189">
        <v>12</v>
      </c>
      <c r="P189" t="s">
        <v>27</v>
      </c>
      <c r="Q189">
        <v>2014</v>
      </c>
    </row>
    <row r="190" spans="1:17" x14ac:dyDescent="0.3">
      <c r="A190" t="str">
        <f t="shared" ca="1" si="2"/>
        <v>ORD-2014-Ca0-4810</v>
      </c>
      <c r="B190" t="s">
        <v>17</v>
      </c>
      <c r="C190" t="s">
        <v>18</v>
      </c>
      <c r="D190" t="s">
        <v>38</v>
      </c>
      <c r="E190" t="s">
        <v>45</v>
      </c>
      <c r="F190">
        <v>4251</v>
      </c>
      <c r="G190">
        <v>10</v>
      </c>
      <c r="H190">
        <v>7</v>
      </c>
      <c r="I190">
        <v>29757</v>
      </c>
      <c r="J190">
        <v>1190.28</v>
      </c>
      <c r="K190">
        <v>28566.720000000001</v>
      </c>
      <c r="L190">
        <v>21255</v>
      </c>
      <c r="M190">
        <v>7311.72</v>
      </c>
      <c r="N190" s="1">
        <v>41640</v>
      </c>
      <c r="O190">
        <v>1</v>
      </c>
      <c r="P190" t="s">
        <v>21</v>
      </c>
      <c r="Q190">
        <v>2014</v>
      </c>
    </row>
    <row r="191" spans="1:17" x14ac:dyDescent="0.3">
      <c r="A191" t="str">
        <f t="shared" ca="1" si="2"/>
        <v>ORD-2014-Ger-5802</v>
      </c>
      <c r="B191" t="s">
        <v>31</v>
      </c>
      <c r="C191" t="s">
        <v>22</v>
      </c>
      <c r="D191" t="s">
        <v>38</v>
      </c>
      <c r="E191" t="s">
        <v>45</v>
      </c>
      <c r="F191">
        <v>795</v>
      </c>
      <c r="G191">
        <v>10</v>
      </c>
      <c r="H191">
        <v>125</v>
      </c>
      <c r="I191">
        <v>99375</v>
      </c>
      <c r="J191">
        <v>3975</v>
      </c>
      <c r="K191">
        <v>95400</v>
      </c>
      <c r="L191">
        <v>95400</v>
      </c>
      <c r="M191">
        <f>K191-L191</f>
        <v>0</v>
      </c>
      <c r="N191" s="1">
        <v>41699</v>
      </c>
      <c r="O191">
        <v>3</v>
      </c>
      <c r="P191" t="s">
        <v>29</v>
      </c>
      <c r="Q191">
        <v>2014</v>
      </c>
    </row>
    <row r="192" spans="1:17" x14ac:dyDescent="0.3">
      <c r="A192" t="str">
        <f t="shared" ca="1" si="2"/>
        <v>ORD-2014-Ger-8465</v>
      </c>
      <c r="B192" t="s">
        <v>33</v>
      </c>
      <c r="C192" t="s">
        <v>22</v>
      </c>
      <c r="D192" t="s">
        <v>38</v>
      </c>
      <c r="E192" t="s">
        <v>45</v>
      </c>
      <c r="F192">
        <v>1414.5</v>
      </c>
      <c r="G192">
        <v>10</v>
      </c>
      <c r="H192">
        <v>300</v>
      </c>
      <c r="I192">
        <v>424350</v>
      </c>
      <c r="J192">
        <v>16974</v>
      </c>
      <c r="K192">
        <v>407376</v>
      </c>
      <c r="L192">
        <v>353625</v>
      </c>
      <c r="M192">
        <v>53751</v>
      </c>
      <c r="N192" s="1">
        <v>41730</v>
      </c>
      <c r="O192">
        <v>4</v>
      </c>
      <c r="P192" t="s">
        <v>43</v>
      </c>
      <c r="Q192">
        <v>2014</v>
      </c>
    </row>
    <row r="193" spans="1:17" x14ac:dyDescent="0.3">
      <c r="A193" t="str">
        <f t="shared" ca="1" si="2"/>
        <v>ORD-2014-Uni-6527</v>
      </c>
      <c r="B193" t="s">
        <v>33</v>
      </c>
      <c r="C193" t="s">
        <v>37</v>
      </c>
      <c r="D193" t="s">
        <v>38</v>
      </c>
      <c r="E193" t="s">
        <v>45</v>
      </c>
      <c r="F193">
        <v>2918</v>
      </c>
      <c r="G193">
        <v>10</v>
      </c>
      <c r="H193">
        <v>300</v>
      </c>
      <c r="I193">
        <v>875400</v>
      </c>
      <c r="J193">
        <v>35016</v>
      </c>
      <c r="K193">
        <v>840384</v>
      </c>
      <c r="L193">
        <v>729500</v>
      </c>
      <c r="M193">
        <v>110884</v>
      </c>
      <c r="N193" s="1">
        <v>41760</v>
      </c>
      <c r="O193">
        <v>5</v>
      </c>
      <c r="P193" t="s">
        <v>46</v>
      </c>
      <c r="Q193">
        <v>2014</v>
      </c>
    </row>
    <row r="194" spans="1:17" x14ac:dyDescent="0.3">
      <c r="A194" t="str">
        <f t="shared" ca="1" si="2"/>
        <v>ORD-2014-Uni-2617</v>
      </c>
      <c r="B194" t="s">
        <v>17</v>
      </c>
      <c r="C194" t="s">
        <v>37</v>
      </c>
      <c r="D194" t="s">
        <v>38</v>
      </c>
      <c r="E194" t="s">
        <v>45</v>
      </c>
      <c r="F194">
        <v>3450</v>
      </c>
      <c r="G194">
        <v>10</v>
      </c>
      <c r="H194">
        <v>350</v>
      </c>
      <c r="I194">
        <v>1207500</v>
      </c>
      <c r="J194">
        <v>48300</v>
      </c>
      <c r="K194">
        <v>1159200</v>
      </c>
      <c r="L194">
        <v>897000</v>
      </c>
      <c r="M194">
        <v>262200</v>
      </c>
      <c r="N194" s="1">
        <v>41821</v>
      </c>
      <c r="O194">
        <v>7</v>
      </c>
      <c r="P194" t="s">
        <v>32</v>
      </c>
      <c r="Q194">
        <v>2014</v>
      </c>
    </row>
    <row r="195" spans="1:17" x14ac:dyDescent="0.3">
      <c r="A195" t="str">
        <f t="shared" ref="A195:A258" ca="1" si="3">"ORD-" &amp; YEAR(N195) &amp; "-"  &amp; LEFT(C195,3) &amp; "-" &amp; RANDBETWEEN(1000,9999)</f>
        <v>ORD-2014-Fra-4228</v>
      </c>
      <c r="B195" t="s">
        <v>31</v>
      </c>
      <c r="C195" t="s">
        <v>24</v>
      </c>
      <c r="D195" t="s">
        <v>38</v>
      </c>
      <c r="E195" t="s">
        <v>45</v>
      </c>
      <c r="F195">
        <v>2988</v>
      </c>
      <c r="G195">
        <v>10</v>
      </c>
      <c r="H195">
        <v>125</v>
      </c>
      <c r="I195">
        <v>373500</v>
      </c>
      <c r="J195">
        <v>14940</v>
      </c>
      <c r="K195">
        <v>358560</v>
      </c>
      <c r="L195">
        <v>358560</v>
      </c>
      <c r="M195">
        <f>K195-L195</f>
        <v>0</v>
      </c>
      <c r="N195" s="1">
        <v>41821</v>
      </c>
      <c r="O195">
        <v>7</v>
      </c>
      <c r="P195" t="s">
        <v>32</v>
      </c>
      <c r="Q195">
        <v>2014</v>
      </c>
    </row>
    <row r="196" spans="1:17" x14ac:dyDescent="0.3">
      <c r="A196" t="str">
        <f t="shared" ca="1" si="3"/>
        <v>ORD-2014-Ca0-2132</v>
      </c>
      <c r="B196" t="s">
        <v>23</v>
      </c>
      <c r="C196" t="s">
        <v>18</v>
      </c>
      <c r="D196" t="s">
        <v>38</v>
      </c>
      <c r="E196" t="s">
        <v>45</v>
      </c>
      <c r="F196">
        <v>218</v>
      </c>
      <c r="G196">
        <v>10</v>
      </c>
      <c r="H196">
        <v>15</v>
      </c>
      <c r="I196">
        <v>3270</v>
      </c>
      <c r="J196">
        <v>130.80000000000001</v>
      </c>
      <c r="K196">
        <v>3139.2</v>
      </c>
      <c r="L196">
        <v>2180</v>
      </c>
      <c r="M196">
        <v>959.2</v>
      </c>
      <c r="N196" s="1">
        <v>41883</v>
      </c>
      <c r="O196">
        <v>9</v>
      </c>
      <c r="P196" t="s">
        <v>35</v>
      </c>
      <c r="Q196">
        <v>2014</v>
      </c>
    </row>
    <row r="197" spans="1:17" x14ac:dyDescent="0.3">
      <c r="A197" t="str">
        <f t="shared" ca="1" si="3"/>
        <v>ORD-2014-Ca0-9480</v>
      </c>
      <c r="B197" t="s">
        <v>17</v>
      </c>
      <c r="C197" t="s">
        <v>18</v>
      </c>
      <c r="D197" t="s">
        <v>38</v>
      </c>
      <c r="E197" t="s">
        <v>45</v>
      </c>
      <c r="F197">
        <v>2074</v>
      </c>
      <c r="G197">
        <v>10</v>
      </c>
      <c r="H197">
        <v>20</v>
      </c>
      <c r="I197">
        <v>41480</v>
      </c>
      <c r="J197">
        <v>1659.2</v>
      </c>
      <c r="K197">
        <v>39820.800000000003</v>
      </c>
      <c r="L197">
        <v>20740</v>
      </c>
      <c r="M197">
        <v>19080.8</v>
      </c>
      <c r="N197" s="1">
        <v>41883</v>
      </c>
      <c r="O197">
        <v>9</v>
      </c>
      <c r="P197" t="s">
        <v>35</v>
      </c>
      <c r="Q197">
        <v>2014</v>
      </c>
    </row>
    <row r="198" spans="1:17" x14ac:dyDescent="0.3">
      <c r="A198" t="str">
        <f t="shared" ca="1" si="3"/>
        <v>ORD-2014-Uni-2577</v>
      </c>
      <c r="B198" t="s">
        <v>17</v>
      </c>
      <c r="C198" t="s">
        <v>37</v>
      </c>
      <c r="D198" t="s">
        <v>38</v>
      </c>
      <c r="E198" t="s">
        <v>45</v>
      </c>
      <c r="F198">
        <v>1056</v>
      </c>
      <c r="G198">
        <v>10</v>
      </c>
      <c r="H198">
        <v>20</v>
      </c>
      <c r="I198">
        <v>21120</v>
      </c>
      <c r="J198">
        <v>844.8</v>
      </c>
      <c r="K198">
        <v>20275.2</v>
      </c>
      <c r="L198">
        <v>10560</v>
      </c>
      <c r="M198">
        <v>9715.2000000000007</v>
      </c>
      <c r="N198" s="1">
        <v>41883</v>
      </c>
      <c r="O198">
        <v>9</v>
      </c>
      <c r="P198" t="s">
        <v>35</v>
      </c>
      <c r="Q198">
        <v>2014</v>
      </c>
    </row>
    <row r="199" spans="1:17" x14ac:dyDescent="0.3">
      <c r="A199" t="str">
        <f t="shared" ca="1" si="3"/>
        <v>ORD-2013-Uni-5993</v>
      </c>
      <c r="B199" t="s">
        <v>23</v>
      </c>
      <c r="C199" t="s">
        <v>37</v>
      </c>
      <c r="D199" t="s">
        <v>38</v>
      </c>
      <c r="E199" t="s">
        <v>45</v>
      </c>
      <c r="F199">
        <v>671</v>
      </c>
      <c r="G199">
        <v>10</v>
      </c>
      <c r="H199">
        <v>15</v>
      </c>
      <c r="I199">
        <v>10065</v>
      </c>
      <c r="J199">
        <v>402.6</v>
      </c>
      <c r="K199">
        <v>9662.4</v>
      </c>
      <c r="L199">
        <v>6710</v>
      </c>
      <c r="M199">
        <v>2952.4</v>
      </c>
      <c r="N199" s="1">
        <v>41548</v>
      </c>
      <c r="O199">
        <v>10</v>
      </c>
      <c r="P199" t="s">
        <v>36</v>
      </c>
      <c r="Q199">
        <v>2013</v>
      </c>
    </row>
    <row r="200" spans="1:17" x14ac:dyDescent="0.3">
      <c r="A200" t="str">
        <f t="shared" ca="1" si="3"/>
        <v>ORD-2013-Mex-3714</v>
      </c>
      <c r="B200" t="s">
        <v>23</v>
      </c>
      <c r="C200" t="s">
        <v>26</v>
      </c>
      <c r="D200" t="s">
        <v>38</v>
      </c>
      <c r="E200" t="s">
        <v>45</v>
      </c>
      <c r="F200">
        <v>1514</v>
      </c>
      <c r="G200">
        <v>10</v>
      </c>
      <c r="H200">
        <v>15</v>
      </c>
      <c r="I200">
        <v>22710</v>
      </c>
      <c r="J200">
        <v>908.4</v>
      </c>
      <c r="K200">
        <v>21801.599999999999</v>
      </c>
      <c r="L200">
        <v>15140</v>
      </c>
      <c r="M200">
        <v>6661.6</v>
      </c>
      <c r="N200" s="1">
        <v>41548</v>
      </c>
      <c r="O200">
        <v>10</v>
      </c>
      <c r="P200" t="s">
        <v>36</v>
      </c>
      <c r="Q200">
        <v>2013</v>
      </c>
    </row>
    <row r="201" spans="1:17" x14ac:dyDescent="0.3">
      <c r="A201" t="str">
        <f t="shared" ca="1" si="3"/>
        <v>ORD-2014-Uni-8475</v>
      </c>
      <c r="B201" t="s">
        <v>17</v>
      </c>
      <c r="C201" t="s">
        <v>37</v>
      </c>
      <c r="D201" t="s">
        <v>38</v>
      </c>
      <c r="E201" t="s">
        <v>45</v>
      </c>
      <c r="F201">
        <v>274</v>
      </c>
      <c r="G201">
        <v>10</v>
      </c>
      <c r="H201">
        <v>350</v>
      </c>
      <c r="I201">
        <v>95900</v>
      </c>
      <c r="J201">
        <v>3836</v>
      </c>
      <c r="K201">
        <v>92064</v>
      </c>
      <c r="L201">
        <v>71240</v>
      </c>
      <c r="M201">
        <v>20824</v>
      </c>
      <c r="N201" s="1">
        <v>41974</v>
      </c>
      <c r="O201">
        <v>12</v>
      </c>
      <c r="P201" t="s">
        <v>27</v>
      </c>
      <c r="Q201">
        <v>2014</v>
      </c>
    </row>
    <row r="202" spans="1:17" x14ac:dyDescent="0.3">
      <c r="A202" t="str">
        <f t="shared" ca="1" si="3"/>
        <v>ORD-2014-Mex-9374</v>
      </c>
      <c r="B202" t="s">
        <v>31</v>
      </c>
      <c r="C202" t="s">
        <v>26</v>
      </c>
      <c r="D202" t="s">
        <v>38</v>
      </c>
      <c r="E202" t="s">
        <v>45</v>
      </c>
      <c r="F202">
        <v>1138</v>
      </c>
      <c r="G202">
        <v>10</v>
      </c>
      <c r="H202">
        <v>125</v>
      </c>
      <c r="I202">
        <v>142250</v>
      </c>
      <c r="J202">
        <v>5690</v>
      </c>
      <c r="K202">
        <v>136560</v>
      </c>
      <c r="L202">
        <v>136560</v>
      </c>
      <c r="M202">
        <f>K202-L202</f>
        <v>0</v>
      </c>
      <c r="N202" s="1">
        <v>41974</v>
      </c>
      <c r="O202">
        <v>12</v>
      </c>
      <c r="P202" t="s">
        <v>27</v>
      </c>
      <c r="Q202">
        <v>2014</v>
      </c>
    </row>
    <row r="203" spans="1:17" x14ac:dyDescent="0.3">
      <c r="A203" t="str">
        <f t="shared" ca="1" si="3"/>
        <v>ORD-2014-Uni-8808</v>
      </c>
      <c r="B203" t="s">
        <v>30</v>
      </c>
      <c r="C203" t="s">
        <v>37</v>
      </c>
      <c r="D203" t="s">
        <v>41</v>
      </c>
      <c r="E203" t="s">
        <v>45</v>
      </c>
      <c r="F203">
        <v>1465</v>
      </c>
      <c r="G203">
        <v>120</v>
      </c>
      <c r="H203">
        <v>12</v>
      </c>
      <c r="I203">
        <v>17580</v>
      </c>
      <c r="J203">
        <v>703.2</v>
      </c>
      <c r="K203">
        <v>16876.8</v>
      </c>
      <c r="L203">
        <v>4395</v>
      </c>
      <c r="M203">
        <v>12481.8</v>
      </c>
      <c r="N203" s="1">
        <v>41699</v>
      </c>
      <c r="O203">
        <v>3</v>
      </c>
      <c r="P203" t="s">
        <v>29</v>
      </c>
      <c r="Q203">
        <v>2014</v>
      </c>
    </row>
    <row r="204" spans="1:17" x14ac:dyDescent="0.3">
      <c r="A204" t="str">
        <f t="shared" ca="1" si="3"/>
        <v>ORD-2013-Ca0-6185</v>
      </c>
      <c r="B204" t="s">
        <v>17</v>
      </c>
      <c r="C204" t="s">
        <v>18</v>
      </c>
      <c r="D204" t="s">
        <v>41</v>
      </c>
      <c r="E204" t="s">
        <v>45</v>
      </c>
      <c r="F204">
        <v>2646</v>
      </c>
      <c r="G204">
        <v>120</v>
      </c>
      <c r="H204">
        <v>20</v>
      </c>
      <c r="I204">
        <v>52920</v>
      </c>
      <c r="J204">
        <v>2116.8000000000002</v>
      </c>
      <c r="K204">
        <v>50803.199999999997</v>
      </c>
      <c r="L204">
        <v>26460</v>
      </c>
      <c r="M204">
        <v>24343.200000000001</v>
      </c>
      <c r="N204" s="1">
        <v>41518</v>
      </c>
      <c r="O204">
        <v>9</v>
      </c>
      <c r="P204" t="s">
        <v>35</v>
      </c>
      <c r="Q204">
        <v>2013</v>
      </c>
    </row>
    <row r="205" spans="1:17" x14ac:dyDescent="0.3">
      <c r="A205" t="str">
        <f t="shared" ca="1" si="3"/>
        <v>ORD-2014-Fra-5632</v>
      </c>
      <c r="B205" t="s">
        <v>17</v>
      </c>
      <c r="C205" t="s">
        <v>24</v>
      </c>
      <c r="D205" t="s">
        <v>41</v>
      </c>
      <c r="E205" t="s">
        <v>45</v>
      </c>
      <c r="F205">
        <v>2177</v>
      </c>
      <c r="G205">
        <v>120</v>
      </c>
      <c r="H205">
        <v>350</v>
      </c>
      <c r="I205">
        <v>761950</v>
      </c>
      <c r="J205">
        <v>30478</v>
      </c>
      <c r="K205">
        <v>731472</v>
      </c>
      <c r="L205">
        <v>566020</v>
      </c>
      <c r="M205">
        <v>165452</v>
      </c>
      <c r="N205" s="1">
        <v>41913</v>
      </c>
      <c r="O205">
        <v>10</v>
      </c>
      <c r="P205" t="s">
        <v>36</v>
      </c>
      <c r="Q205">
        <v>2014</v>
      </c>
    </row>
    <row r="206" spans="1:17" x14ac:dyDescent="0.3">
      <c r="A206" t="str">
        <f t="shared" ca="1" si="3"/>
        <v>ORD-2014-Fra-4389</v>
      </c>
      <c r="B206" t="s">
        <v>30</v>
      </c>
      <c r="C206" t="s">
        <v>24</v>
      </c>
      <c r="D206" t="s">
        <v>42</v>
      </c>
      <c r="E206" t="s">
        <v>45</v>
      </c>
      <c r="F206">
        <v>866</v>
      </c>
      <c r="G206">
        <v>250</v>
      </c>
      <c r="H206">
        <v>12</v>
      </c>
      <c r="I206">
        <v>10392</v>
      </c>
      <c r="J206">
        <v>415.68</v>
      </c>
      <c r="K206">
        <v>9976.32</v>
      </c>
      <c r="L206">
        <v>2598</v>
      </c>
      <c r="M206">
        <v>7378.32</v>
      </c>
      <c r="N206" s="1">
        <v>41760</v>
      </c>
      <c r="O206">
        <v>5</v>
      </c>
      <c r="P206" t="s">
        <v>46</v>
      </c>
      <c r="Q206">
        <v>2014</v>
      </c>
    </row>
    <row r="207" spans="1:17" x14ac:dyDescent="0.3">
      <c r="A207" t="str">
        <f t="shared" ca="1" si="3"/>
        <v>ORD-2013-Uni-9415</v>
      </c>
      <c r="B207" t="s">
        <v>17</v>
      </c>
      <c r="C207" t="s">
        <v>37</v>
      </c>
      <c r="D207" t="s">
        <v>42</v>
      </c>
      <c r="E207" t="s">
        <v>45</v>
      </c>
      <c r="F207">
        <v>349</v>
      </c>
      <c r="G207">
        <v>250</v>
      </c>
      <c r="H207">
        <v>350</v>
      </c>
      <c r="I207">
        <v>122150</v>
      </c>
      <c r="J207">
        <v>4886</v>
      </c>
      <c r="K207">
        <v>117264</v>
      </c>
      <c r="L207">
        <v>90740</v>
      </c>
      <c r="M207">
        <v>26524</v>
      </c>
      <c r="N207" s="1">
        <v>41518</v>
      </c>
      <c r="O207">
        <v>9</v>
      </c>
      <c r="P207" t="s">
        <v>35</v>
      </c>
      <c r="Q207">
        <v>2013</v>
      </c>
    </row>
    <row r="208" spans="1:17" x14ac:dyDescent="0.3">
      <c r="A208" t="str">
        <f t="shared" ca="1" si="3"/>
        <v>ORD-2014-Fra-9898</v>
      </c>
      <c r="B208" t="s">
        <v>17</v>
      </c>
      <c r="C208" t="s">
        <v>24</v>
      </c>
      <c r="D208" t="s">
        <v>42</v>
      </c>
      <c r="E208" t="s">
        <v>45</v>
      </c>
      <c r="F208">
        <v>2177</v>
      </c>
      <c r="G208">
        <v>250</v>
      </c>
      <c r="H208">
        <v>350</v>
      </c>
      <c r="I208">
        <v>761950</v>
      </c>
      <c r="J208">
        <v>30478</v>
      </c>
      <c r="K208">
        <v>731472</v>
      </c>
      <c r="L208">
        <v>566020</v>
      </c>
      <c r="M208">
        <v>165452</v>
      </c>
      <c r="N208" s="1">
        <v>41913</v>
      </c>
      <c r="O208">
        <v>10</v>
      </c>
      <c r="P208" t="s">
        <v>36</v>
      </c>
      <c r="Q208">
        <v>2014</v>
      </c>
    </row>
    <row r="209" spans="1:17" x14ac:dyDescent="0.3">
      <c r="A209" t="str">
        <f t="shared" ca="1" si="3"/>
        <v>ORD-2013-Mex-8677</v>
      </c>
      <c r="B209" t="s">
        <v>23</v>
      </c>
      <c r="C209" t="s">
        <v>26</v>
      </c>
      <c r="D209" t="s">
        <v>42</v>
      </c>
      <c r="E209" t="s">
        <v>45</v>
      </c>
      <c r="F209">
        <v>1514</v>
      </c>
      <c r="G209">
        <v>250</v>
      </c>
      <c r="H209">
        <v>15</v>
      </c>
      <c r="I209">
        <v>22710</v>
      </c>
      <c r="J209">
        <v>908.4</v>
      </c>
      <c r="K209">
        <v>21801.599999999999</v>
      </c>
      <c r="L209">
        <v>15140</v>
      </c>
      <c r="M209">
        <v>6661.6</v>
      </c>
      <c r="N209" s="1">
        <v>41548</v>
      </c>
      <c r="O209">
        <v>10</v>
      </c>
      <c r="P209" t="s">
        <v>36</v>
      </c>
      <c r="Q209">
        <v>2013</v>
      </c>
    </row>
    <row r="210" spans="1:17" x14ac:dyDescent="0.3">
      <c r="A210" t="str">
        <f t="shared" ca="1" si="3"/>
        <v>ORD-2014-Mex-3351</v>
      </c>
      <c r="B210" t="s">
        <v>17</v>
      </c>
      <c r="C210" t="s">
        <v>26</v>
      </c>
      <c r="D210" t="s">
        <v>44</v>
      </c>
      <c r="E210" t="s">
        <v>45</v>
      </c>
      <c r="F210">
        <v>1865</v>
      </c>
      <c r="G210">
        <v>260</v>
      </c>
      <c r="H210">
        <v>350</v>
      </c>
      <c r="I210">
        <v>652750</v>
      </c>
      <c r="J210">
        <v>26110</v>
      </c>
      <c r="K210">
        <v>626640</v>
      </c>
      <c r="L210">
        <v>484900</v>
      </c>
      <c r="M210">
        <v>141740</v>
      </c>
      <c r="N210" s="1">
        <v>41671</v>
      </c>
      <c r="O210">
        <v>2</v>
      </c>
      <c r="P210" t="s">
        <v>39</v>
      </c>
      <c r="Q210">
        <v>2014</v>
      </c>
    </row>
    <row r="211" spans="1:17" x14ac:dyDescent="0.3">
      <c r="A211" t="str">
        <f t="shared" ca="1" si="3"/>
        <v>ORD-2014-Mex-1909</v>
      </c>
      <c r="B211" t="s">
        <v>31</v>
      </c>
      <c r="C211" t="s">
        <v>26</v>
      </c>
      <c r="D211" t="s">
        <v>44</v>
      </c>
      <c r="E211" t="s">
        <v>45</v>
      </c>
      <c r="F211">
        <v>1074</v>
      </c>
      <c r="G211">
        <v>260</v>
      </c>
      <c r="H211">
        <v>125</v>
      </c>
      <c r="I211">
        <v>134250</v>
      </c>
      <c r="J211">
        <v>5370</v>
      </c>
      <c r="K211">
        <v>128880</v>
      </c>
      <c r="L211">
        <v>128880</v>
      </c>
      <c r="M211">
        <f>K211-L211</f>
        <v>0</v>
      </c>
      <c r="N211" s="1">
        <v>41730</v>
      </c>
      <c r="O211">
        <v>4</v>
      </c>
      <c r="P211" t="s">
        <v>43</v>
      </c>
      <c r="Q211">
        <v>2014</v>
      </c>
    </row>
    <row r="212" spans="1:17" x14ac:dyDescent="0.3">
      <c r="A212" t="str">
        <f t="shared" ca="1" si="3"/>
        <v>ORD-2014-Ger-3759</v>
      </c>
      <c r="B212" t="s">
        <v>17</v>
      </c>
      <c r="C212" t="s">
        <v>22</v>
      </c>
      <c r="D212" t="s">
        <v>44</v>
      </c>
      <c r="E212" t="s">
        <v>45</v>
      </c>
      <c r="F212">
        <v>1907</v>
      </c>
      <c r="G212">
        <v>260</v>
      </c>
      <c r="H212">
        <v>350</v>
      </c>
      <c r="I212">
        <v>667450</v>
      </c>
      <c r="J212">
        <v>26698</v>
      </c>
      <c r="K212">
        <v>640752</v>
      </c>
      <c r="L212">
        <v>495820</v>
      </c>
      <c r="M212">
        <v>144932</v>
      </c>
      <c r="N212" s="1">
        <v>41883</v>
      </c>
      <c r="O212">
        <v>9</v>
      </c>
      <c r="P212" t="s">
        <v>35</v>
      </c>
      <c r="Q212">
        <v>2014</v>
      </c>
    </row>
    <row r="213" spans="1:17" x14ac:dyDescent="0.3">
      <c r="A213" t="str">
        <f t="shared" ca="1" si="3"/>
        <v>ORD-2013-Uni-6345</v>
      </c>
      <c r="B213" t="s">
        <v>23</v>
      </c>
      <c r="C213" t="s">
        <v>37</v>
      </c>
      <c r="D213" t="s">
        <v>44</v>
      </c>
      <c r="E213" t="s">
        <v>45</v>
      </c>
      <c r="F213">
        <v>671</v>
      </c>
      <c r="G213">
        <v>260</v>
      </c>
      <c r="H213">
        <v>15</v>
      </c>
      <c r="I213">
        <v>10065</v>
      </c>
      <c r="J213">
        <v>402.6</v>
      </c>
      <c r="K213">
        <v>9662.4</v>
      </c>
      <c r="L213">
        <v>6710</v>
      </c>
      <c r="M213">
        <v>2952.4</v>
      </c>
      <c r="N213" s="1">
        <v>41548</v>
      </c>
      <c r="O213">
        <v>10</v>
      </c>
      <c r="P213" t="s">
        <v>36</v>
      </c>
      <c r="Q213">
        <v>2013</v>
      </c>
    </row>
    <row r="214" spans="1:17" x14ac:dyDescent="0.3">
      <c r="A214" t="str">
        <f t="shared" ca="1" si="3"/>
        <v>ORD-2013-Ca0-9380</v>
      </c>
      <c r="B214" t="s">
        <v>17</v>
      </c>
      <c r="C214" t="s">
        <v>18</v>
      </c>
      <c r="D214" t="s">
        <v>44</v>
      </c>
      <c r="E214" t="s">
        <v>45</v>
      </c>
      <c r="F214">
        <v>1778</v>
      </c>
      <c r="G214">
        <v>260</v>
      </c>
      <c r="H214">
        <v>350</v>
      </c>
      <c r="I214">
        <v>622300</v>
      </c>
      <c r="J214">
        <v>24892</v>
      </c>
      <c r="K214">
        <v>597408</v>
      </c>
      <c r="L214">
        <v>462280</v>
      </c>
      <c r="M214">
        <v>135128</v>
      </c>
      <c r="N214" s="1">
        <v>41609</v>
      </c>
      <c r="O214">
        <v>12</v>
      </c>
      <c r="P214" t="s">
        <v>27</v>
      </c>
      <c r="Q214">
        <v>2013</v>
      </c>
    </row>
    <row r="215" spans="1:17" x14ac:dyDescent="0.3">
      <c r="A215" t="str">
        <f t="shared" ca="1" si="3"/>
        <v>ORD-2013-Ger-5761</v>
      </c>
      <c r="B215" t="s">
        <v>17</v>
      </c>
      <c r="C215" t="s">
        <v>22</v>
      </c>
      <c r="D215" t="s">
        <v>28</v>
      </c>
      <c r="E215" t="s">
        <v>47</v>
      </c>
      <c r="F215">
        <v>1159</v>
      </c>
      <c r="G215">
        <v>5</v>
      </c>
      <c r="H215">
        <v>7</v>
      </c>
      <c r="I215">
        <v>8113</v>
      </c>
      <c r="J215">
        <v>405.65</v>
      </c>
      <c r="K215">
        <v>7707.35</v>
      </c>
      <c r="L215">
        <v>5795</v>
      </c>
      <c r="M215">
        <v>1912.35</v>
      </c>
      <c r="N215" s="1">
        <v>41548</v>
      </c>
      <c r="O215">
        <v>10</v>
      </c>
      <c r="P215" t="s">
        <v>36</v>
      </c>
      <c r="Q215">
        <v>2013</v>
      </c>
    </row>
    <row r="216" spans="1:17" x14ac:dyDescent="0.3">
      <c r="A216" t="str">
        <f t="shared" ca="1" si="3"/>
        <v>ORD-2014-Ger-1839</v>
      </c>
      <c r="B216" t="s">
        <v>17</v>
      </c>
      <c r="C216" t="s">
        <v>22</v>
      </c>
      <c r="D216" t="s">
        <v>38</v>
      </c>
      <c r="E216" t="s">
        <v>47</v>
      </c>
      <c r="F216">
        <v>1372</v>
      </c>
      <c r="G216">
        <v>10</v>
      </c>
      <c r="H216">
        <v>7</v>
      </c>
      <c r="I216">
        <v>9604</v>
      </c>
      <c r="J216">
        <v>480.2</v>
      </c>
      <c r="K216">
        <v>9123.7999999999993</v>
      </c>
      <c r="L216">
        <v>6860</v>
      </c>
      <c r="M216">
        <v>2263.8000000000002</v>
      </c>
      <c r="N216" s="1">
        <v>41640</v>
      </c>
      <c r="O216">
        <v>1</v>
      </c>
      <c r="P216" t="s">
        <v>21</v>
      </c>
      <c r="Q216">
        <v>2014</v>
      </c>
    </row>
    <row r="217" spans="1:17" x14ac:dyDescent="0.3">
      <c r="A217" t="str">
        <f t="shared" ca="1" si="3"/>
        <v>ORD-2013-Ca0-5525</v>
      </c>
      <c r="B217" t="s">
        <v>17</v>
      </c>
      <c r="C217" t="s">
        <v>18</v>
      </c>
      <c r="D217" t="s">
        <v>38</v>
      </c>
      <c r="E217" t="s">
        <v>47</v>
      </c>
      <c r="F217">
        <v>2349</v>
      </c>
      <c r="G217">
        <v>10</v>
      </c>
      <c r="H217">
        <v>7</v>
      </c>
      <c r="I217">
        <v>16443</v>
      </c>
      <c r="J217">
        <v>822.15</v>
      </c>
      <c r="K217">
        <v>15620.85</v>
      </c>
      <c r="L217">
        <v>11745</v>
      </c>
      <c r="M217">
        <v>3875.85</v>
      </c>
      <c r="N217" s="1">
        <v>41518</v>
      </c>
      <c r="O217">
        <v>9</v>
      </c>
      <c r="P217" t="s">
        <v>35</v>
      </c>
      <c r="Q217">
        <v>2013</v>
      </c>
    </row>
    <row r="218" spans="1:17" x14ac:dyDescent="0.3">
      <c r="A218" t="str">
        <f t="shared" ca="1" si="3"/>
        <v>ORD-2014-Mex-4847</v>
      </c>
      <c r="B218" t="s">
        <v>17</v>
      </c>
      <c r="C218" t="s">
        <v>26</v>
      </c>
      <c r="D218" t="s">
        <v>38</v>
      </c>
      <c r="E218" t="s">
        <v>47</v>
      </c>
      <c r="F218">
        <v>2689</v>
      </c>
      <c r="G218">
        <v>10</v>
      </c>
      <c r="H218">
        <v>7</v>
      </c>
      <c r="I218">
        <v>18823</v>
      </c>
      <c r="J218">
        <v>941.15</v>
      </c>
      <c r="K218">
        <v>17881.849999999999</v>
      </c>
      <c r="L218">
        <v>13445</v>
      </c>
      <c r="M218">
        <v>4436.8500000000004</v>
      </c>
      <c r="N218" s="1">
        <v>41913</v>
      </c>
      <c r="O218">
        <v>10</v>
      </c>
      <c r="P218" t="s">
        <v>36</v>
      </c>
      <c r="Q218">
        <v>2014</v>
      </c>
    </row>
    <row r="219" spans="1:17" x14ac:dyDescent="0.3">
      <c r="A219" t="str">
        <f t="shared" ca="1" si="3"/>
        <v>ORD-2014-Ca0-4988</v>
      </c>
      <c r="B219" t="s">
        <v>30</v>
      </c>
      <c r="C219" t="s">
        <v>18</v>
      </c>
      <c r="D219" t="s">
        <v>38</v>
      </c>
      <c r="E219" t="s">
        <v>47</v>
      </c>
      <c r="F219">
        <v>2431</v>
      </c>
      <c r="G219">
        <v>10</v>
      </c>
      <c r="H219">
        <v>12</v>
      </c>
      <c r="I219">
        <v>29172</v>
      </c>
      <c r="J219">
        <v>1458.6</v>
      </c>
      <c r="K219">
        <v>27713.4</v>
      </c>
      <c r="L219">
        <v>7293</v>
      </c>
      <c r="M219">
        <v>20420.400000000001</v>
      </c>
      <c r="N219" s="1">
        <v>41974</v>
      </c>
      <c r="O219">
        <v>12</v>
      </c>
      <c r="P219" t="s">
        <v>27</v>
      </c>
      <c r="Q219">
        <v>2014</v>
      </c>
    </row>
    <row r="220" spans="1:17" x14ac:dyDescent="0.3">
      <c r="A220" t="str">
        <f t="shared" ca="1" si="3"/>
        <v>ORD-2014-Ca0-9369</v>
      </c>
      <c r="B220" t="s">
        <v>30</v>
      </c>
      <c r="C220" t="s">
        <v>18</v>
      </c>
      <c r="D220" t="s">
        <v>41</v>
      </c>
      <c r="E220" t="s">
        <v>47</v>
      </c>
      <c r="F220">
        <v>2431</v>
      </c>
      <c r="G220">
        <v>120</v>
      </c>
      <c r="H220">
        <v>12</v>
      </c>
      <c r="I220">
        <v>29172</v>
      </c>
      <c r="J220">
        <v>1458.6</v>
      </c>
      <c r="K220">
        <v>27713.4</v>
      </c>
      <c r="L220">
        <v>7293</v>
      </c>
      <c r="M220">
        <v>20420.400000000001</v>
      </c>
      <c r="N220" s="1">
        <v>41974</v>
      </c>
      <c r="O220">
        <v>12</v>
      </c>
      <c r="P220" t="s">
        <v>27</v>
      </c>
      <c r="Q220">
        <v>2014</v>
      </c>
    </row>
    <row r="221" spans="1:17" x14ac:dyDescent="0.3">
      <c r="A221" t="str">
        <f t="shared" ca="1" si="3"/>
        <v>ORD-2014-Mex-6861</v>
      </c>
      <c r="B221" t="s">
        <v>17</v>
      </c>
      <c r="C221" t="s">
        <v>26</v>
      </c>
      <c r="D221" t="s">
        <v>42</v>
      </c>
      <c r="E221" t="s">
        <v>47</v>
      </c>
      <c r="F221">
        <v>2689</v>
      </c>
      <c r="G221">
        <v>250</v>
      </c>
      <c r="H221">
        <v>7</v>
      </c>
      <c r="I221">
        <v>18823</v>
      </c>
      <c r="J221">
        <v>941.15</v>
      </c>
      <c r="K221">
        <v>17881.849999999999</v>
      </c>
      <c r="L221">
        <v>13445</v>
      </c>
      <c r="M221">
        <v>4436.8500000000004</v>
      </c>
      <c r="N221" s="1">
        <v>41913</v>
      </c>
      <c r="O221">
        <v>10</v>
      </c>
      <c r="P221" t="s">
        <v>36</v>
      </c>
      <c r="Q221">
        <v>2014</v>
      </c>
    </row>
    <row r="222" spans="1:17" x14ac:dyDescent="0.3">
      <c r="A222" t="str">
        <f t="shared" ca="1" si="3"/>
        <v>ORD-2014-Mex-4462</v>
      </c>
      <c r="B222" t="s">
        <v>17</v>
      </c>
      <c r="C222" t="s">
        <v>26</v>
      </c>
      <c r="D222" t="s">
        <v>44</v>
      </c>
      <c r="E222" t="s">
        <v>47</v>
      </c>
      <c r="F222">
        <v>1683</v>
      </c>
      <c r="G222">
        <v>260</v>
      </c>
      <c r="H222">
        <v>7</v>
      </c>
      <c r="I222">
        <v>11781</v>
      </c>
      <c r="J222">
        <v>589.04999999999995</v>
      </c>
      <c r="K222">
        <v>11191.95</v>
      </c>
      <c r="L222">
        <v>8415</v>
      </c>
      <c r="M222">
        <v>2776.95</v>
      </c>
      <c r="N222" s="1">
        <v>41821</v>
      </c>
      <c r="O222">
        <v>7</v>
      </c>
      <c r="P222" t="s">
        <v>32</v>
      </c>
      <c r="Q222">
        <v>2014</v>
      </c>
    </row>
    <row r="223" spans="1:17" x14ac:dyDescent="0.3">
      <c r="A223" t="str">
        <f t="shared" ca="1" si="3"/>
        <v>ORD-2014-Mex-9313</v>
      </c>
      <c r="B223" t="s">
        <v>30</v>
      </c>
      <c r="C223" t="s">
        <v>26</v>
      </c>
      <c r="D223" t="s">
        <v>44</v>
      </c>
      <c r="E223" t="s">
        <v>47</v>
      </c>
      <c r="F223">
        <v>1123</v>
      </c>
      <c r="G223">
        <v>260</v>
      </c>
      <c r="H223">
        <v>12</v>
      </c>
      <c r="I223">
        <v>13476</v>
      </c>
      <c r="J223">
        <v>673.8</v>
      </c>
      <c r="K223">
        <v>12802.2</v>
      </c>
      <c r="L223">
        <v>3369</v>
      </c>
      <c r="M223">
        <v>9433.2000000000007</v>
      </c>
      <c r="N223" s="1">
        <v>41852</v>
      </c>
      <c r="O223">
        <v>8</v>
      </c>
      <c r="P223" t="s">
        <v>34</v>
      </c>
      <c r="Q223">
        <v>2014</v>
      </c>
    </row>
    <row r="224" spans="1:17" x14ac:dyDescent="0.3">
      <c r="A224" t="str">
        <f t="shared" ca="1" si="3"/>
        <v>ORD-2013-Ger-8977</v>
      </c>
      <c r="B224" t="s">
        <v>17</v>
      </c>
      <c r="C224" t="s">
        <v>22</v>
      </c>
      <c r="D224" t="s">
        <v>44</v>
      </c>
      <c r="E224" t="s">
        <v>47</v>
      </c>
      <c r="F224">
        <v>1159</v>
      </c>
      <c r="G224">
        <v>260</v>
      </c>
      <c r="H224">
        <v>7</v>
      </c>
      <c r="I224">
        <v>8113</v>
      </c>
      <c r="J224">
        <v>405.65</v>
      </c>
      <c r="K224">
        <v>7707.35</v>
      </c>
      <c r="L224">
        <v>5795</v>
      </c>
      <c r="M224">
        <v>1912.35</v>
      </c>
      <c r="N224" s="1">
        <v>41548</v>
      </c>
      <c r="O224">
        <v>10</v>
      </c>
      <c r="P224" t="s">
        <v>36</v>
      </c>
      <c r="Q224">
        <v>2013</v>
      </c>
    </row>
    <row r="225" spans="1:17" x14ac:dyDescent="0.3">
      <c r="A225" t="str">
        <f t="shared" ca="1" si="3"/>
        <v>ORD-2014-Fra-8216</v>
      </c>
      <c r="B225" t="s">
        <v>30</v>
      </c>
      <c r="C225" t="s">
        <v>24</v>
      </c>
      <c r="D225" t="s">
        <v>19</v>
      </c>
      <c r="E225" t="s">
        <v>47</v>
      </c>
      <c r="F225">
        <v>1865</v>
      </c>
      <c r="G225">
        <v>3</v>
      </c>
      <c r="H225">
        <v>12</v>
      </c>
      <c r="I225">
        <v>22380</v>
      </c>
      <c r="J225">
        <v>1119</v>
      </c>
      <c r="K225">
        <v>21261</v>
      </c>
      <c r="L225">
        <v>5595</v>
      </c>
      <c r="M225">
        <v>15666</v>
      </c>
      <c r="N225" s="1">
        <v>41671</v>
      </c>
      <c r="O225">
        <v>2</v>
      </c>
      <c r="P225" t="s">
        <v>39</v>
      </c>
      <c r="Q225">
        <v>2014</v>
      </c>
    </row>
    <row r="226" spans="1:17" x14ac:dyDescent="0.3">
      <c r="A226" t="str">
        <f t="shared" ca="1" si="3"/>
        <v>ORD-2014-Ger-5036</v>
      </c>
      <c r="B226" t="s">
        <v>30</v>
      </c>
      <c r="C226" t="s">
        <v>22</v>
      </c>
      <c r="D226" t="s">
        <v>19</v>
      </c>
      <c r="E226" t="s">
        <v>47</v>
      </c>
      <c r="F226">
        <v>1116</v>
      </c>
      <c r="G226">
        <v>3</v>
      </c>
      <c r="H226">
        <v>12</v>
      </c>
      <c r="I226">
        <v>13392</v>
      </c>
      <c r="J226">
        <v>669.6</v>
      </c>
      <c r="K226">
        <v>12722.4</v>
      </c>
      <c r="L226">
        <v>3348</v>
      </c>
      <c r="M226">
        <v>9374.4</v>
      </c>
      <c r="N226" s="1">
        <v>41671</v>
      </c>
      <c r="O226">
        <v>2</v>
      </c>
      <c r="P226" t="s">
        <v>39</v>
      </c>
      <c r="Q226">
        <v>2014</v>
      </c>
    </row>
    <row r="227" spans="1:17" x14ac:dyDescent="0.3">
      <c r="A227" t="str">
        <f t="shared" ca="1" si="3"/>
        <v>ORD-2014-Fra-3306</v>
      </c>
      <c r="B227" t="s">
        <v>17</v>
      </c>
      <c r="C227" t="s">
        <v>24</v>
      </c>
      <c r="D227" t="s">
        <v>19</v>
      </c>
      <c r="E227" t="s">
        <v>47</v>
      </c>
      <c r="F227">
        <v>1563</v>
      </c>
      <c r="G227">
        <v>3</v>
      </c>
      <c r="H227">
        <v>20</v>
      </c>
      <c r="I227">
        <v>31260</v>
      </c>
      <c r="J227">
        <v>1563</v>
      </c>
      <c r="K227">
        <v>29697</v>
      </c>
      <c r="L227">
        <v>15630</v>
      </c>
      <c r="M227">
        <v>14067</v>
      </c>
      <c r="N227" s="1">
        <v>41760</v>
      </c>
      <c r="O227">
        <v>5</v>
      </c>
      <c r="P227" t="s">
        <v>46</v>
      </c>
      <c r="Q227">
        <v>2014</v>
      </c>
    </row>
    <row r="228" spans="1:17" x14ac:dyDescent="0.3">
      <c r="A228" t="str">
        <f t="shared" ca="1" si="3"/>
        <v>ORD-2014-Uni-2307</v>
      </c>
      <c r="B228" t="s">
        <v>33</v>
      </c>
      <c r="C228" t="s">
        <v>37</v>
      </c>
      <c r="D228" t="s">
        <v>19</v>
      </c>
      <c r="E228" t="s">
        <v>47</v>
      </c>
      <c r="F228">
        <v>991</v>
      </c>
      <c r="G228">
        <v>3</v>
      </c>
      <c r="H228">
        <v>300</v>
      </c>
      <c r="I228">
        <v>297300</v>
      </c>
      <c r="J228">
        <v>14865</v>
      </c>
      <c r="K228">
        <v>282435</v>
      </c>
      <c r="L228">
        <v>247750</v>
      </c>
      <c r="M228">
        <v>34685</v>
      </c>
      <c r="N228" s="1">
        <v>41791</v>
      </c>
      <c r="O228">
        <v>6</v>
      </c>
      <c r="P228" t="s">
        <v>25</v>
      </c>
      <c r="Q228">
        <v>2014</v>
      </c>
    </row>
    <row r="229" spans="1:17" x14ac:dyDescent="0.3">
      <c r="A229" t="str">
        <f t="shared" ca="1" si="3"/>
        <v>ORD-2013-Ger-6716</v>
      </c>
      <c r="B229" t="s">
        <v>17</v>
      </c>
      <c r="C229" t="s">
        <v>22</v>
      </c>
      <c r="D229" t="s">
        <v>19</v>
      </c>
      <c r="E229" t="s">
        <v>47</v>
      </c>
      <c r="F229">
        <v>1016</v>
      </c>
      <c r="G229">
        <v>3</v>
      </c>
      <c r="H229">
        <v>7</v>
      </c>
      <c r="I229">
        <v>7112</v>
      </c>
      <c r="J229">
        <v>355.6</v>
      </c>
      <c r="K229">
        <v>6756.4</v>
      </c>
      <c r="L229">
        <v>5080</v>
      </c>
      <c r="M229">
        <v>1676.4</v>
      </c>
      <c r="N229" s="1">
        <v>41579</v>
      </c>
      <c r="O229">
        <v>11</v>
      </c>
      <c r="P229" t="s">
        <v>40</v>
      </c>
      <c r="Q229">
        <v>2013</v>
      </c>
    </row>
    <row r="230" spans="1:17" x14ac:dyDescent="0.3">
      <c r="A230" t="str">
        <f t="shared" ca="1" si="3"/>
        <v>ORD-2014-Mex-2591</v>
      </c>
      <c r="B230" t="s">
        <v>23</v>
      </c>
      <c r="C230" t="s">
        <v>26</v>
      </c>
      <c r="D230" t="s">
        <v>19</v>
      </c>
      <c r="E230" t="s">
        <v>47</v>
      </c>
      <c r="F230">
        <v>2791</v>
      </c>
      <c r="G230">
        <v>3</v>
      </c>
      <c r="H230">
        <v>15</v>
      </c>
      <c r="I230">
        <v>41865</v>
      </c>
      <c r="J230">
        <v>2093.25</v>
      </c>
      <c r="K230">
        <v>39771.75</v>
      </c>
      <c r="L230">
        <v>27910</v>
      </c>
      <c r="M230">
        <v>11861.75</v>
      </c>
      <c r="N230" s="1">
        <v>41944</v>
      </c>
      <c r="O230">
        <v>11</v>
      </c>
      <c r="P230" t="s">
        <v>40</v>
      </c>
      <c r="Q230">
        <v>2014</v>
      </c>
    </row>
    <row r="231" spans="1:17" x14ac:dyDescent="0.3">
      <c r="A231" t="str">
        <f t="shared" ca="1" si="3"/>
        <v>ORD-2014-Uni-9790</v>
      </c>
      <c r="B231" t="s">
        <v>17</v>
      </c>
      <c r="C231" t="s">
        <v>37</v>
      </c>
      <c r="D231" t="s">
        <v>19</v>
      </c>
      <c r="E231" t="s">
        <v>47</v>
      </c>
      <c r="F231">
        <v>570</v>
      </c>
      <c r="G231">
        <v>3</v>
      </c>
      <c r="H231">
        <v>7</v>
      </c>
      <c r="I231">
        <v>3990</v>
      </c>
      <c r="J231">
        <v>199.5</v>
      </c>
      <c r="K231">
        <v>3790.5</v>
      </c>
      <c r="L231">
        <v>2850</v>
      </c>
      <c r="M231">
        <v>940.5</v>
      </c>
      <c r="N231" s="1">
        <v>41974</v>
      </c>
      <c r="O231">
        <v>12</v>
      </c>
      <c r="P231" t="s">
        <v>27</v>
      </c>
      <c r="Q231">
        <v>2014</v>
      </c>
    </row>
    <row r="232" spans="1:17" x14ac:dyDescent="0.3">
      <c r="A232" t="str">
        <f t="shared" ca="1" si="3"/>
        <v>ORD-2014-Fra-3171</v>
      </c>
      <c r="B232" t="s">
        <v>17</v>
      </c>
      <c r="C232" t="s">
        <v>24</v>
      </c>
      <c r="D232" t="s">
        <v>19</v>
      </c>
      <c r="E232" t="s">
        <v>47</v>
      </c>
      <c r="F232">
        <v>2487</v>
      </c>
      <c r="G232">
        <v>3</v>
      </c>
      <c r="H232">
        <v>7</v>
      </c>
      <c r="I232">
        <v>17409</v>
      </c>
      <c r="J232">
        <v>870.45</v>
      </c>
      <c r="K232">
        <v>16538.55</v>
      </c>
      <c r="L232">
        <v>12435</v>
      </c>
      <c r="M232">
        <v>4103.55</v>
      </c>
      <c r="N232" s="1">
        <v>41974</v>
      </c>
      <c r="O232">
        <v>12</v>
      </c>
      <c r="P232" t="s">
        <v>27</v>
      </c>
      <c r="Q232">
        <v>2014</v>
      </c>
    </row>
    <row r="233" spans="1:17" x14ac:dyDescent="0.3">
      <c r="A233" t="str">
        <f t="shared" ca="1" si="3"/>
        <v>ORD-2014-Fra-1597</v>
      </c>
      <c r="B233" t="s">
        <v>17</v>
      </c>
      <c r="C233" t="s">
        <v>24</v>
      </c>
      <c r="D233" t="s">
        <v>28</v>
      </c>
      <c r="E233" t="s">
        <v>47</v>
      </c>
      <c r="F233">
        <v>1384.5</v>
      </c>
      <c r="G233">
        <v>5</v>
      </c>
      <c r="H233">
        <v>350</v>
      </c>
      <c r="I233">
        <v>484575</v>
      </c>
      <c r="J233">
        <v>24228.75</v>
      </c>
      <c r="K233">
        <v>460346.25</v>
      </c>
      <c r="L233">
        <v>359970</v>
      </c>
      <c r="M233">
        <v>100376.25</v>
      </c>
      <c r="N233" s="1">
        <v>41640</v>
      </c>
      <c r="O233">
        <v>1</v>
      </c>
      <c r="P233" t="s">
        <v>21</v>
      </c>
      <c r="Q233">
        <v>2014</v>
      </c>
    </row>
    <row r="234" spans="1:17" x14ac:dyDescent="0.3">
      <c r="A234" t="str">
        <f t="shared" ca="1" si="3"/>
        <v>ORD-2014-Uni-4804</v>
      </c>
      <c r="B234" t="s">
        <v>31</v>
      </c>
      <c r="C234" t="s">
        <v>37</v>
      </c>
      <c r="D234" t="s">
        <v>28</v>
      </c>
      <c r="E234" t="s">
        <v>47</v>
      </c>
      <c r="F234">
        <v>3627</v>
      </c>
      <c r="G234">
        <v>5</v>
      </c>
      <c r="H234">
        <v>125</v>
      </c>
      <c r="I234">
        <v>453375</v>
      </c>
      <c r="J234">
        <v>22668.75</v>
      </c>
      <c r="K234">
        <v>430706.25</v>
      </c>
      <c r="L234">
        <v>435240</v>
      </c>
      <c r="M234">
        <f>K234-L234</f>
        <v>-4533.75</v>
      </c>
      <c r="N234" s="1">
        <v>41821</v>
      </c>
      <c r="O234">
        <v>7</v>
      </c>
      <c r="P234" t="s">
        <v>32</v>
      </c>
      <c r="Q234">
        <v>2014</v>
      </c>
    </row>
    <row r="235" spans="1:17" x14ac:dyDescent="0.3">
      <c r="A235" t="str">
        <f t="shared" ca="1" si="3"/>
        <v>ORD-2013-Mex-5510</v>
      </c>
      <c r="B235" t="s">
        <v>17</v>
      </c>
      <c r="C235" t="s">
        <v>26</v>
      </c>
      <c r="D235" t="s">
        <v>28</v>
      </c>
      <c r="E235" t="s">
        <v>47</v>
      </c>
      <c r="F235">
        <v>720</v>
      </c>
      <c r="G235">
        <v>5</v>
      </c>
      <c r="H235">
        <v>350</v>
      </c>
      <c r="I235">
        <v>252000</v>
      </c>
      <c r="J235">
        <v>12600</v>
      </c>
      <c r="K235">
        <v>239400</v>
      </c>
      <c r="L235">
        <v>187200</v>
      </c>
      <c r="M235">
        <v>52200</v>
      </c>
      <c r="N235" s="1">
        <v>41518</v>
      </c>
      <c r="O235">
        <v>9</v>
      </c>
      <c r="P235" t="s">
        <v>35</v>
      </c>
      <c r="Q235">
        <v>2013</v>
      </c>
    </row>
    <row r="236" spans="1:17" x14ac:dyDescent="0.3">
      <c r="A236" t="str">
        <f t="shared" ca="1" si="3"/>
        <v>ORD-2014-Ger-7373</v>
      </c>
      <c r="B236" t="s">
        <v>30</v>
      </c>
      <c r="C236" t="s">
        <v>22</v>
      </c>
      <c r="D236" t="s">
        <v>28</v>
      </c>
      <c r="E236" t="s">
        <v>47</v>
      </c>
      <c r="F236">
        <v>2342</v>
      </c>
      <c r="G236">
        <v>5</v>
      </c>
      <c r="H236">
        <v>12</v>
      </c>
      <c r="I236">
        <v>28104</v>
      </c>
      <c r="J236">
        <v>1405.2</v>
      </c>
      <c r="K236">
        <v>26698.799999999999</v>
      </c>
      <c r="L236">
        <v>7026</v>
      </c>
      <c r="M236">
        <v>19672.8</v>
      </c>
      <c r="N236" s="1">
        <v>41944</v>
      </c>
      <c r="O236">
        <v>11</v>
      </c>
      <c r="P236" t="s">
        <v>40</v>
      </c>
      <c r="Q236">
        <v>2014</v>
      </c>
    </row>
    <row r="237" spans="1:17" x14ac:dyDescent="0.3">
      <c r="A237" t="str">
        <f t="shared" ca="1" si="3"/>
        <v>ORD-2013-Mex-4216</v>
      </c>
      <c r="B237" t="s">
        <v>33</v>
      </c>
      <c r="C237" t="s">
        <v>26</v>
      </c>
      <c r="D237" t="s">
        <v>28</v>
      </c>
      <c r="E237" t="s">
        <v>47</v>
      </c>
      <c r="F237">
        <v>1100</v>
      </c>
      <c r="G237">
        <v>5</v>
      </c>
      <c r="H237">
        <v>300</v>
      </c>
      <c r="I237">
        <v>330000</v>
      </c>
      <c r="J237">
        <v>16500</v>
      </c>
      <c r="K237">
        <v>313500</v>
      </c>
      <c r="L237">
        <v>275000</v>
      </c>
      <c r="M237">
        <v>38500</v>
      </c>
      <c r="N237" s="1">
        <v>41609</v>
      </c>
      <c r="O237">
        <v>12</v>
      </c>
      <c r="P237" t="s">
        <v>27</v>
      </c>
      <c r="Q237">
        <v>2013</v>
      </c>
    </row>
    <row r="238" spans="1:17" x14ac:dyDescent="0.3">
      <c r="A238" t="str">
        <f t="shared" ca="1" si="3"/>
        <v>ORD-2014-Fra-9937</v>
      </c>
      <c r="B238" t="s">
        <v>17</v>
      </c>
      <c r="C238" t="s">
        <v>24</v>
      </c>
      <c r="D238" t="s">
        <v>38</v>
      </c>
      <c r="E238" t="s">
        <v>47</v>
      </c>
      <c r="F238">
        <v>1303</v>
      </c>
      <c r="G238">
        <v>10</v>
      </c>
      <c r="H238">
        <v>20</v>
      </c>
      <c r="I238">
        <v>26060</v>
      </c>
      <c r="J238">
        <v>1303</v>
      </c>
      <c r="K238">
        <v>24757</v>
      </c>
      <c r="L238">
        <v>13030</v>
      </c>
      <c r="M238">
        <v>11727</v>
      </c>
      <c r="N238" s="1">
        <v>41671</v>
      </c>
      <c r="O238">
        <v>2</v>
      </c>
      <c r="P238" t="s">
        <v>39</v>
      </c>
      <c r="Q238">
        <v>2014</v>
      </c>
    </row>
    <row r="239" spans="1:17" x14ac:dyDescent="0.3">
      <c r="A239" t="str">
        <f t="shared" ca="1" si="3"/>
        <v>ORD-2014-Uni-3388</v>
      </c>
      <c r="B239" t="s">
        <v>31</v>
      </c>
      <c r="C239" t="s">
        <v>37</v>
      </c>
      <c r="D239" t="s">
        <v>38</v>
      </c>
      <c r="E239" t="s">
        <v>47</v>
      </c>
      <c r="F239">
        <v>2992</v>
      </c>
      <c r="G239">
        <v>10</v>
      </c>
      <c r="H239">
        <v>125</v>
      </c>
      <c r="I239">
        <v>374000</v>
      </c>
      <c r="J239">
        <v>18700</v>
      </c>
      <c r="K239">
        <v>355300</v>
      </c>
      <c r="L239">
        <v>359040</v>
      </c>
      <c r="M239">
        <f>K239-L239</f>
        <v>-3740</v>
      </c>
      <c r="N239" s="1">
        <v>41699</v>
      </c>
      <c r="O239">
        <v>3</v>
      </c>
      <c r="P239" t="s">
        <v>29</v>
      </c>
      <c r="Q239">
        <v>2014</v>
      </c>
    </row>
    <row r="240" spans="1:17" x14ac:dyDescent="0.3">
      <c r="A240" t="str">
        <f t="shared" ca="1" si="3"/>
        <v>ORD-2014-Fra-9945</v>
      </c>
      <c r="B240" t="s">
        <v>31</v>
      </c>
      <c r="C240" t="s">
        <v>24</v>
      </c>
      <c r="D240" t="s">
        <v>38</v>
      </c>
      <c r="E240" t="s">
        <v>47</v>
      </c>
      <c r="F240">
        <v>2385</v>
      </c>
      <c r="G240">
        <v>10</v>
      </c>
      <c r="H240">
        <v>125</v>
      </c>
      <c r="I240">
        <v>298125</v>
      </c>
      <c r="J240">
        <v>14906.25</v>
      </c>
      <c r="K240">
        <v>283218.75</v>
      </c>
      <c r="L240">
        <v>286200</v>
      </c>
      <c r="M240">
        <f>K240-L240</f>
        <v>-2981.25</v>
      </c>
      <c r="N240" s="1">
        <v>41699</v>
      </c>
      <c r="O240">
        <v>3</v>
      </c>
      <c r="P240" t="s">
        <v>29</v>
      </c>
      <c r="Q240">
        <v>2014</v>
      </c>
    </row>
    <row r="241" spans="1:17" x14ac:dyDescent="0.3">
      <c r="A241" t="str">
        <f t="shared" ca="1" si="3"/>
        <v>ORD-2014-Mex-8302</v>
      </c>
      <c r="B241" t="s">
        <v>33</v>
      </c>
      <c r="C241" t="s">
        <v>26</v>
      </c>
      <c r="D241" t="s">
        <v>38</v>
      </c>
      <c r="E241" t="s">
        <v>47</v>
      </c>
      <c r="F241">
        <v>1607</v>
      </c>
      <c r="G241">
        <v>10</v>
      </c>
      <c r="H241">
        <v>300</v>
      </c>
      <c r="I241">
        <v>482100</v>
      </c>
      <c r="J241">
        <v>24105</v>
      </c>
      <c r="K241">
        <v>457995</v>
      </c>
      <c r="L241">
        <v>401750</v>
      </c>
      <c r="M241">
        <v>56245</v>
      </c>
      <c r="N241" s="1">
        <v>41730</v>
      </c>
      <c r="O241">
        <v>4</v>
      </c>
      <c r="P241" t="s">
        <v>43</v>
      </c>
      <c r="Q241">
        <v>2014</v>
      </c>
    </row>
    <row r="242" spans="1:17" x14ac:dyDescent="0.3">
      <c r="A242" t="str">
        <f t="shared" ca="1" si="3"/>
        <v>ORD-2014-Uni-9417</v>
      </c>
      <c r="B242" t="s">
        <v>17</v>
      </c>
      <c r="C242" t="s">
        <v>37</v>
      </c>
      <c r="D242" t="s">
        <v>38</v>
      </c>
      <c r="E242" t="s">
        <v>47</v>
      </c>
      <c r="F242">
        <v>2327</v>
      </c>
      <c r="G242">
        <v>10</v>
      </c>
      <c r="H242">
        <v>7</v>
      </c>
      <c r="I242">
        <v>16289</v>
      </c>
      <c r="J242">
        <v>814.45</v>
      </c>
      <c r="K242">
        <v>15474.55</v>
      </c>
      <c r="L242">
        <v>11635</v>
      </c>
      <c r="M242">
        <v>3839.55</v>
      </c>
      <c r="N242" s="1">
        <v>41760</v>
      </c>
      <c r="O242">
        <v>5</v>
      </c>
      <c r="P242" t="s">
        <v>46</v>
      </c>
      <c r="Q242">
        <v>2014</v>
      </c>
    </row>
    <row r="243" spans="1:17" x14ac:dyDescent="0.3">
      <c r="A243" t="str">
        <f t="shared" ca="1" si="3"/>
        <v>ORD-2014-Uni-9399</v>
      </c>
      <c r="B243" t="s">
        <v>33</v>
      </c>
      <c r="C243" t="s">
        <v>37</v>
      </c>
      <c r="D243" t="s">
        <v>38</v>
      </c>
      <c r="E243" t="s">
        <v>47</v>
      </c>
      <c r="F243">
        <v>991</v>
      </c>
      <c r="G243">
        <v>10</v>
      </c>
      <c r="H243">
        <v>300</v>
      </c>
      <c r="I243">
        <v>297300</v>
      </c>
      <c r="J243">
        <v>14865</v>
      </c>
      <c r="K243">
        <v>282435</v>
      </c>
      <c r="L243">
        <v>247750</v>
      </c>
      <c r="M243">
        <v>34685</v>
      </c>
      <c r="N243" s="1">
        <v>41791</v>
      </c>
      <c r="O243">
        <v>6</v>
      </c>
      <c r="P243" t="s">
        <v>25</v>
      </c>
      <c r="Q243">
        <v>2014</v>
      </c>
    </row>
    <row r="244" spans="1:17" x14ac:dyDescent="0.3">
      <c r="A244" t="str">
        <f t="shared" ca="1" si="3"/>
        <v>ORD-2014-Uni-8138</v>
      </c>
      <c r="B244" t="s">
        <v>17</v>
      </c>
      <c r="C244" t="s">
        <v>37</v>
      </c>
      <c r="D244" t="s">
        <v>38</v>
      </c>
      <c r="E244" t="s">
        <v>47</v>
      </c>
      <c r="F244">
        <v>602</v>
      </c>
      <c r="G244">
        <v>10</v>
      </c>
      <c r="H244">
        <v>350</v>
      </c>
      <c r="I244">
        <v>210700</v>
      </c>
      <c r="J244">
        <v>10535</v>
      </c>
      <c r="K244">
        <v>200165</v>
      </c>
      <c r="L244">
        <v>156520</v>
      </c>
      <c r="M244">
        <v>43645</v>
      </c>
      <c r="N244" s="1">
        <v>41791</v>
      </c>
      <c r="O244">
        <v>6</v>
      </c>
      <c r="P244" t="s">
        <v>25</v>
      </c>
      <c r="Q244">
        <v>2014</v>
      </c>
    </row>
    <row r="245" spans="1:17" x14ac:dyDescent="0.3">
      <c r="A245" t="str">
        <f t="shared" ca="1" si="3"/>
        <v>ORD-2014-Fra-2019</v>
      </c>
      <c r="B245" t="s">
        <v>23</v>
      </c>
      <c r="C245" t="s">
        <v>24</v>
      </c>
      <c r="D245" t="s">
        <v>38</v>
      </c>
      <c r="E245" t="s">
        <v>47</v>
      </c>
      <c r="F245">
        <v>2620</v>
      </c>
      <c r="G245">
        <v>10</v>
      </c>
      <c r="H245">
        <v>15</v>
      </c>
      <c r="I245">
        <v>39300</v>
      </c>
      <c r="J245">
        <v>1965</v>
      </c>
      <c r="K245">
        <v>37335</v>
      </c>
      <c r="L245">
        <v>26200</v>
      </c>
      <c r="M245">
        <v>11135</v>
      </c>
      <c r="N245" s="1">
        <v>41883</v>
      </c>
      <c r="O245">
        <v>9</v>
      </c>
      <c r="P245" t="s">
        <v>35</v>
      </c>
      <c r="Q245">
        <v>2014</v>
      </c>
    </row>
    <row r="246" spans="1:17" x14ac:dyDescent="0.3">
      <c r="A246" t="str">
        <f t="shared" ca="1" si="3"/>
        <v>ORD-2013-Ca0-6672</v>
      </c>
      <c r="B246" t="s">
        <v>17</v>
      </c>
      <c r="C246" t="s">
        <v>18</v>
      </c>
      <c r="D246" t="s">
        <v>38</v>
      </c>
      <c r="E246" t="s">
        <v>47</v>
      </c>
      <c r="F246">
        <v>1228</v>
      </c>
      <c r="G246">
        <v>10</v>
      </c>
      <c r="H246">
        <v>350</v>
      </c>
      <c r="I246">
        <v>429800</v>
      </c>
      <c r="J246">
        <v>21490</v>
      </c>
      <c r="K246">
        <v>408310</v>
      </c>
      <c r="L246">
        <v>319280</v>
      </c>
      <c r="M246">
        <v>89030</v>
      </c>
      <c r="N246" s="1">
        <v>41548</v>
      </c>
      <c r="O246">
        <v>10</v>
      </c>
      <c r="P246" t="s">
        <v>36</v>
      </c>
      <c r="Q246">
        <v>2013</v>
      </c>
    </row>
    <row r="247" spans="1:17" x14ac:dyDescent="0.3">
      <c r="A247" t="str">
        <f t="shared" ca="1" si="3"/>
        <v>ORD-2013-Ca0-2498</v>
      </c>
      <c r="B247" t="s">
        <v>17</v>
      </c>
      <c r="C247" t="s">
        <v>18</v>
      </c>
      <c r="D247" t="s">
        <v>38</v>
      </c>
      <c r="E247" t="s">
        <v>47</v>
      </c>
      <c r="F247">
        <v>1389</v>
      </c>
      <c r="G247">
        <v>10</v>
      </c>
      <c r="H247">
        <v>20</v>
      </c>
      <c r="I247">
        <v>27780</v>
      </c>
      <c r="J247">
        <v>1389</v>
      </c>
      <c r="K247">
        <v>26391</v>
      </c>
      <c r="L247">
        <v>13890</v>
      </c>
      <c r="M247">
        <v>12501</v>
      </c>
      <c r="N247" s="1">
        <v>41548</v>
      </c>
      <c r="O247">
        <v>10</v>
      </c>
      <c r="P247" t="s">
        <v>36</v>
      </c>
      <c r="Q247">
        <v>2013</v>
      </c>
    </row>
    <row r="248" spans="1:17" x14ac:dyDescent="0.3">
      <c r="A248" t="str">
        <f t="shared" ca="1" si="3"/>
        <v>ORD-2014-Uni-7941</v>
      </c>
      <c r="B248" t="s">
        <v>31</v>
      </c>
      <c r="C248" t="s">
        <v>37</v>
      </c>
      <c r="D248" t="s">
        <v>38</v>
      </c>
      <c r="E248" t="s">
        <v>47</v>
      </c>
      <c r="F248">
        <v>861</v>
      </c>
      <c r="G248">
        <v>10</v>
      </c>
      <c r="H248">
        <v>125</v>
      </c>
      <c r="I248">
        <v>107625</v>
      </c>
      <c r="J248">
        <v>5381.25</v>
      </c>
      <c r="K248">
        <v>102243.75</v>
      </c>
      <c r="L248">
        <v>103320</v>
      </c>
      <c r="M248">
        <f>K248-L248</f>
        <v>-1076.25</v>
      </c>
      <c r="N248" s="1">
        <v>41913</v>
      </c>
      <c r="O248">
        <v>10</v>
      </c>
      <c r="P248" t="s">
        <v>36</v>
      </c>
      <c r="Q248">
        <v>2014</v>
      </c>
    </row>
    <row r="249" spans="1:17" x14ac:dyDescent="0.3">
      <c r="A249" t="str">
        <f t="shared" ca="1" si="3"/>
        <v>ORD-2013-Fra-2860</v>
      </c>
      <c r="B249" t="s">
        <v>31</v>
      </c>
      <c r="C249" t="s">
        <v>24</v>
      </c>
      <c r="D249" t="s">
        <v>38</v>
      </c>
      <c r="E249" t="s">
        <v>47</v>
      </c>
      <c r="F249">
        <v>704</v>
      </c>
      <c r="G249">
        <v>10</v>
      </c>
      <c r="H249">
        <v>125</v>
      </c>
      <c r="I249">
        <v>88000</v>
      </c>
      <c r="J249">
        <v>4400</v>
      </c>
      <c r="K249">
        <v>83600</v>
      </c>
      <c r="L249">
        <v>84480</v>
      </c>
      <c r="M249">
        <f>K249-L249</f>
        <v>-880</v>
      </c>
      <c r="N249" s="1">
        <v>41548</v>
      </c>
      <c r="O249">
        <v>10</v>
      </c>
      <c r="P249" t="s">
        <v>36</v>
      </c>
      <c r="Q249">
        <v>2013</v>
      </c>
    </row>
    <row r="250" spans="1:17" x14ac:dyDescent="0.3">
      <c r="A250" t="str">
        <f t="shared" ca="1" si="3"/>
        <v>ORD-2013-Ca0-9547</v>
      </c>
      <c r="B250" t="s">
        <v>17</v>
      </c>
      <c r="C250" t="s">
        <v>18</v>
      </c>
      <c r="D250" t="s">
        <v>38</v>
      </c>
      <c r="E250" t="s">
        <v>47</v>
      </c>
      <c r="F250">
        <v>1802</v>
      </c>
      <c r="G250">
        <v>10</v>
      </c>
      <c r="H250">
        <v>20</v>
      </c>
      <c r="I250">
        <v>36040</v>
      </c>
      <c r="J250">
        <v>1802</v>
      </c>
      <c r="K250">
        <v>34238</v>
      </c>
      <c r="L250">
        <v>18020</v>
      </c>
      <c r="M250">
        <v>16218</v>
      </c>
      <c r="N250" s="1">
        <v>41609</v>
      </c>
      <c r="O250">
        <v>12</v>
      </c>
      <c r="P250" t="s">
        <v>27</v>
      </c>
      <c r="Q250">
        <v>2013</v>
      </c>
    </row>
    <row r="251" spans="1:17" x14ac:dyDescent="0.3">
      <c r="A251" t="str">
        <f t="shared" ca="1" si="3"/>
        <v>ORD-2014-Uni-5367</v>
      </c>
      <c r="B251" t="s">
        <v>17</v>
      </c>
      <c r="C251" t="s">
        <v>37</v>
      </c>
      <c r="D251" t="s">
        <v>38</v>
      </c>
      <c r="E251" t="s">
        <v>47</v>
      </c>
      <c r="F251">
        <v>2663</v>
      </c>
      <c r="G251">
        <v>10</v>
      </c>
      <c r="H251">
        <v>20</v>
      </c>
      <c r="I251">
        <v>53260</v>
      </c>
      <c r="J251">
        <v>2663</v>
      </c>
      <c r="K251">
        <v>50597</v>
      </c>
      <c r="L251">
        <v>26630</v>
      </c>
      <c r="M251">
        <v>23967</v>
      </c>
      <c r="N251" s="1">
        <v>41974</v>
      </c>
      <c r="O251">
        <v>12</v>
      </c>
      <c r="P251" t="s">
        <v>27</v>
      </c>
      <c r="Q251">
        <v>2014</v>
      </c>
    </row>
    <row r="252" spans="1:17" x14ac:dyDescent="0.3">
      <c r="A252" t="str">
        <f t="shared" ca="1" si="3"/>
        <v>ORD-2013-Fra-1140</v>
      </c>
      <c r="B252" t="s">
        <v>17</v>
      </c>
      <c r="C252" t="s">
        <v>24</v>
      </c>
      <c r="D252" t="s">
        <v>38</v>
      </c>
      <c r="E252" t="s">
        <v>47</v>
      </c>
      <c r="F252">
        <v>2136</v>
      </c>
      <c r="G252">
        <v>10</v>
      </c>
      <c r="H252">
        <v>7</v>
      </c>
      <c r="I252">
        <v>14952</v>
      </c>
      <c r="J252">
        <v>747.6</v>
      </c>
      <c r="K252">
        <v>14204.4</v>
      </c>
      <c r="L252">
        <v>10680</v>
      </c>
      <c r="M252">
        <v>3524.4</v>
      </c>
      <c r="N252" s="1">
        <v>41609</v>
      </c>
      <c r="O252">
        <v>12</v>
      </c>
      <c r="P252" t="s">
        <v>27</v>
      </c>
      <c r="Q252">
        <v>2013</v>
      </c>
    </row>
    <row r="253" spans="1:17" x14ac:dyDescent="0.3">
      <c r="A253" t="str">
        <f t="shared" ca="1" si="3"/>
        <v>ORD-2013-Ger-2746</v>
      </c>
      <c r="B253" t="s">
        <v>23</v>
      </c>
      <c r="C253" t="s">
        <v>22</v>
      </c>
      <c r="D253" t="s">
        <v>38</v>
      </c>
      <c r="E253" t="s">
        <v>47</v>
      </c>
      <c r="F253">
        <v>2116</v>
      </c>
      <c r="G253">
        <v>10</v>
      </c>
      <c r="H253">
        <v>15</v>
      </c>
      <c r="I253">
        <v>31740</v>
      </c>
      <c r="J253">
        <v>1587</v>
      </c>
      <c r="K253">
        <v>30153</v>
      </c>
      <c r="L253">
        <v>21160</v>
      </c>
      <c r="M253">
        <v>8993</v>
      </c>
      <c r="N253" s="1">
        <v>41609</v>
      </c>
      <c r="O253">
        <v>12</v>
      </c>
      <c r="P253" t="s">
        <v>27</v>
      </c>
      <c r="Q253">
        <v>2013</v>
      </c>
    </row>
    <row r="254" spans="1:17" x14ac:dyDescent="0.3">
      <c r="A254" t="str">
        <f t="shared" ca="1" si="3"/>
        <v>ORD-2014-Uni-9367</v>
      </c>
      <c r="B254" t="s">
        <v>23</v>
      </c>
      <c r="C254" t="s">
        <v>37</v>
      </c>
      <c r="D254" t="s">
        <v>41</v>
      </c>
      <c r="E254" t="s">
        <v>47</v>
      </c>
      <c r="F254">
        <v>555</v>
      </c>
      <c r="G254">
        <v>120</v>
      </c>
      <c r="H254">
        <v>15</v>
      </c>
      <c r="I254">
        <v>8325</v>
      </c>
      <c r="J254">
        <v>416.25</v>
      </c>
      <c r="K254">
        <v>7908.75</v>
      </c>
      <c r="L254">
        <v>5550</v>
      </c>
      <c r="M254">
        <v>2358.75</v>
      </c>
      <c r="N254" s="1">
        <v>41640</v>
      </c>
      <c r="O254">
        <v>1</v>
      </c>
      <c r="P254" t="s">
        <v>21</v>
      </c>
      <c r="Q254">
        <v>2014</v>
      </c>
    </row>
    <row r="255" spans="1:17" x14ac:dyDescent="0.3">
      <c r="A255" t="str">
        <f t="shared" ca="1" si="3"/>
        <v>ORD-2014-Mex-7140</v>
      </c>
      <c r="B255" t="s">
        <v>23</v>
      </c>
      <c r="C255" t="s">
        <v>26</v>
      </c>
      <c r="D255" t="s">
        <v>41</v>
      </c>
      <c r="E255" t="s">
        <v>47</v>
      </c>
      <c r="F255">
        <v>2861</v>
      </c>
      <c r="G255">
        <v>120</v>
      </c>
      <c r="H255">
        <v>15</v>
      </c>
      <c r="I255">
        <v>42915</v>
      </c>
      <c r="J255">
        <v>2145.75</v>
      </c>
      <c r="K255">
        <v>40769.25</v>
      </c>
      <c r="L255">
        <v>28610</v>
      </c>
      <c r="M255">
        <v>12159.25</v>
      </c>
      <c r="N255" s="1">
        <v>41640</v>
      </c>
      <c r="O255">
        <v>1</v>
      </c>
      <c r="P255" t="s">
        <v>21</v>
      </c>
      <c r="Q255">
        <v>2014</v>
      </c>
    </row>
    <row r="256" spans="1:17" x14ac:dyDescent="0.3">
      <c r="A256" t="str">
        <f t="shared" ca="1" si="3"/>
        <v>ORD-2014-Ger-5018</v>
      </c>
      <c r="B256" t="s">
        <v>31</v>
      </c>
      <c r="C256" t="s">
        <v>22</v>
      </c>
      <c r="D256" t="s">
        <v>41</v>
      </c>
      <c r="E256" t="s">
        <v>47</v>
      </c>
      <c r="F256">
        <v>807</v>
      </c>
      <c r="G256">
        <v>120</v>
      </c>
      <c r="H256">
        <v>125</v>
      </c>
      <c r="I256">
        <v>100875</v>
      </c>
      <c r="J256">
        <v>5043.75</v>
      </c>
      <c r="K256">
        <v>95831.25</v>
      </c>
      <c r="L256">
        <v>96840</v>
      </c>
      <c r="M256">
        <f>K256-L256</f>
        <v>-1008.75</v>
      </c>
      <c r="N256" s="1">
        <v>41671</v>
      </c>
      <c r="O256">
        <v>2</v>
      </c>
      <c r="P256" t="s">
        <v>39</v>
      </c>
      <c r="Q256">
        <v>2014</v>
      </c>
    </row>
    <row r="257" spans="1:17" x14ac:dyDescent="0.3">
      <c r="A257" t="str">
        <f t="shared" ca="1" si="3"/>
        <v>ORD-2014-Uni-7823</v>
      </c>
      <c r="B257" t="s">
        <v>17</v>
      </c>
      <c r="C257" t="s">
        <v>37</v>
      </c>
      <c r="D257" t="s">
        <v>41</v>
      </c>
      <c r="E257" t="s">
        <v>47</v>
      </c>
      <c r="F257">
        <v>602</v>
      </c>
      <c r="G257">
        <v>120</v>
      </c>
      <c r="H257">
        <v>350</v>
      </c>
      <c r="I257">
        <v>210700</v>
      </c>
      <c r="J257">
        <v>10535</v>
      </c>
      <c r="K257">
        <v>200165</v>
      </c>
      <c r="L257">
        <v>156520</v>
      </c>
      <c r="M257">
        <v>43645</v>
      </c>
      <c r="N257" s="1">
        <v>41791</v>
      </c>
      <c r="O257">
        <v>6</v>
      </c>
      <c r="P257" t="s">
        <v>25</v>
      </c>
      <c r="Q257">
        <v>2014</v>
      </c>
    </row>
    <row r="258" spans="1:17" x14ac:dyDescent="0.3">
      <c r="A258" t="str">
        <f t="shared" ca="1" si="3"/>
        <v>ORD-2014-Uni-8293</v>
      </c>
      <c r="B258" t="s">
        <v>17</v>
      </c>
      <c r="C258" t="s">
        <v>37</v>
      </c>
      <c r="D258" t="s">
        <v>41</v>
      </c>
      <c r="E258" t="s">
        <v>47</v>
      </c>
      <c r="F258">
        <v>2832</v>
      </c>
      <c r="G258">
        <v>120</v>
      </c>
      <c r="H258">
        <v>20</v>
      </c>
      <c r="I258">
        <v>56640</v>
      </c>
      <c r="J258">
        <v>2832</v>
      </c>
      <c r="K258">
        <v>53808</v>
      </c>
      <c r="L258">
        <v>28320</v>
      </c>
      <c r="M258">
        <v>25488</v>
      </c>
      <c r="N258" s="1">
        <v>41852</v>
      </c>
      <c r="O258">
        <v>8</v>
      </c>
      <c r="P258" t="s">
        <v>34</v>
      </c>
      <c r="Q258">
        <v>2014</v>
      </c>
    </row>
    <row r="259" spans="1:17" x14ac:dyDescent="0.3">
      <c r="A259" t="str">
        <f t="shared" ref="A259:A322" ca="1" si="4">"ORD-" &amp; YEAR(N259) &amp; "-"  &amp; LEFT(C259,3) &amp; "-" &amp; RANDBETWEEN(1000,9999)</f>
        <v>ORD-2014-Fra-4401</v>
      </c>
      <c r="B259" t="s">
        <v>17</v>
      </c>
      <c r="C259" t="s">
        <v>24</v>
      </c>
      <c r="D259" t="s">
        <v>41</v>
      </c>
      <c r="E259" t="s">
        <v>47</v>
      </c>
      <c r="F259">
        <v>1579</v>
      </c>
      <c r="G259">
        <v>120</v>
      </c>
      <c r="H259">
        <v>20</v>
      </c>
      <c r="I259">
        <v>31580</v>
      </c>
      <c r="J259">
        <v>1579</v>
      </c>
      <c r="K259">
        <v>30001</v>
      </c>
      <c r="L259">
        <v>15790</v>
      </c>
      <c r="M259">
        <v>14211</v>
      </c>
      <c r="N259" s="1">
        <v>41852</v>
      </c>
      <c r="O259">
        <v>8</v>
      </c>
      <c r="P259" t="s">
        <v>34</v>
      </c>
      <c r="Q259">
        <v>2014</v>
      </c>
    </row>
    <row r="260" spans="1:17" x14ac:dyDescent="0.3">
      <c r="A260" t="str">
        <f t="shared" ca="1" si="4"/>
        <v>ORD-2014-Uni-9682</v>
      </c>
      <c r="B260" t="s">
        <v>31</v>
      </c>
      <c r="C260" t="s">
        <v>37</v>
      </c>
      <c r="D260" t="s">
        <v>41</v>
      </c>
      <c r="E260" t="s">
        <v>47</v>
      </c>
      <c r="F260">
        <v>861</v>
      </c>
      <c r="G260">
        <v>120</v>
      </c>
      <c r="H260">
        <v>125</v>
      </c>
      <c r="I260">
        <v>107625</v>
      </c>
      <c r="J260">
        <v>5381.25</v>
      </c>
      <c r="K260">
        <v>102243.75</v>
      </c>
      <c r="L260">
        <v>103320</v>
      </c>
      <c r="M260">
        <f>K260-L260</f>
        <v>-1076.25</v>
      </c>
      <c r="N260" s="1">
        <v>41913</v>
      </c>
      <c r="O260">
        <v>10</v>
      </c>
      <c r="P260" t="s">
        <v>36</v>
      </c>
      <c r="Q260">
        <v>2014</v>
      </c>
    </row>
    <row r="261" spans="1:17" x14ac:dyDescent="0.3">
      <c r="A261" t="str">
        <f t="shared" ca="1" si="4"/>
        <v>ORD-2013-Fra-9307</v>
      </c>
      <c r="B261" t="s">
        <v>31</v>
      </c>
      <c r="C261" t="s">
        <v>24</v>
      </c>
      <c r="D261" t="s">
        <v>41</v>
      </c>
      <c r="E261" t="s">
        <v>47</v>
      </c>
      <c r="F261">
        <v>704</v>
      </c>
      <c r="G261">
        <v>120</v>
      </c>
      <c r="H261">
        <v>125</v>
      </c>
      <c r="I261">
        <v>88000</v>
      </c>
      <c r="J261">
        <v>4400</v>
      </c>
      <c r="K261">
        <v>83600</v>
      </c>
      <c r="L261">
        <v>84480</v>
      </c>
      <c r="M261">
        <f>K261-L261</f>
        <v>-880</v>
      </c>
      <c r="N261" s="1">
        <v>41548</v>
      </c>
      <c r="O261">
        <v>10</v>
      </c>
      <c r="P261" t="s">
        <v>36</v>
      </c>
      <c r="Q261">
        <v>2013</v>
      </c>
    </row>
    <row r="262" spans="1:17" x14ac:dyDescent="0.3">
      <c r="A262" t="str">
        <f t="shared" ca="1" si="4"/>
        <v>ORD-2013-Fra-2727</v>
      </c>
      <c r="B262" t="s">
        <v>17</v>
      </c>
      <c r="C262" t="s">
        <v>24</v>
      </c>
      <c r="D262" t="s">
        <v>41</v>
      </c>
      <c r="E262" t="s">
        <v>47</v>
      </c>
      <c r="F262">
        <v>1033</v>
      </c>
      <c r="G262">
        <v>120</v>
      </c>
      <c r="H262">
        <v>20</v>
      </c>
      <c r="I262">
        <v>20660</v>
      </c>
      <c r="J262">
        <v>1033</v>
      </c>
      <c r="K262">
        <v>19627</v>
      </c>
      <c r="L262">
        <v>10330</v>
      </c>
      <c r="M262">
        <v>9297</v>
      </c>
      <c r="N262" s="1">
        <v>41609</v>
      </c>
      <c r="O262">
        <v>12</v>
      </c>
      <c r="P262" t="s">
        <v>27</v>
      </c>
      <c r="Q262">
        <v>2013</v>
      </c>
    </row>
    <row r="263" spans="1:17" x14ac:dyDescent="0.3">
      <c r="A263" t="str">
        <f t="shared" ca="1" si="4"/>
        <v>ORD-2014-Ger-3595</v>
      </c>
      <c r="B263" t="s">
        <v>33</v>
      </c>
      <c r="C263" t="s">
        <v>22</v>
      </c>
      <c r="D263" t="s">
        <v>41</v>
      </c>
      <c r="E263" t="s">
        <v>47</v>
      </c>
      <c r="F263">
        <v>1250</v>
      </c>
      <c r="G263">
        <v>120</v>
      </c>
      <c r="H263">
        <v>300</v>
      </c>
      <c r="I263">
        <v>375000</v>
      </c>
      <c r="J263">
        <v>18750</v>
      </c>
      <c r="K263">
        <v>356250</v>
      </c>
      <c r="L263">
        <v>312500</v>
      </c>
      <c r="M263">
        <v>43750</v>
      </c>
      <c r="N263" s="1">
        <v>41974</v>
      </c>
      <c r="O263">
        <v>12</v>
      </c>
      <c r="P263" t="s">
        <v>27</v>
      </c>
      <c r="Q263">
        <v>2014</v>
      </c>
    </row>
    <row r="264" spans="1:17" x14ac:dyDescent="0.3">
      <c r="A264" t="str">
        <f t="shared" ca="1" si="4"/>
        <v>ORD-2013-Ca0-3453</v>
      </c>
      <c r="B264" t="s">
        <v>17</v>
      </c>
      <c r="C264" t="s">
        <v>18</v>
      </c>
      <c r="D264" t="s">
        <v>42</v>
      </c>
      <c r="E264" t="s">
        <v>47</v>
      </c>
      <c r="F264">
        <v>1389</v>
      </c>
      <c r="G264">
        <v>250</v>
      </c>
      <c r="H264">
        <v>20</v>
      </c>
      <c r="I264">
        <v>27780</v>
      </c>
      <c r="J264">
        <v>1389</v>
      </c>
      <c r="K264">
        <v>26391</v>
      </c>
      <c r="L264">
        <v>13890</v>
      </c>
      <c r="M264">
        <v>12501</v>
      </c>
      <c r="N264" s="1">
        <v>41548</v>
      </c>
      <c r="O264">
        <v>10</v>
      </c>
      <c r="P264" t="s">
        <v>36</v>
      </c>
      <c r="Q264">
        <v>2013</v>
      </c>
    </row>
    <row r="265" spans="1:17" x14ac:dyDescent="0.3">
      <c r="A265" t="str">
        <f t="shared" ca="1" si="4"/>
        <v>ORD-2013-Uni-2560</v>
      </c>
      <c r="B265" t="s">
        <v>17</v>
      </c>
      <c r="C265" t="s">
        <v>37</v>
      </c>
      <c r="D265" t="s">
        <v>42</v>
      </c>
      <c r="E265" t="s">
        <v>47</v>
      </c>
      <c r="F265">
        <v>1265</v>
      </c>
      <c r="G265">
        <v>250</v>
      </c>
      <c r="H265">
        <v>20</v>
      </c>
      <c r="I265">
        <v>25300</v>
      </c>
      <c r="J265">
        <v>1265</v>
      </c>
      <c r="K265">
        <v>24035</v>
      </c>
      <c r="L265">
        <v>12650</v>
      </c>
      <c r="M265">
        <v>11385</v>
      </c>
      <c r="N265" s="1">
        <v>41579</v>
      </c>
      <c r="O265">
        <v>11</v>
      </c>
      <c r="P265" t="s">
        <v>40</v>
      </c>
      <c r="Q265">
        <v>2013</v>
      </c>
    </row>
    <row r="266" spans="1:17" x14ac:dyDescent="0.3">
      <c r="A266" t="str">
        <f t="shared" ca="1" si="4"/>
        <v>ORD-2013-Ger-8467</v>
      </c>
      <c r="B266" t="s">
        <v>17</v>
      </c>
      <c r="C266" t="s">
        <v>22</v>
      </c>
      <c r="D266" t="s">
        <v>42</v>
      </c>
      <c r="E266" t="s">
        <v>47</v>
      </c>
      <c r="F266">
        <v>2297</v>
      </c>
      <c r="G266">
        <v>250</v>
      </c>
      <c r="H266">
        <v>20</v>
      </c>
      <c r="I266">
        <v>45940</v>
      </c>
      <c r="J266">
        <v>2297</v>
      </c>
      <c r="K266">
        <v>43643</v>
      </c>
      <c r="L266">
        <v>22970</v>
      </c>
      <c r="M266">
        <v>20673</v>
      </c>
      <c r="N266" s="1">
        <v>41579</v>
      </c>
      <c r="O266">
        <v>11</v>
      </c>
      <c r="P266" t="s">
        <v>40</v>
      </c>
      <c r="Q266">
        <v>2013</v>
      </c>
    </row>
    <row r="267" spans="1:17" x14ac:dyDescent="0.3">
      <c r="A267" t="str">
        <f t="shared" ca="1" si="4"/>
        <v>ORD-2014-Uni-7908</v>
      </c>
      <c r="B267" t="s">
        <v>17</v>
      </c>
      <c r="C267" t="s">
        <v>37</v>
      </c>
      <c r="D267" t="s">
        <v>42</v>
      </c>
      <c r="E267" t="s">
        <v>47</v>
      </c>
      <c r="F267">
        <v>2663</v>
      </c>
      <c r="G267">
        <v>250</v>
      </c>
      <c r="H267">
        <v>20</v>
      </c>
      <c r="I267">
        <v>53260</v>
      </c>
      <c r="J267">
        <v>2663</v>
      </c>
      <c r="K267">
        <v>50597</v>
      </c>
      <c r="L267">
        <v>26630</v>
      </c>
      <c r="M267">
        <v>23967</v>
      </c>
      <c r="N267" s="1">
        <v>41974</v>
      </c>
      <c r="O267">
        <v>12</v>
      </c>
      <c r="P267" t="s">
        <v>27</v>
      </c>
      <c r="Q267">
        <v>2014</v>
      </c>
    </row>
    <row r="268" spans="1:17" x14ac:dyDescent="0.3">
      <c r="A268" t="str">
        <f t="shared" ca="1" si="4"/>
        <v>ORD-2014-Uni-4732</v>
      </c>
      <c r="B268" t="s">
        <v>17</v>
      </c>
      <c r="C268" t="s">
        <v>37</v>
      </c>
      <c r="D268" t="s">
        <v>42</v>
      </c>
      <c r="E268" t="s">
        <v>47</v>
      </c>
      <c r="F268">
        <v>570</v>
      </c>
      <c r="G268">
        <v>250</v>
      </c>
      <c r="H268">
        <v>7</v>
      </c>
      <c r="I268">
        <v>3990</v>
      </c>
      <c r="J268">
        <v>199.5</v>
      </c>
      <c r="K268">
        <v>3790.5</v>
      </c>
      <c r="L268">
        <v>2850</v>
      </c>
      <c r="M268">
        <v>940.5</v>
      </c>
      <c r="N268" s="1">
        <v>41974</v>
      </c>
      <c r="O268">
        <v>12</v>
      </c>
      <c r="P268" t="s">
        <v>27</v>
      </c>
      <c r="Q268">
        <v>2014</v>
      </c>
    </row>
    <row r="269" spans="1:17" x14ac:dyDescent="0.3">
      <c r="A269" t="str">
        <f t="shared" ca="1" si="4"/>
        <v>ORD-2014-Fra-8272</v>
      </c>
      <c r="B269" t="s">
        <v>17</v>
      </c>
      <c r="C269" t="s">
        <v>24</v>
      </c>
      <c r="D269" t="s">
        <v>42</v>
      </c>
      <c r="E269" t="s">
        <v>47</v>
      </c>
      <c r="F269">
        <v>2487</v>
      </c>
      <c r="G269">
        <v>250</v>
      </c>
      <c r="H269">
        <v>7</v>
      </c>
      <c r="I269">
        <v>17409</v>
      </c>
      <c r="J269">
        <v>870.45</v>
      </c>
      <c r="K269">
        <v>16538.55</v>
      </c>
      <c r="L269">
        <v>12435</v>
      </c>
      <c r="M269">
        <v>4103.55</v>
      </c>
      <c r="N269" s="1">
        <v>41974</v>
      </c>
      <c r="O269">
        <v>12</v>
      </c>
      <c r="P269" t="s">
        <v>27</v>
      </c>
      <c r="Q269">
        <v>2014</v>
      </c>
    </row>
    <row r="270" spans="1:17" x14ac:dyDescent="0.3">
      <c r="A270" t="str">
        <f t="shared" ca="1" si="4"/>
        <v>ORD-2014-Ger-5810</v>
      </c>
      <c r="B270" t="s">
        <v>17</v>
      </c>
      <c r="C270" t="s">
        <v>22</v>
      </c>
      <c r="D270" t="s">
        <v>44</v>
      </c>
      <c r="E270" t="s">
        <v>47</v>
      </c>
      <c r="F270">
        <v>1350</v>
      </c>
      <c r="G270">
        <v>260</v>
      </c>
      <c r="H270">
        <v>350</v>
      </c>
      <c r="I270">
        <v>472500</v>
      </c>
      <c r="J270">
        <v>23625</v>
      </c>
      <c r="K270">
        <v>448875</v>
      </c>
      <c r="L270">
        <v>351000</v>
      </c>
      <c r="M270">
        <v>97875</v>
      </c>
      <c r="N270" s="1">
        <v>41671</v>
      </c>
      <c r="O270">
        <v>2</v>
      </c>
      <c r="P270" t="s">
        <v>39</v>
      </c>
      <c r="Q270">
        <v>2014</v>
      </c>
    </row>
    <row r="271" spans="1:17" x14ac:dyDescent="0.3">
      <c r="A271" t="str">
        <f t="shared" ca="1" si="4"/>
        <v>ORD-2014-Ca0-2669</v>
      </c>
      <c r="B271" t="s">
        <v>17</v>
      </c>
      <c r="C271" t="s">
        <v>18</v>
      </c>
      <c r="D271" t="s">
        <v>44</v>
      </c>
      <c r="E271" t="s">
        <v>47</v>
      </c>
      <c r="F271">
        <v>552</v>
      </c>
      <c r="G271">
        <v>260</v>
      </c>
      <c r="H271">
        <v>350</v>
      </c>
      <c r="I271">
        <v>193200</v>
      </c>
      <c r="J271">
        <v>9660</v>
      </c>
      <c r="K271">
        <v>183540</v>
      </c>
      <c r="L271">
        <v>143520</v>
      </c>
      <c r="M271">
        <v>40020</v>
      </c>
      <c r="N271" s="1">
        <v>41852</v>
      </c>
      <c r="O271">
        <v>8</v>
      </c>
      <c r="P271" t="s">
        <v>34</v>
      </c>
      <c r="Q271">
        <v>2014</v>
      </c>
    </row>
    <row r="272" spans="1:17" x14ac:dyDescent="0.3">
      <c r="A272" t="str">
        <f t="shared" ca="1" si="4"/>
        <v>ORD-2013-Ca0-4595</v>
      </c>
      <c r="B272" t="s">
        <v>17</v>
      </c>
      <c r="C272" t="s">
        <v>18</v>
      </c>
      <c r="D272" t="s">
        <v>44</v>
      </c>
      <c r="E272" t="s">
        <v>47</v>
      </c>
      <c r="F272">
        <v>1228</v>
      </c>
      <c r="G272">
        <v>260</v>
      </c>
      <c r="H272">
        <v>350</v>
      </c>
      <c r="I272">
        <v>429800</v>
      </c>
      <c r="J272">
        <v>21490</v>
      </c>
      <c r="K272">
        <v>408310</v>
      </c>
      <c r="L272">
        <v>319280</v>
      </c>
      <c r="M272">
        <v>89030</v>
      </c>
      <c r="N272" s="1">
        <v>41548</v>
      </c>
      <c r="O272">
        <v>10</v>
      </c>
      <c r="P272" t="s">
        <v>36</v>
      </c>
      <c r="Q272">
        <v>2013</v>
      </c>
    </row>
    <row r="273" spans="1:17" x14ac:dyDescent="0.3">
      <c r="A273" t="str">
        <f t="shared" ca="1" si="4"/>
        <v>ORD-2014-Ger-8512</v>
      </c>
      <c r="B273" t="s">
        <v>33</v>
      </c>
      <c r="C273" t="s">
        <v>22</v>
      </c>
      <c r="D273" t="s">
        <v>44</v>
      </c>
      <c r="E273" t="s">
        <v>47</v>
      </c>
      <c r="F273">
        <v>1250</v>
      </c>
      <c r="G273">
        <v>260</v>
      </c>
      <c r="H273">
        <v>300</v>
      </c>
      <c r="I273">
        <v>375000</v>
      </c>
      <c r="J273">
        <v>18750</v>
      </c>
      <c r="K273">
        <v>356250</v>
      </c>
      <c r="L273">
        <v>312500</v>
      </c>
      <c r="M273">
        <v>43750</v>
      </c>
      <c r="N273" s="1">
        <v>41974</v>
      </c>
      <c r="O273">
        <v>12</v>
      </c>
      <c r="P273" t="s">
        <v>27</v>
      </c>
      <c r="Q273">
        <v>2014</v>
      </c>
    </row>
    <row r="274" spans="1:17" x14ac:dyDescent="0.3">
      <c r="A274" t="str">
        <f t="shared" ca="1" si="4"/>
        <v>ORD-2014-Fra-7661</v>
      </c>
      <c r="B274" t="s">
        <v>23</v>
      </c>
      <c r="C274" t="s">
        <v>24</v>
      </c>
      <c r="D274" t="s">
        <v>38</v>
      </c>
      <c r="E274" t="s">
        <v>47</v>
      </c>
      <c r="F274">
        <v>3801</v>
      </c>
      <c r="G274">
        <v>10</v>
      </c>
      <c r="H274">
        <v>15</v>
      </c>
      <c r="I274">
        <v>57015</v>
      </c>
      <c r="J274">
        <v>3420.9</v>
      </c>
      <c r="K274">
        <v>53594.1</v>
      </c>
      <c r="L274">
        <v>38010</v>
      </c>
      <c r="M274">
        <v>15584.1</v>
      </c>
      <c r="N274" s="1">
        <v>41730</v>
      </c>
      <c r="O274">
        <v>4</v>
      </c>
      <c r="P274" t="s">
        <v>43</v>
      </c>
      <c r="Q274">
        <v>2014</v>
      </c>
    </row>
    <row r="275" spans="1:17" x14ac:dyDescent="0.3">
      <c r="A275" t="str">
        <f t="shared" ca="1" si="4"/>
        <v>ORD-2014-Uni-6405</v>
      </c>
      <c r="B275" t="s">
        <v>17</v>
      </c>
      <c r="C275" t="s">
        <v>37</v>
      </c>
      <c r="D275" t="s">
        <v>19</v>
      </c>
      <c r="E275" t="s">
        <v>47</v>
      </c>
      <c r="F275">
        <v>1117.5</v>
      </c>
      <c r="G275">
        <v>3</v>
      </c>
      <c r="H275">
        <v>20</v>
      </c>
      <c r="I275">
        <v>22350</v>
      </c>
      <c r="J275">
        <v>1341</v>
      </c>
      <c r="K275">
        <v>21009</v>
      </c>
      <c r="L275">
        <v>11175</v>
      </c>
      <c r="M275">
        <v>9834</v>
      </c>
      <c r="N275" s="1">
        <v>41640</v>
      </c>
      <c r="O275">
        <v>1</v>
      </c>
      <c r="P275" t="s">
        <v>21</v>
      </c>
      <c r="Q275">
        <v>2014</v>
      </c>
    </row>
    <row r="276" spans="1:17" x14ac:dyDescent="0.3">
      <c r="A276" t="str">
        <f t="shared" ca="1" si="4"/>
        <v>ORD-2014-Ca0-1261</v>
      </c>
      <c r="B276" t="s">
        <v>23</v>
      </c>
      <c r="C276" t="s">
        <v>18</v>
      </c>
      <c r="D276" t="s">
        <v>19</v>
      </c>
      <c r="E276" t="s">
        <v>47</v>
      </c>
      <c r="F276">
        <v>2844</v>
      </c>
      <c r="G276">
        <v>3</v>
      </c>
      <c r="H276">
        <v>15</v>
      </c>
      <c r="I276">
        <v>42660</v>
      </c>
      <c r="J276">
        <v>2559.6</v>
      </c>
      <c r="K276">
        <v>40100.400000000001</v>
      </c>
      <c r="L276">
        <v>28440</v>
      </c>
      <c r="M276">
        <v>11660.4</v>
      </c>
      <c r="N276" s="1">
        <v>41791</v>
      </c>
      <c r="O276">
        <v>6</v>
      </c>
      <c r="P276" t="s">
        <v>25</v>
      </c>
      <c r="Q276">
        <v>2014</v>
      </c>
    </row>
    <row r="277" spans="1:17" x14ac:dyDescent="0.3">
      <c r="A277" t="str">
        <f t="shared" ca="1" si="4"/>
        <v>ORD-2014-Mex-7839</v>
      </c>
      <c r="B277" t="s">
        <v>30</v>
      </c>
      <c r="C277" t="s">
        <v>26</v>
      </c>
      <c r="D277" t="s">
        <v>19</v>
      </c>
      <c r="E277" t="s">
        <v>47</v>
      </c>
      <c r="F277">
        <v>562</v>
      </c>
      <c r="G277">
        <v>3</v>
      </c>
      <c r="H277">
        <v>12</v>
      </c>
      <c r="I277">
        <v>6744</v>
      </c>
      <c r="J277">
        <v>404.64</v>
      </c>
      <c r="K277">
        <v>6339.36</v>
      </c>
      <c r="L277">
        <v>1686</v>
      </c>
      <c r="M277">
        <v>4653.3599999999997</v>
      </c>
      <c r="N277" s="1">
        <v>41883</v>
      </c>
      <c r="O277">
        <v>9</v>
      </c>
      <c r="P277" t="s">
        <v>35</v>
      </c>
      <c r="Q277">
        <v>2014</v>
      </c>
    </row>
    <row r="278" spans="1:17" x14ac:dyDescent="0.3">
      <c r="A278" t="str">
        <f t="shared" ca="1" si="4"/>
        <v>ORD-2013-Ca0-4122</v>
      </c>
      <c r="B278" t="s">
        <v>30</v>
      </c>
      <c r="C278" t="s">
        <v>18</v>
      </c>
      <c r="D278" t="s">
        <v>19</v>
      </c>
      <c r="E278" t="s">
        <v>47</v>
      </c>
      <c r="F278">
        <v>2299</v>
      </c>
      <c r="G278">
        <v>3</v>
      </c>
      <c r="H278">
        <v>12</v>
      </c>
      <c r="I278">
        <v>27588</v>
      </c>
      <c r="J278">
        <v>1655.28</v>
      </c>
      <c r="K278">
        <v>25932.720000000001</v>
      </c>
      <c r="L278">
        <v>6897</v>
      </c>
      <c r="M278">
        <v>19035.72</v>
      </c>
      <c r="N278" s="1">
        <v>41548</v>
      </c>
      <c r="O278">
        <v>10</v>
      </c>
      <c r="P278" t="s">
        <v>36</v>
      </c>
      <c r="Q278">
        <v>2013</v>
      </c>
    </row>
    <row r="279" spans="1:17" x14ac:dyDescent="0.3">
      <c r="A279" t="str">
        <f t="shared" ca="1" si="4"/>
        <v>ORD-2014-Uni-8343</v>
      </c>
      <c r="B279" t="s">
        <v>23</v>
      </c>
      <c r="C279" t="s">
        <v>37</v>
      </c>
      <c r="D279" t="s">
        <v>19</v>
      </c>
      <c r="E279" t="s">
        <v>47</v>
      </c>
      <c r="F279">
        <v>2030</v>
      </c>
      <c r="G279">
        <v>3</v>
      </c>
      <c r="H279">
        <v>15</v>
      </c>
      <c r="I279">
        <v>30450</v>
      </c>
      <c r="J279">
        <v>1827</v>
      </c>
      <c r="K279">
        <v>28623</v>
      </c>
      <c r="L279">
        <v>20300</v>
      </c>
      <c r="M279">
        <v>8323</v>
      </c>
      <c r="N279" s="1">
        <v>41944</v>
      </c>
      <c r="O279">
        <v>11</v>
      </c>
      <c r="P279" t="s">
        <v>40</v>
      </c>
      <c r="Q279">
        <v>2014</v>
      </c>
    </row>
    <row r="280" spans="1:17" x14ac:dyDescent="0.3">
      <c r="A280" t="str">
        <f t="shared" ca="1" si="4"/>
        <v>ORD-2013-Uni-7049</v>
      </c>
      <c r="B280" t="s">
        <v>17</v>
      </c>
      <c r="C280" t="s">
        <v>37</v>
      </c>
      <c r="D280" t="s">
        <v>19</v>
      </c>
      <c r="E280" t="s">
        <v>47</v>
      </c>
      <c r="F280">
        <v>263</v>
      </c>
      <c r="G280">
        <v>3</v>
      </c>
      <c r="H280">
        <v>7</v>
      </c>
      <c r="I280">
        <v>1841</v>
      </c>
      <c r="J280">
        <v>110.46</v>
      </c>
      <c r="K280">
        <v>1730.54</v>
      </c>
      <c r="L280">
        <v>1315</v>
      </c>
      <c r="M280">
        <v>415.54</v>
      </c>
      <c r="N280" s="1">
        <v>41579</v>
      </c>
      <c r="O280">
        <v>11</v>
      </c>
      <c r="P280" t="s">
        <v>40</v>
      </c>
      <c r="Q280">
        <v>2013</v>
      </c>
    </row>
    <row r="281" spans="1:17" x14ac:dyDescent="0.3">
      <c r="A281" t="str">
        <f t="shared" ca="1" si="4"/>
        <v>ORD-2013-Ger-2598</v>
      </c>
      <c r="B281" t="s">
        <v>31</v>
      </c>
      <c r="C281" t="s">
        <v>22</v>
      </c>
      <c r="D281" t="s">
        <v>19</v>
      </c>
      <c r="E281" t="s">
        <v>47</v>
      </c>
      <c r="F281">
        <v>887</v>
      </c>
      <c r="G281">
        <v>3</v>
      </c>
      <c r="H281">
        <v>125</v>
      </c>
      <c r="I281">
        <v>110875</v>
      </c>
      <c r="J281">
        <v>6652.5</v>
      </c>
      <c r="K281">
        <v>104222.5</v>
      </c>
      <c r="L281">
        <v>106440</v>
      </c>
      <c r="M281">
        <f>K281-L281</f>
        <v>-2217.5</v>
      </c>
      <c r="N281" s="1">
        <v>41609</v>
      </c>
      <c r="O281">
        <v>12</v>
      </c>
      <c r="P281" t="s">
        <v>27</v>
      </c>
      <c r="Q281">
        <v>2013</v>
      </c>
    </row>
    <row r="282" spans="1:17" x14ac:dyDescent="0.3">
      <c r="A282" t="str">
        <f t="shared" ca="1" si="4"/>
        <v>ORD-2014-Mex-1054</v>
      </c>
      <c r="B282" t="s">
        <v>17</v>
      </c>
      <c r="C282" t="s">
        <v>26</v>
      </c>
      <c r="D282" t="s">
        <v>28</v>
      </c>
      <c r="E282" t="s">
        <v>47</v>
      </c>
      <c r="F282">
        <v>980</v>
      </c>
      <c r="G282">
        <v>5</v>
      </c>
      <c r="H282">
        <v>350</v>
      </c>
      <c r="I282">
        <v>343000</v>
      </c>
      <c r="J282">
        <v>20580</v>
      </c>
      <c r="K282">
        <v>322420</v>
      </c>
      <c r="L282">
        <v>254800</v>
      </c>
      <c r="M282">
        <v>67620</v>
      </c>
      <c r="N282" s="1">
        <v>41730</v>
      </c>
      <c r="O282">
        <v>4</v>
      </c>
      <c r="P282" t="s">
        <v>43</v>
      </c>
      <c r="Q282">
        <v>2014</v>
      </c>
    </row>
    <row r="283" spans="1:17" x14ac:dyDescent="0.3">
      <c r="A283" t="str">
        <f t="shared" ca="1" si="4"/>
        <v>ORD-2014-Ger-6712</v>
      </c>
      <c r="B283" t="s">
        <v>17</v>
      </c>
      <c r="C283" t="s">
        <v>22</v>
      </c>
      <c r="D283" t="s">
        <v>28</v>
      </c>
      <c r="E283" t="s">
        <v>47</v>
      </c>
      <c r="F283">
        <v>1460</v>
      </c>
      <c r="G283">
        <v>5</v>
      </c>
      <c r="H283">
        <v>350</v>
      </c>
      <c r="I283">
        <v>511000</v>
      </c>
      <c r="J283">
        <v>30660</v>
      </c>
      <c r="K283">
        <v>480340</v>
      </c>
      <c r="L283">
        <v>379600</v>
      </c>
      <c r="M283">
        <v>100740</v>
      </c>
      <c r="N283" s="1">
        <v>41760</v>
      </c>
      <c r="O283">
        <v>5</v>
      </c>
      <c r="P283" t="s">
        <v>46</v>
      </c>
      <c r="Q283">
        <v>2014</v>
      </c>
    </row>
    <row r="284" spans="1:17" x14ac:dyDescent="0.3">
      <c r="A284" t="str">
        <f t="shared" ca="1" si="4"/>
        <v>ORD-2013-Fra-1278</v>
      </c>
      <c r="B284" t="s">
        <v>17</v>
      </c>
      <c r="C284" t="s">
        <v>24</v>
      </c>
      <c r="D284" t="s">
        <v>28</v>
      </c>
      <c r="E284" t="s">
        <v>47</v>
      </c>
      <c r="F284">
        <v>1403</v>
      </c>
      <c r="G284">
        <v>5</v>
      </c>
      <c r="H284">
        <v>7</v>
      </c>
      <c r="I284">
        <v>9821</v>
      </c>
      <c r="J284">
        <v>589.26</v>
      </c>
      <c r="K284">
        <v>9231.74</v>
      </c>
      <c r="L284">
        <v>7015</v>
      </c>
      <c r="M284">
        <v>2216.7399999999998</v>
      </c>
      <c r="N284" s="1">
        <v>41548</v>
      </c>
      <c r="O284">
        <v>10</v>
      </c>
      <c r="P284" t="s">
        <v>36</v>
      </c>
      <c r="Q284">
        <v>2013</v>
      </c>
    </row>
    <row r="285" spans="1:17" x14ac:dyDescent="0.3">
      <c r="A285" t="str">
        <f t="shared" ca="1" si="4"/>
        <v>ORD-2014-Uni-9102</v>
      </c>
      <c r="B285" t="s">
        <v>30</v>
      </c>
      <c r="C285" t="s">
        <v>37</v>
      </c>
      <c r="D285" t="s">
        <v>28</v>
      </c>
      <c r="E285" t="s">
        <v>47</v>
      </c>
      <c r="F285">
        <v>2723</v>
      </c>
      <c r="G285">
        <v>5</v>
      </c>
      <c r="H285">
        <v>12</v>
      </c>
      <c r="I285">
        <v>32676</v>
      </c>
      <c r="J285">
        <v>1960.56</v>
      </c>
      <c r="K285">
        <v>30715.439999999999</v>
      </c>
      <c r="L285">
        <v>8169</v>
      </c>
      <c r="M285">
        <v>22546.44</v>
      </c>
      <c r="N285" s="1">
        <v>41944</v>
      </c>
      <c r="O285">
        <v>11</v>
      </c>
      <c r="P285" t="s">
        <v>40</v>
      </c>
      <c r="Q285">
        <v>2014</v>
      </c>
    </row>
    <row r="286" spans="1:17" x14ac:dyDescent="0.3">
      <c r="A286" t="str">
        <f t="shared" ca="1" si="4"/>
        <v>ORD-2014-Fra-4947</v>
      </c>
      <c r="B286" t="s">
        <v>17</v>
      </c>
      <c r="C286" t="s">
        <v>24</v>
      </c>
      <c r="D286" t="s">
        <v>38</v>
      </c>
      <c r="E286" t="s">
        <v>47</v>
      </c>
      <c r="F286">
        <v>1496</v>
      </c>
      <c r="G286">
        <v>10</v>
      </c>
      <c r="H286">
        <v>350</v>
      </c>
      <c r="I286">
        <v>523600</v>
      </c>
      <c r="J286">
        <v>31416</v>
      </c>
      <c r="K286">
        <v>492184</v>
      </c>
      <c r="L286">
        <v>388960</v>
      </c>
      <c r="M286">
        <v>103224</v>
      </c>
      <c r="N286" s="1">
        <v>41791</v>
      </c>
      <c r="O286">
        <v>6</v>
      </c>
      <c r="P286" t="s">
        <v>25</v>
      </c>
      <c r="Q286">
        <v>2014</v>
      </c>
    </row>
    <row r="287" spans="1:17" x14ac:dyDescent="0.3">
      <c r="A287" t="str">
        <f t="shared" ca="1" si="4"/>
        <v>ORD-2013-Ca0-3153</v>
      </c>
      <c r="B287" t="s">
        <v>30</v>
      </c>
      <c r="C287" t="s">
        <v>18</v>
      </c>
      <c r="D287" t="s">
        <v>38</v>
      </c>
      <c r="E287" t="s">
        <v>47</v>
      </c>
      <c r="F287">
        <v>2299</v>
      </c>
      <c r="G287">
        <v>10</v>
      </c>
      <c r="H287">
        <v>12</v>
      </c>
      <c r="I287">
        <v>27588</v>
      </c>
      <c r="J287">
        <v>1655.28</v>
      </c>
      <c r="K287">
        <v>25932.720000000001</v>
      </c>
      <c r="L287">
        <v>6897</v>
      </c>
      <c r="M287">
        <v>19035.72</v>
      </c>
      <c r="N287" s="1">
        <v>41548</v>
      </c>
      <c r="O287">
        <v>10</v>
      </c>
      <c r="P287" t="s">
        <v>36</v>
      </c>
      <c r="Q287">
        <v>2013</v>
      </c>
    </row>
    <row r="288" spans="1:17" x14ac:dyDescent="0.3">
      <c r="A288" t="str">
        <f t="shared" ca="1" si="4"/>
        <v>ORD-2013-Uni-9173</v>
      </c>
      <c r="B288" t="s">
        <v>17</v>
      </c>
      <c r="C288" t="s">
        <v>37</v>
      </c>
      <c r="D288" t="s">
        <v>38</v>
      </c>
      <c r="E288" t="s">
        <v>47</v>
      </c>
      <c r="F288">
        <v>727</v>
      </c>
      <c r="G288">
        <v>10</v>
      </c>
      <c r="H288">
        <v>350</v>
      </c>
      <c r="I288">
        <v>254450</v>
      </c>
      <c r="J288">
        <v>15267</v>
      </c>
      <c r="K288">
        <v>239183</v>
      </c>
      <c r="L288">
        <v>189020</v>
      </c>
      <c r="M288">
        <v>50163</v>
      </c>
      <c r="N288" s="1">
        <v>41548</v>
      </c>
      <c r="O288">
        <v>10</v>
      </c>
      <c r="P288" t="s">
        <v>36</v>
      </c>
      <c r="Q288">
        <v>2013</v>
      </c>
    </row>
    <row r="289" spans="1:17" x14ac:dyDescent="0.3">
      <c r="A289" t="str">
        <f t="shared" ca="1" si="4"/>
        <v>ORD-2014-Ca0-6357</v>
      </c>
      <c r="B289" t="s">
        <v>31</v>
      </c>
      <c r="C289" t="s">
        <v>18</v>
      </c>
      <c r="D289" t="s">
        <v>41</v>
      </c>
      <c r="E289" t="s">
        <v>47</v>
      </c>
      <c r="F289">
        <v>952</v>
      </c>
      <c r="G289">
        <v>120</v>
      </c>
      <c r="H289">
        <v>125</v>
      </c>
      <c r="I289">
        <v>119000</v>
      </c>
      <c r="J289">
        <v>7140</v>
      </c>
      <c r="K289">
        <v>111860</v>
      </c>
      <c r="L289">
        <v>114240</v>
      </c>
      <c r="M289">
        <f>K289-L289</f>
        <v>-2380</v>
      </c>
      <c r="N289" s="1">
        <v>41671</v>
      </c>
      <c r="O289">
        <v>2</v>
      </c>
      <c r="P289" t="s">
        <v>39</v>
      </c>
      <c r="Q289">
        <v>2014</v>
      </c>
    </row>
    <row r="290" spans="1:17" x14ac:dyDescent="0.3">
      <c r="A290" t="str">
        <f t="shared" ca="1" si="4"/>
        <v>ORD-2014-Uni-3785</v>
      </c>
      <c r="B290" t="s">
        <v>31</v>
      </c>
      <c r="C290" t="s">
        <v>37</v>
      </c>
      <c r="D290" t="s">
        <v>41</v>
      </c>
      <c r="E290" t="s">
        <v>47</v>
      </c>
      <c r="F290">
        <v>2755</v>
      </c>
      <c r="G290">
        <v>120</v>
      </c>
      <c r="H290">
        <v>125</v>
      </c>
      <c r="I290">
        <v>344375</v>
      </c>
      <c r="J290">
        <v>20662.5</v>
      </c>
      <c r="K290">
        <v>323712.5</v>
      </c>
      <c r="L290">
        <v>330600</v>
      </c>
      <c r="M290">
        <f>K290-L290</f>
        <v>-6887.5</v>
      </c>
      <c r="N290" s="1">
        <v>41671</v>
      </c>
      <c r="O290">
        <v>2</v>
      </c>
      <c r="P290" t="s">
        <v>39</v>
      </c>
      <c r="Q290">
        <v>2014</v>
      </c>
    </row>
    <row r="291" spans="1:17" x14ac:dyDescent="0.3">
      <c r="A291" t="str">
        <f t="shared" ca="1" si="4"/>
        <v>ORD-2014-Ger-1872</v>
      </c>
      <c r="B291" t="s">
        <v>23</v>
      </c>
      <c r="C291" t="s">
        <v>22</v>
      </c>
      <c r="D291" t="s">
        <v>41</v>
      </c>
      <c r="E291" t="s">
        <v>47</v>
      </c>
      <c r="F291">
        <v>1530</v>
      </c>
      <c r="G291">
        <v>120</v>
      </c>
      <c r="H291">
        <v>15</v>
      </c>
      <c r="I291">
        <v>22950</v>
      </c>
      <c r="J291">
        <v>1377</v>
      </c>
      <c r="K291">
        <v>21573</v>
      </c>
      <c r="L291">
        <v>15300</v>
      </c>
      <c r="M291">
        <v>6273</v>
      </c>
      <c r="N291" s="1">
        <v>41760</v>
      </c>
      <c r="O291">
        <v>5</v>
      </c>
      <c r="P291" t="s">
        <v>46</v>
      </c>
      <c r="Q291">
        <v>2014</v>
      </c>
    </row>
    <row r="292" spans="1:17" x14ac:dyDescent="0.3">
      <c r="A292" t="str">
        <f t="shared" ca="1" si="4"/>
        <v>ORD-2014-Fra-4582</v>
      </c>
      <c r="B292" t="s">
        <v>17</v>
      </c>
      <c r="C292" t="s">
        <v>24</v>
      </c>
      <c r="D292" t="s">
        <v>41</v>
      </c>
      <c r="E292" t="s">
        <v>47</v>
      </c>
      <c r="F292">
        <v>1496</v>
      </c>
      <c r="G292">
        <v>120</v>
      </c>
      <c r="H292">
        <v>350</v>
      </c>
      <c r="I292">
        <v>523600</v>
      </c>
      <c r="J292">
        <v>31416</v>
      </c>
      <c r="K292">
        <v>492184</v>
      </c>
      <c r="L292">
        <v>388960</v>
      </c>
      <c r="M292">
        <v>103224</v>
      </c>
      <c r="N292" s="1">
        <v>41791</v>
      </c>
      <c r="O292">
        <v>6</v>
      </c>
      <c r="P292" t="s">
        <v>25</v>
      </c>
      <c r="Q292">
        <v>2014</v>
      </c>
    </row>
    <row r="293" spans="1:17" x14ac:dyDescent="0.3">
      <c r="A293" t="str">
        <f t="shared" ca="1" si="4"/>
        <v>ORD-2014-Mex-6762</v>
      </c>
      <c r="B293" t="s">
        <v>17</v>
      </c>
      <c r="C293" t="s">
        <v>26</v>
      </c>
      <c r="D293" t="s">
        <v>41</v>
      </c>
      <c r="E293" t="s">
        <v>47</v>
      </c>
      <c r="F293">
        <v>1498</v>
      </c>
      <c r="G293">
        <v>120</v>
      </c>
      <c r="H293">
        <v>7</v>
      </c>
      <c r="I293">
        <v>10486</v>
      </c>
      <c r="J293">
        <v>629.16</v>
      </c>
      <c r="K293">
        <v>9856.84</v>
      </c>
      <c r="L293">
        <v>7490</v>
      </c>
      <c r="M293">
        <v>2366.84</v>
      </c>
      <c r="N293" s="1">
        <v>41791</v>
      </c>
      <c r="O293">
        <v>6</v>
      </c>
      <c r="P293" t="s">
        <v>25</v>
      </c>
      <c r="Q293">
        <v>2014</v>
      </c>
    </row>
    <row r="294" spans="1:17" x14ac:dyDescent="0.3">
      <c r="A294" t="str">
        <f t="shared" ca="1" si="4"/>
        <v>ORD-2013-Fra-4821</v>
      </c>
      <c r="B294" t="s">
        <v>33</v>
      </c>
      <c r="C294" t="s">
        <v>24</v>
      </c>
      <c r="D294" t="s">
        <v>41</v>
      </c>
      <c r="E294" t="s">
        <v>47</v>
      </c>
      <c r="F294">
        <v>1221</v>
      </c>
      <c r="G294">
        <v>120</v>
      </c>
      <c r="H294">
        <v>300</v>
      </c>
      <c r="I294">
        <v>366300</v>
      </c>
      <c r="J294">
        <v>21978</v>
      </c>
      <c r="K294">
        <v>344322</v>
      </c>
      <c r="L294">
        <v>305250</v>
      </c>
      <c r="M294">
        <v>39072</v>
      </c>
      <c r="N294" s="1">
        <v>41548</v>
      </c>
      <c r="O294">
        <v>10</v>
      </c>
      <c r="P294" t="s">
        <v>36</v>
      </c>
      <c r="Q294">
        <v>2013</v>
      </c>
    </row>
    <row r="295" spans="1:17" x14ac:dyDescent="0.3">
      <c r="A295" t="str">
        <f t="shared" ca="1" si="4"/>
        <v>ORD-2013-Fra-9599</v>
      </c>
      <c r="B295" t="s">
        <v>17</v>
      </c>
      <c r="C295" t="s">
        <v>24</v>
      </c>
      <c r="D295" t="s">
        <v>41</v>
      </c>
      <c r="E295" t="s">
        <v>47</v>
      </c>
      <c r="F295">
        <v>2076</v>
      </c>
      <c r="G295">
        <v>120</v>
      </c>
      <c r="H295">
        <v>350</v>
      </c>
      <c r="I295">
        <v>726600</v>
      </c>
      <c r="J295">
        <v>43596</v>
      </c>
      <c r="K295">
        <v>683004</v>
      </c>
      <c r="L295">
        <v>539760</v>
      </c>
      <c r="M295">
        <v>143244</v>
      </c>
      <c r="N295" s="1">
        <v>41548</v>
      </c>
      <c r="O295">
        <v>10</v>
      </c>
      <c r="P295" t="s">
        <v>36</v>
      </c>
      <c r="Q295">
        <v>2013</v>
      </c>
    </row>
    <row r="296" spans="1:17" x14ac:dyDescent="0.3">
      <c r="A296" t="str">
        <f t="shared" ca="1" si="4"/>
        <v>ORD-2014-Ca0-5652</v>
      </c>
      <c r="B296" t="s">
        <v>23</v>
      </c>
      <c r="C296" t="s">
        <v>18</v>
      </c>
      <c r="D296" t="s">
        <v>42</v>
      </c>
      <c r="E296" t="s">
        <v>47</v>
      </c>
      <c r="F296">
        <v>2844</v>
      </c>
      <c r="G296">
        <v>250</v>
      </c>
      <c r="H296">
        <v>15</v>
      </c>
      <c r="I296">
        <v>42660</v>
      </c>
      <c r="J296">
        <v>2559.6</v>
      </c>
      <c r="K296">
        <v>40100.400000000001</v>
      </c>
      <c r="L296">
        <v>28440</v>
      </c>
      <c r="M296">
        <v>11660.4</v>
      </c>
      <c r="N296" s="1">
        <v>41791</v>
      </c>
      <c r="O296">
        <v>6</v>
      </c>
      <c r="P296" t="s">
        <v>25</v>
      </c>
      <c r="Q296">
        <v>2014</v>
      </c>
    </row>
    <row r="297" spans="1:17" x14ac:dyDescent="0.3">
      <c r="A297" t="str">
        <f t="shared" ca="1" si="4"/>
        <v>ORD-2014-Mex-1937</v>
      </c>
      <c r="B297" t="s">
        <v>17</v>
      </c>
      <c r="C297" t="s">
        <v>26</v>
      </c>
      <c r="D297" t="s">
        <v>42</v>
      </c>
      <c r="E297" t="s">
        <v>47</v>
      </c>
      <c r="F297">
        <v>1498</v>
      </c>
      <c r="G297">
        <v>250</v>
      </c>
      <c r="H297">
        <v>7</v>
      </c>
      <c r="I297">
        <v>10486</v>
      </c>
      <c r="J297">
        <v>629.16</v>
      </c>
      <c r="K297">
        <v>9856.84</v>
      </c>
      <c r="L297">
        <v>7490</v>
      </c>
      <c r="M297">
        <v>2366.84</v>
      </c>
      <c r="N297" s="1">
        <v>41791</v>
      </c>
      <c r="O297">
        <v>6</v>
      </c>
      <c r="P297" t="s">
        <v>25</v>
      </c>
      <c r="Q297">
        <v>2014</v>
      </c>
    </row>
    <row r="298" spans="1:17" x14ac:dyDescent="0.3">
      <c r="A298" t="str">
        <f t="shared" ca="1" si="4"/>
        <v>ORD-2013-Fra-7781</v>
      </c>
      <c r="B298" t="s">
        <v>33</v>
      </c>
      <c r="C298" t="s">
        <v>24</v>
      </c>
      <c r="D298" t="s">
        <v>42</v>
      </c>
      <c r="E298" t="s">
        <v>47</v>
      </c>
      <c r="F298">
        <v>1221</v>
      </c>
      <c r="G298">
        <v>250</v>
      </c>
      <c r="H298">
        <v>300</v>
      </c>
      <c r="I298">
        <v>366300</v>
      </c>
      <c r="J298">
        <v>21978</v>
      </c>
      <c r="K298">
        <v>344322</v>
      </c>
      <c r="L298">
        <v>305250</v>
      </c>
      <c r="M298">
        <v>39072</v>
      </c>
      <c r="N298" s="1">
        <v>41548</v>
      </c>
      <c r="O298">
        <v>10</v>
      </c>
      <c r="P298" t="s">
        <v>36</v>
      </c>
      <c r="Q298">
        <v>2013</v>
      </c>
    </row>
    <row r="299" spans="1:17" x14ac:dyDescent="0.3">
      <c r="A299" t="str">
        <f t="shared" ca="1" si="4"/>
        <v>ORD-2013-Mex-9057</v>
      </c>
      <c r="B299" t="s">
        <v>17</v>
      </c>
      <c r="C299" t="s">
        <v>26</v>
      </c>
      <c r="D299" t="s">
        <v>42</v>
      </c>
      <c r="E299" t="s">
        <v>47</v>
      </c>
      <c r="F299">
        <v>1123</v>
      </c>
      <c r="G299">
        <v>250</v>
      </c>
      <c r="H299">
        <v>20</v>
      </c>
      <c r="I299">
        <v>22460</v>
      </c>
      <c r="J299">
        <v>1347.6</v>
      </c>
      <c r="K299">
        <v>21112.400000000001</v>
      </c>
      <c r="L299">
        <v>11230</v>
      </c>
      <c r="M299">
        <v>9882.4</v>
      </c>
      <c r="N299" s="1">
        <v>41579</v>
      </c>
      <c r="O299">
        <v>11</v>
      </c>
      <c r="P299" t="s">
        <v>40</v>
      </c>
      <c r="Q299">
        <v>2013</v>
      </c>
    </row>
    <row r="300" spans="1:17" x14ac:dyDescent="0.3">
      <c r="A300" t="str">
        <f t="shared" ca="1" si="4"/>
        <v>ORD-2013-Ca0-2640</v>
      </c>
      <c r="B300" t="s">
        <v>33</v>
      </c>
      <c r="C300" t="s">
        <v>18</v>
      </c>
      <c r="D300" t="s">
        <v>42</v>
      </c>
      <c r="E300" t="s">
        <v>47</v>
      </c>
      <c r="F300">
        <v>2436</v>
      </c>
      <c r="G300">
        <v>250</v>
      </c>
      <c r="H300">
        <v>300</v>
      </c>
      <c r="I300">
        <v>730800</v>
      </c>
      <c r="J300">
        <v>43848</v>
      </c>
      <c r="K300">
        <v>686952</v>
      </c>
      <c r="L300">
        <v>609000</v>
      </c>
      <c r="M300">
        <v>77952</v>
      </c>
      <c r="N300" s="1">
        <v>41609</v>
      </c>
      <c r="O300">
        <v>12</v>
      </c>
      <c r="P300" t="s">
        <v>27</v>
      </c>
      <c r="Q300">
        <v>2013</v>
      </c>
    </row>
    <row r="301" spans="1:17" x14ac:dyDescent="0.3">
      <c r="A301" t="str">
        <f t="shared" ca="1" si="4"/>
        <v>ORD-2014-Fra-8368</v>
      </c>
      <c r="B301" t="s">
        <v>31</v>
      </c>
      <c r="C301" t="s">
        <v>24</v>
      </c>
      <c r="D301" t="s">
        <v>44</v>
      </c>
      <c r="E301" t="s">
        <v>47</v>
      </c>
      <c r="F301">
        <v>1987.5</v>
      </c>
      <c r="G301">
        <v>260</v>
      </c>
      <c r="H301">
        <v>125</v>
      </c>
      <c r="I301">
        <v>248437.5</v>
      </c>
      <c r="J301">
        <v>14906.25</v>
      </c>
      <c r="K301">
        <v>233531.25</v>
      </c>
      <c r="L301">
        <v>238500</v>
      </c>
      <c r="M301">
        <f>K301-L301</f>
        <v>-4968.75</v>
      </c>
      <c r="N301" s="1">
        <v>41640</v>
      </c>
      <c r="O301">
        <v>1</v>
      </c>
      <c r="P301" t="s">
        <v>21</v>
      </c>
      <c r="Q301">
        <v>2014</v>
      </c>
    </row>
    <row r="302" spans="1:17" x14ac:dyDescent="0.3">
      <c r="A302" t="str">
        <f t="shared" ca="1" si="4"/>
        <v>ORD-2014-Mex-8236</v>
      </c>
      <c r="B302" t="s">
        <v>17</v>
      </c>
      <c r="C302" t="s">
        <v>26</v>
      </c>
      <c r="D302" t="s">
        <v>44</v>
      </c>
      <c r="E302" t="s">
        <v>47</v>
      </c>
      <c r="F302">
        <v>1679</v>
      </c>
      <c r="G302">
        <v>260</v>
      </c>
      <c r="H302">
        <v>350</v>
      </c>
      <c r="I302">
        <v>587650</v>
      </c>
      <c r="J302">
        <v>35259</v>
      </c>
      <c r="K302">
        <v>552391</v>
      </c>
      <c r="L302">
        <v>436540</v>
      </c>
      <c r="M302">
        <v>115851</v>
      </c>
      <c r="N302" s="1">
        <v>41883</v>
      </c>
      <c r="O302">
        <v>9</v>
      </c>
      <c r="P302" t="s">
        <v>35</v>
      </c>
      <c r="Q302">
        <v>2014</v>
      </c>
    </row>
    <row r="303" spans="1:17" x14ac:dyDescent="0.3">
      <c r="A303" t="str">
        <f t="shared" ca="1" si="4"/>
        <v>ORD-2013-Uni-4734</v>
      </c>
      <c r="B303" t="s">
        <v>17</v>
      </c>
      <c r="C303" t="s">
        <v>37</v>
      </c>
      <c r="D303" t="s">
        <v>44</v>
      </c>
      <c r="E303" t="s">
        <v>47</v>
      </c>
      <c r="F303">
        <v>727</v>
      </c>
      <c r="G303">
        <v>260</v>
      </c>
      <c r="H303">
        <v>350</v>
      </c>
      <c r="I303">
        <v>254450</v>
      </c>
      <c r="J303">
        <v>15267</v>
      </c>
      <c r="K303">
        <v>239183</v>
      </c>
      <c r="L303">
        <v>189020</v>
      </c>
      <c r="M303">
        <v>50163</v>
      </c>
      <c r="N303" s="1">
        <v>41548</v>
      </c>
      <c r="O303">
        <v>10</v>
      </c>
      <c r="P303" t="s">
        <v>36</v>
      </c>
      <c r="Q303">
        <v>2013</v>
      </c>
    </row>
    <row r="304" spans="1:17" x14ac:dyDescent="0.3">
      <c r="A304" t="str">
        <f t="shared" ca="1" si="4"/>
        <v>ORD-2013-Fra-7987</v>
      </c>
      <c r="B304" t="s">
        <v>17</v>
      </c>
      <c r="C304" t="s">
        <v>24</v>
      </c>
      <c r="D304" t="s">
        <v>44</v>
      </c>
      <c r="E304" t="s">
        <v>47</v>
      </c>
      <c r="F304">
        <v>1403</v>
      </c>
      <c r="G304">
        <v>260</v>
      </c>
      <c r="H304">
        <v>7</v>
      </c>
      <c r="I304">
        <v>9821</v>
      </c>
      <c r="J304">
        <v>589.26</v>
      </c>
      <c r="K304">
        <v>9231.74</v>
      </c>
      <c r="L304">
        <v>7015</v>
      </c>
      <c r="M304">
        <v>2216.7399999999998</v>
      </c>
      <c r="N304" s="1">
        <v>41548</v>
      </c>
      <c r="O304">
        <v>10</v>
      </c>
      <c r="P304" t="s">
        <v>36</v>
      </c>
      <c r="Q304">
        <v>2013</v>
      </c>
    </row>
    <row r="305" spans="1:17" x14ac:dyDescent="0.3">
      <c r="A305" t="str">
        <f t="shared" ca="1" si="4"/>
        <v>ORD-2013-Fra-9061</v>
      </c>
      <c r="B305" t="s">
        <v>17</v>
      </c>
      <c r="C305" t="s">
        <v>24</v>
      </c>
      <c r="D305" t="s">
        <v>44</v>
      </c>
      <c r="E305" t="s">
        <v>47</v>
      </c>
      <c r="F305">
        <v>2076</v>
      </c>
      <c r="G305">
        <v>260</v>
      </c>
      <c r="H305">
        <v>350</v>
      </c>
      <c r="I305">
        <v>726600</v>
      </c>
      <c r="J305">
        <v>43596</v>
      </c>
      <c r="K305">
        <v>683004</v>
      </c>
      <c r="L305">
        <v>539760</v>
      </c>
      <c r="M305">
        <v>143244</v>
      </c>
      <c r="N305" s="1">
        <v>41548</v>
      </c>
      <c r="O305">
        <v>10</v>
      </c>
      <c r="P305" t="s">
        <v>36</v>
      </c>
      <c r="Q305">
        <v>2013</v>
      </c>
    </row>
    <row r="306" spans="1:17" x14ac:dyDescent="0.3">
      <c r="A306" t="str">
        <f t="shared" ca="1" si="4"/>
        <v>ORD-2013-Fra-5024</v>
      </c>
      <c r="B306" t="s">
        <v>17</v>
      </c>
      <c r="C306" t="s">
        <v>24</v>
      </c>
      <c r="D306" t="s">
        <v>28</v>
      </c>
      <c r="E306" t="s">
        <v>47</v>
      </c>
      <c r="F306">
        <v>1757</v>
      </c>
      <c r="G306">
        <v>5</v>
      </c>
      <c r="H306">
        <v>20</v>
      </c>
      <c r="I306">
        <v>35140</v>
      </c>
      <c r="J306">
        <v>2108.4</v>
      </c>
      <c r="K306">
        <v>33031.599999999999</v>
      </c>
      <c r="L306">
        <v>17570</v>
      </c>
      <c r="M306">
        <v>15461.6</v>
      </c>
      <c r="N306" s="1">
        <v>41548</v>
      </c>
      <c r="O306">
        <v>10</v>
      </c>
      <c r="P306" t="s">
        <v>36</v>
      </c>
      <c r="Q306">
        <v>2013</v>
      </c>
    </row>
    <row r="307" spans="1:17" x14ac:dyDescent="0.3">
      <c r="A307" t="str">
        <f t="shared" ca="1" si="4"/>
        <v>ORD-2014-Uni-4939</v>
      </c>
      <c r="B307" t="s">
        <v>23</v>
      </c>
      <c r="C307" t="s">
        <v>37</v>
      </c>
      <c r="D307" t="s">
        <v>38</v>
      </c>
      <c r="E307" t="s">
        <v>47</v>
      </c>
      <c r="F307">
        <v>2198</v>
      </c>
      <c r="G307">
        <v>10</v>
      </c>
      <c r="H307">
        <v>15</v>
      </c>
      <c r="I307">
        <v>32970</v>
      </c>
      <c r="J307">
        <v>1978.2</v>
      </c>
      <c r="K307">
        <v>30991.8</v>
      </c>
      <c r="L307">
        <v>21980</v>
      </c>
      <c r="M307">
        <v>9011.7999999999993</v>
      </c>
      <c r="N307" s="1">
        <v>41852</v>
      </c>
      <c r="O307">
        <v>8</v>
      </c>
      <c r="P307" t="s">
        <v>34</v>
      </c>
      <c r="Q307">
        <v>2014</v>
      </c>
    </row>
    <row r="308" spans="1:17" x14ac:dyDescent="0.3">
      <c r="A308" t="str">
        <f t="shared" ca="1" si="4"/>
        <v>ORD-2014-Ger-3101</v>
      </c>
      <c r="B308" t="s">
        <v>23</v>
      </c>
      <c r="C308" t="s">
        <v>22</v>
      </c>
      <c r="D308" t="s">
        <v>38</v>
      </c>
      <c r="E308" t="s">
        <v>47</v>
      </c>
      <c r="F308">
        <v>1743</v>
      </c>
      <c r="G308">
        <v>10</v>
      </c>
      <c r="H308">
        <v>15</v>
      </c>
      <c r="I308">
        <v>26145</v>
      </c>
      <c r="J308">
        <v>1568.7</v>
      </c>
      <c r="K308">
        <v>24576.3</v>
      </c>
      <c r="L308">
        <v>17430</v>
      </c>
      <c r="M308">
        <v>7146.3</v>
      </c>
      <c r="N308" s="1">
        <v>41852</v>
      </c>
      <c r="O308">
        <v>8</v>
      </c>
      <c r="P308" t="s">
        <v>34</v>
      </c>
      <c r="Q308">
        <v>2014</v>
      </c>
    </row>
    <row r="309" spans="1:17" x14ac:dyDescent="0.3">
      <c r="A309" t="str">
        <f t="shared" ca="1" si="4"/>
        <v>ORD-2014-Uni-5953</v>
      </c>
      <c r="B309" t="s">
        <v>23</v>
      </c>
      <c r="C309" t="s">
        <v>37</v>
      </c>
      <c r="D309" t="s">
        <v>38</v>
      </c>
      <c r="E309" t="s">
        <v>47</v>
      </c>
      <c r="F309">
        <v>1153</v>
      </c>
      <c r="G309">
        <v>10</v>
      </c>
      <c r="H309">
        <v>15</v>
      </c>
      <c r="I309">
        <v>17295</v>
      </c>
      <c r="J309">
        <v>1037.7</v>
      </c>
      <c r="K309">
        <v>16257.3</v>
      </c>
      <c r="L309">
        <v>11530</v>
      </c>
      <c r="M309">
        <v>4727.3</v>
      </c>
      <c r="N309" s="1">
        <v>41913</v>
      </c>
      <c r="O309">
        <v>10</v>
      </c>
      <c r="P309" t="s">
        <v>36</v>
      </c>
      <c r="Q309">
        <v>2014</v>
      </c>
    </row>
    <row r="310" spans="1:17" x14ac:dyDescent="0.3">
      <c r="A310" t="str">
        <f t="shared" ca="1" si="4"/>
        <v>ORD-2013-Fra-8049</v>
      </c>
      <c r="B310" t="s">
        <v>17</v>
      </c>
      <c r="C310" t="s">
        <v>24</v>
      </c>
      <c r="D310" t="s">
        <v>38</v>
      </c>
      <c r="E310" t="s">
        <v>47</v>
      </c>
      <c r="F310">
        <v>1757</v>
      </c>
      <c r="G310">
        <v>10</v>
      </c>
      <c r="H310">
        <v>20</v>
      </c>
      <c r="I310">
        <v>35140</v>
      </c>
      <c r="J310">
        <v>2108.4</v>
      </c>
      <c r="K310">
        <v>33031.599999999999</v>
      </c>
      <c r="L310">
        <v>17570</v>
      </c>
      <c r="M310">
        <v>15461.6</v>
      </c>
      <c r="N310" s="1">
        <v>41548</v>
      </c>
      <c r="O310">
        <v>10</v>
      </c>
      <c r="P310" t="s">
        <v>36</v>
      </c>
      <c r="Q310">
        <v>2013</v>
      </c>
    </row>
    <row r="311" spans="1:17" x14ac:dyDescent="0.3">
      <c r="A311" t="str">
        <f t="shared" ca="1" si="4"/>
        <v>ORD-2014-Ger-8746</v>
      </c>
      <c r="B311" t="s">
        <v>17</v>
      </c>
      <c r="C311" t="s">
        <v>22</v>
      </c>
      <c r="D311" t="s">
        <v>41</v>
      </c>
      <c r="E311" t="s">
        <v>47</v>
      </c>
      <c r="F311">
        <v>1001</v>
      </c>
      <c r="G311">
        <v>120</v>
      </c>
      <c r="H311">
        <v>20</v>
      </c>
      <c r="I311">
        <v>20020</v>
      </c>
      <c r="J311">
        <v>1201.2</v>
      </c>
      <c r="K311">
        <v>18818.8</v>
      </c>
      <c r="L311">
        <v>10010</v>
      </c>
      <c r="M311">
        <v>8808.7999999999993</v>
      </c>
      <c r="N311" s="1">
        <v>41852</v>
      </c>
      <c r="O311">
        <v>8</v>
      </c>
      <c r="P311" t="s">
        <v>34</v>
      </c>
      <c r="Q311">
        <v>2014</v>
      </c>
    </row>
    <row r="312" spans="1:17" x14ac:dyDescent="0.3">
      <c r="A312" t="str">
        <f t="shared" ca="1" si="4"/>
        <v>ORD-2014-Mex-7257</v>
      </c>
      <c r="B312" t="s">
        <v>17</v>
      </c>
      <c r="C312" t="s">
        <v>26</v>
      </c>
      <c r="D312" t="s">
        <v>41</v>
      </c>
      <c r="E312" t="s">
        <v>47</v>
      </c>
      <c r="F312">
        <v>1333</v>
      </c>
      <c r="G312">
        <v>120</v>
      </c>
      <c r="H312">
        <v>7</v>
      </c>
      <c r="I312">
        <v>9331</v>
      </c>
      <c r="J312">
        <v>559.86</v>
      </c>
      <c r="K312">
        <v>8771.14</v>
      </c>
      <c r="L312">
        <v>6665</v>
      </c>
      <c r="M312">
        <v>2106.14</v>
      </c>
      <c r="N312" s="1">
        <v>41944</v>
      </c>
      <c r="O312">
        <v>11</v>
      </c>
      <c r="P312" t="s">
        <v>40</v>
      </c>
      <c r="Q312">
        <v>2014</v>
      </c>
    </row>
    <row r="313" spans="1:17" x14ac:dyDescent="0.3">
      <c r="A313" t="str">
        <f t="shared" ca="1" si="4"/>
        <v>ORD-2014-Uni-9976</v>
      </c>
      <c r="B313" t="s">
        <v>23</v>
      </c>
      <c r="C313" t="s">
        <v>37</v>
      </c>
      <c r="D313" t="s">
        <v>42</v>
      </c>
      <c r="E313" t="s">
        <v>47</v>
      </c>
      <c r="F313">
        <v>1153</v>
      </c>
      <c r="G313">
        <v>250</v>
      </c>
      <c r="H313">
        <v>15</v>
      </c>
      <c r="I313">
        <v>17295</v>
      </c>
      <c r="J313">
        <v>1037.7</v>
      </c>
      <c r="K313">
        <v>16257.3</v>
      </c>
      <c r="L313">
        <v>11530</v>
      </c>
      <c r="M313">
        <v>4727.3</v>
      </c>
      <c r="N313" s="1">
        <v>41913</v>
      </c>
      <c r="O313">
        <v>10</v>
      </c>
      <c r="P313" t="s">
        <v>36</v>
      </c>
      <c r="Q313">
        <v>2014</v>
      </c>
    </row>
    <row r="314" spans="1:17" x14ac:dyDescent="0.3">
      <c r="A314" t="str">
        <f t="shared" ca="1" si="4"/>
        <v>ORD-2014-Mex-7997</v>
      </c>
      <c r="B314" t="s">
        <v>30</v>
      </c>
      <c r="C314" t="s">
        <v>26</v>
      </c>
      <c r="D314" t="s">
        <v>19</v>
      </c>
      <c r="E314" t="s">
        <v>47</v>
      </c>
      <c r="F314">
        <v>727</v>
      </c>
      <c r="G314">
        <v>3</v>
      </c>
      <c r="H314">
        <v>12</v>
      </c>
      <c r="I314">
        <v>8724</v>
      </c>
      <c r="J314">
        <v>610.67999999999995</v>
      </c>
      <c r="K314">
        <v>8113.32</v>
      </c>
      <c r="L314">
        <v>2181</v>
      </c>
      <c r="M314">
        <v>5932.32</v>
      </c>
      <c r="N314" s="1">
        <v>41671</v>
      </c>
      <c r="O314">
        <v>2</v>
      </c>
      <c r="P314" t="s">
        <v>39</v>
      </c>
      <c r="Q314">
        <v>2014</v>
      </c>
    </row>
    <row r="315" spans="1:17" x14ac:dyDescent="0.3">
      <c r="A315" t="str">
        <f t="shared" ca="1" si="4"/>
        <v>ORD-2014-Ca0-1387</v>
      </c>
      <c r="B315" t="s">
        <v>30</v>
      </c>
      <c r="C315" t="s">
        <v>18</v>
      </c>
      <c r="D315" t="s">
        <v>19</v>
      </c>
      <c r="E315" t="s">
        <v>47</v>
      </c>
      <c r="F315">
        <v>1884</v>
      </c>
      <c r="G315">
        <v>3</v>
      </c>
      <c r="H315">
        <v>12</v>
      </c>
      <c r="I315">
        <v>22608</v>
      </c>
      <c r="J315">
        <v>1582.56</v>
      </c>
      <c r="K315">
        <v>21025.439999999999</v>
      </c>
      <c r="L315">
        <v>5652</v>
      </c>
      <c r="M315">
        <v>15373.44</v>
      </c>
      <c r="N315" s="1">
        <v>41852</v>
      </c>
      <c r="O315">
        <v>8</v>
      </c>
      <c r="P315" t="s">
        <v>34</v>
      </c>
      <c r="Q315">
        <v>2014</v>
      </c>
    </row>
    <row r="316" spans="1:17" x14ac:dyDescent="0.3">
      <c r="A316" t="str">
        <f t="shared" ca="1" si="4"/>
        <v>ORD-2013-Mex-8734</v>
      </c>
      <c r="B316" t="s">
        <v>17</v>
      </c>
      <c r="C316" t="s">
        <v>26</v>
      </c>
      <c r="D316" t="s">
        <v>19</v>
      </c>
      <c r="E316" t="s">
        <v>47</v>
      </c>
      <c r="F316">
        <v>1834</v>
      </c>
      <c r="G316">
        <v>3</v>
      </c>
      <c r="H316">
        <v>20</v>
      </c>
      <c r="I316">
        <v>36680</v>
      </c>
      <c r="J316">
        <v>2567.6</v>
      </c>
      <c r="K316">
        <v>34112.400000000001</v>
      </c>
      <c r="L316">
        <v>18340</v>
      </c>
      <c r="M316">
        <v>15772.4</v>
      </c>
      <c r="N316" s="1">
        <v>41518</v>
      </c>
      <c r="O316">
        <v>9</v>
      </c>
      <c r="P316" t="s">
        <v>35</v>
      </c>
      <c r="Q316">
        <v>2013</v>
      </c>
    </row>
    <row r="317" spans="1:17" x14ac:dyDescent="0.3">
      <c r="A317" t="str">
        <f t="shared" ca="1" si="4"/>
        <v>ORD-2014-Mex-3187</v>
      </c>
      <c r="B317" t="s">
        <v>30</v>
      </c>
      <c r="C317" t="s">
        <v>26</v>
      </c>
      <c r="D317" t="s">
        <v>28</v>
      </c>
      <c r="E317" t="s">
        <v>47</v>
      </c>
      <c r="F317">
        <v>2340</v>
      </c>
      <c r="G317">
        <v>5</v>
      </c>
      <c r="H317">
        <v>12</v>
      </c>
      <c r="I317">
        <v>28080</v>
      </c>
      <c r="J317">
        <v>1965.6</v>
      </c>
      <c r="K317">
        <v>26114.400000000001</v>
      </c>
      <c r="L317">
        <v>7020</v>
      </c>
      <c r="M317">
        <v>19094.400000000001</v>
      </c>
      <c r="N317" s="1">
        <v>41640</v>
      </c>
      <c r="O317">
        <v>1</v>
      </c>
      <c r="P317" t="s">
        <v>21</v>
      </c>
      <c r="Q317">
        <v>2014</v>
      </c>
    </row>
    <row r="318" spans="1:17" x14ac:dyDescent="0.3">
      <c r="A318" t="str">
        <f t="shared" ca="1" si="4"/>
        <v>ORD-2014-Fra-6356</v>
      </c>
      <c r="B318" t="s">
        <v>30</v>
      </c>
      <c r="C318" t="s">
        <v>24</v>
      </c>
      <c r="D318" t="s">
        <v>28</v>
      </c>
      <c r="E318" t="s">
        <v>47</v>
      </c>
      <c r="F318">
        <v>2342</v>
      </c>
      <c r="G318">
        <v>5</v>
      </c>
      <c r="H318">
        <v>12</v>
      </c>
      <c r="I318">
        <v>28104</v>
      </c>
      <c r="J318">
        <v>1967.28</v>
      </c>
      <c r="K318">
        <v>26136.720000000001</v>
      </c>
      <c r="L318">
        <v>7026</v>
      </c>
      <c r="M318">
        <v>19110.72</v>
      </c>
      <c r="N318" s="1">
        <v>41944</v>
      </c>
      <c r="O318">
        <v>11</v>
      </c>
      <c r="P318" t="s">
        <v>40</v>
      </c>
      <c r="Q318">
        <v>2014</v>
      </c>
    </row>
    <row r="319" spans="1:17" x14ac:dyDescent="0.3">
      <c r="A319" t="str">
        <f t="shared" ca="1" si="4"/>
        <v>ORD-2013-Fra-8902</v>
      </c>
      <c r="B319" t="s">
        <v>17</v>
      </c>
      <c r="C319" t="s">
        <v>24</v>
      </c>
      <c r="D319" t="s">
        <v>38</v>
      </c>
      <c r="E319" t="s">
        <v>47</v>
      </c>
      <c r="F319">
        <v>1031</v>
      </c>
      <c r="G319">
        <v>10</v>
      </c>
      <c r="H319">
        <v>7</v>
      </c>
      <c r="I319">
        <v>7217</v>
      </c>
      <c r="J319">
        <v>505.19</v>
      </c>
      <c r="K319">
        <v>6711.81</v>
      </c>
      <c r="L319">
        <v>5155</v>
      </c>
      <c r="M319">
        <v>1556.81</v>
      </c>
      <c r="N319" s="1">
        <v>41518</v>
      </c>
      <c r="O319">
        <v>9</v>
      </c>
      <c r="P319" t="s">
        <v>35</v>
      </c>
      <c r="Q319">
        <v>2013</v>
      </c>
    </row>
    <row r="320" spans="1:17" x14ac:dyDescent="0.3">
      <c r="A320" t="str">
        <f t="shared" ca="1" si="4"/>
        <v>ORD-2014-Ca0-7645</v>
      </c>
      <c r="B320" t="s">
        <v>23</v>
      </c>
      <c r="C320" t="s">
        <v>18</v>
      </c>
      <c r="D320" t="s">
        <v>41</v>
      </c>
      <c r="E320" t="s">
        <v>47</v>
      </c>
      <c r="F320">
        <v>1262</v>
      </c>
      <c r="G320">
        <v>120</v>
      </c>
      <c r="H320">
        <v>15</v>
      </c>
      <c r="I320">
        <v>18930</v>
      </c>
      <c r="J320">
        <v>1325.1</v>
      </c>
      <c r="K320">
        <v>17604.900000000001</v>
      </c>
      <c r="L320">
        <v>12620</v>
      </c>
      <c r="M320">
        <v>4984.8999999999996</v>
      </c>
      <c r="N320" s="1">
        <v>41760</v>
      </c>
      <c r="O320">
        <v>5</v>
      </c>
      <c r="P320" t="s">
        <v>46</v>
      </c>
      <c r="Q320">
        <v>2014</v>
      </c>
    </row>
    <row r="321" spans="1:17" x14ac:dyDescent="0.3">
      <c r="A321" t="str">
        <f t="shared" ca="1" si="4"/>
        <v>ORD-2014-Ca0-6148</v>
      </c>
      <c r="B321" t="s">
        <v>17</v>
      </c>
      <c r="C321" t="s">
        <v>18</v>
      </c>
      <c r="D321" t="s">
        <v>41</v>
      </c>
      <c r="E321" t="s">
        <v>47</v>
      </c>
      <c r="F321">
        <v>1135</v>
      </c>
      <c r="G321">
        <v>120</v>
      </c>
      <c r="H321">
        <v>7</v>
      </c>
      <c r="I321">
        <v>7945</v>
      </c>
      <c r="J321">
        <v>556.15</v>
      </c>
      <c r="K321">
        <v>7388.85</v>
      </c>
      <c r="L321">
        <v>5675</v>
      </c>
      <c r="M321">
        <v>1713.85</v>
      </c>
      <c r="N321" s="1">
        <v>41791</v>
      </c>
      <c r="O321">
        <v>6</v>
      </c>
      <c r="P321" t="s">
        <v>25</v>
      </c>
      <c r="Q321">
        <v>2014</v>
      </c>
    </row>
    <row r="322" spans="1:17" x14ac:dyDescent="0.3">
      <c r="A322" t="str">
        <f t="shared" ca="1" si="4"/>
        <v>ORD-2014-Uni-2583</v>
      </c>
      <c r="B322" t="s">
        <v>17</v>
      </c>
      <c r="C322" t="s">
        <v>37</v>
      </c>
      <c r="D322" t="s">
        <v>41</v>
      </c>
      <c r="E322" t="s">
        <v>47</v>
      </c>
      <c r="F322">
        <v>547</v>
      </c>
      <c r="G322">
        <v>120</v>
      </c>
      <c r="H322">
        <v>7</v>
      </c>
      <c r="I322">
        <v>3829</v>
      </c>
      <c r="J322">
        <v>268.02999999999997</v>
      </c>
      <c r="K322">
        <v>3560.97</v>
      </c>
      <c r="L322">
        <v>2735</v>
      </c>
      <c r="M322">
        <v>825.97</v>
      </c>
      <c r="N322" s="1">
        <v>41944</v>
      </c>
      <c r="O322">
        <v>11</v>
      </c>
      <c r="P322" t="s">
        <v>40</v>
      </c>
      <c r="Q322">
        <v>2014</v>
      </c>
    </row>
    <row r="323" spans="1:17" x14ac:dyDescent="0.3">
      <c r="A323" t="str">
        <f t="shared" ref="A323:A386" ca="1" si="5">"ORD-" &amp; YEAR(N323) &amp; "-"  &amp; LEFT(C323,3) &amp; "-" &amp; RANDBETWEEN(1000,9999)</f>
        <v>ORD-2014-Ca0-5681</v>
      </c>
      <c r="B323" t="s">
        <v>17</v>
      </c>
      <c r="C323" t="s">
        <v>18</v>
      </c>
      <c r="D323" t="s">
        <v>41</v>
      </c>
      <c r="E323" t="s">
        <v>47</v>
      </c>
      <c r="F323">
        <v>1582</v>
      </c>
      <c r="G323">
        <v>120</v>
      </c>
      <c r="H323">
        <v>7</v>
      </c>
      <c r="I323">
        <v>11074</v>
      </c>
      <c r="J323">
        <v>775.18</v>
      </c>
      <c r="K323">
        <v>10298.82</v>
      </c>
      <c r="L323">
        <v>7910</v>
      </c>
      <c r="M323">
        <v>2388.8200000000002</v>
      </c>
      <c r="N323" s="1">
        <v>41974</v>
      </c>
      <c r="O323">
        <v>12</v>
      </c>
      <c r="P323" t="s">
        <v>27</v>
      </c>
      <c r="Q323">
        <v>2014</v>
      </c>
    </row>
    <row r="324" spans="1:17" x14ac:dyDescent="0.3">
      <c r="A324" t="str">
        <f t="shared" ca="1" si="5"/>
        <v>ORD-2014-Fra-4254</v>
      </c>
      <c r="B324" t="s">
        <v>30</v>
      </c>
      <c r="C324" t="s">
        <v>24</v>
      </c>
      <c r="D324" t="s">
        <v>42</v>
      </c>
      <c r="E324" t="s">
        <v>47</v>
      </c>
      <c r="F324">
        <v>1738.5</v>
      </c>
      <c r="G324">
        <v>250</v>
      </c>
      <c r="H324">
        <v>12</v>
      </c>
      <c r="I324">
        <v>20862</v>
      </c>
      <c r="J324">
        <v>1460.34</v>
      </c>
      <c r="K324">
        <v>19401.66</v>
      </c>
      <c r="L324">
        <v>5215.5</v>
      </c>
      <c r="M324">
        <v>14186.16</v>
      </c>
      <c r="N324" s="1">
        <v>41730</v>
      </c>
      <c r="O324">
        <v>4</v>
      </c>
      <c r="P324" t="s">
        <v>43</v>
      </c>
      <c r="Q324">
        <v>2014</v>
      </c>
    </row>
    <row r="325" spans="1:17" x14ac:dyDescent="0.3">
      <c r="A325" t="str">
        <f t="shared" ca="1" si="5"/>
        <v>ORD-2013-Ger-7876</v>
      </c>
      <c r="B325" t="s">
        <v>30</v>
      </c>
      <c r="C325" t="s">
        <v>22</v>
      </c>
      <c r="D325" t="s">
        <v>42</v>
      </c>
      <c r="E325" t="s">
        <v>47</v>
      </c>
      <c r="F325">
        <v>2215</v>
      </c>
      <c r="G325">
        <v>250</v>
      </c>
      <c r="H325">
        <v>12</v>
      </c>
      <c r="I325">
        <v>26580</v>
      </c>
      <c r="J325">
        <v>1860.6</v>
      </c>
      <c r="K325">
        <v>24719.4</v>
      </c>
      <c r="L325">
        <v>6645</v>
      </c>
      <c r="M325">
        <v>18074.400000000001</v>
      </c>
      <c r="N325" s="1">
        <v>41518</v>
      </c>
      <c r="O325">
        <v>9</v>
      </c>
      <c r="P325" t="s">
        <v>35</v>
      </c>
      <c r="Q325">
        <v>2013</v>
      </c>
    </row>
    <row r="326" spans="1:17" x14ac:dyDescent="0.3">
      <c r="A326" t="str">
        <f t="shared" ca="1" si="5"/>
        <v>ORD-2014-Ca0-7096</v>
      </c>
      <c r="B326" t="s">
        <v>17</v>
      </c>
      <c r="C326" t="s">
        <v>18</v>
      </c>
      <c r="D326" t="s">
        <v>42</v>
      </c>
      <c r="E326" t="s">
        <v>47</v>
      </c>
      <c r="F326">
        <v>1582</v>
      </c>
      <c r="G326">
        <v>250</v>
      </c>
      <c r="H326">
        <v>7</v>
      </c>
      <c r="I326">
        <v>11074</v>
      </c>
      <c r="J326">
        <v>775.18</v>
      </c>
      <c r="K326">
        <v>10298.82</v>
      </c>
      <c r="L326">
        <v>7910</v>
      </c>
      <c r="M326">
        <v>2388.8200000000002</v>
      </c>
      <c r="N326" s="1">
        <v>41974</v>
      </c>
      <c r="O326">
        <v>12</v>
      </c>
      <c r="P326" t="s">
        <v>27</v>
      </c>
      <c r="Q326">
        <v>2014</v>
      </c>
    </row>
    <row r="327" spans="1:17" x14ac:dyDescent="0.3">
      <c r="A327" t="str">
        <f t="shared" ca="1" si="5"/>
        <v>ORD-2014-Ca0-3093</v>
      </c>
      <c r="B327" t="s">
        <v>17</v>
      </c>
      <c r="C327" t="s">
        <v>18</v>
      </c>
      <c r="D327" t="s">
        <v>44</v>
      </c>
      <c r="E327" t="s">
        <v>47</v>
      </c>
      <c r="F327">
        <v>1135</v>
      </c>
      <c r="G327">
        <v>260</v>
      </c>
      <c r="H327">
        <v>7</v>
      </c>
      <c r="I327">
        <v>7945</v>
      </c>
      <c r="J327">
        <v>556.15</v>
      </c>
      <c r="K327">
        <v>7388.85</v>
      </c>
      <c r="L327">
        <v>5675</v>
      </c>
      <c r="M327">
        <v>1713.85</v>
      </c>
      <c r="N327" s="1">
        <v>41791</v>
      </c>
      <c r="O327">
        <v>6</v>
      </c>
      <c r="P327" t="s">
        <v>25</v>
      </c>
      <c r="Q327">
        <v>2014</v>
      </c>
    </row>
    <row r="328" spans="1:17" x14ac:dyDescent="0.3">
      <c r="A328" t="str">
        <f t="shared" ca="1" si="5"/>
        <v>ORD-2014-Uni-2461</v>
      </c>
      <c r="B328" t="s">
        <v>17</v>
      </c>
      <c r="C328" t="s">
        <v>37</v>
      </c>
      <c r="D328" t="s">
        <v>19</v>
      </c>
      <c r="E328" t="s">
        <v>47</v>
      </c>
      <c r="F328">
        <v>1761</v>
      </c>
      <c r="G328">
        <v>3</v>
      </c>
      <c r="H328">
        <v>350</v>
      </c>
      <c r="I328">
        <v>616350</v>
      </c>
      <c r="J328">
        <v>43144.5</v>
      </c>
      <c r="K328">
        <v>573205.5</v>
      </c>
      <c r="L328">
        <v>457860</v>
      </c>
      <c r="M328">
        <v>115345.5</v>
      </c>
      <c r="N328" s="1">
        <v>41699</v>
      </c>
      <c r="O328">
        <v>3</v>
      </c>
      <c r="P328" t="s">
        <v>29</v>
      </c>
      <c r="Q328">
        <v>2014</v>
      </c>
    </row>
    <row r="329" spans="1:17" x14ac:dyDescent="0.3">
      <c r="A329" t="str">
        <f t="shared" ca="1" si="5"/>
        <v>ORD-2014-Fra-6792</v>
      </c>
      <c r="B329" t="s">
        <v>33</v>
      </c>
      <c r="C329" t="s">
        <v>24</v>
      </c>
      <c r="D329" t="s">
        <v>19</v>
      </c>
      <c r="E329" t="s">
        <v>47</v>
      </c>
      <c r="F329">
        <v>448</v>
      </c>
      <c r="G329">
        <v>3</v>
      </c>
      <c r="H329">
        <v>300</v>
      </c>
      <c r="I329">
        <v>134400</v>
      </c>
      <c r="J329">
        <v>9408</v>
      </c>
      <c r="K329">
        <v>124992</v>
      </c>
      <c r="L329">
        <v>112000</v>
      </c>
      <c r="M329">
        <v>12992</v>
      </c>
      <c r="N329" s="1">
        <v>41791</v>
      </c>
      <c r="O329">
        <v>6</v>
      </c>
      <c r="P329" t="s">
        <v>25</v>
      </c>
      <c r="Q329">
        <v>2014</v>
      </c>
    </row>
    <row r="330" spans="1:17" x14ac:dyDescent="0.3">
      <c r="A330" t="str">
        <f t="shared" ca="1" si="5"/>
        <v>ORD-2014-Fra-3568</v>
      </c>
      <c r="B330" t="s">
        <v>33</v>
      </c>
      <c r="C330" t="s">
        <v>24</v>
      </c>
      <c r="D330" t="s">
        <v>19</v>
      </c>
      <c r="E330" t="s">
        <v>47</v>
      </c>
      <c r="F330">
        <v>2181</v>
      </c>
      <c r="G330">
        <v>3</v>
      </c>
      <c r="H330">
        <v>300</v>
      </c>
      <c r="I330">
        <v>654300</v>
      </c>
      <c r="J330">
        <v>45801</v>
      </c>
      <c r="K330">
        <v>608499</v>
      </c>
      <c r="L330">
        <v>545250</v>
      </c>
      <c r="M330">
        <v>63249</v>
      </c>
      <c r="N330" s="1">
        <v>41913</v>
      </c>
      <c r="O330">
        <v>10</v>
      </c>
      <c r="P330" t="s">
        <v>36</v>
      </c>
      <c r="Q330">
        <v>2014</v>
      </c>
    </row>
    <row r="331" spans="1:17" x14ac:dyDescent="0.3">
      <c r="A331" t="str">
        <f t="shared" ca="1" si="5"/>
        <v>ORD-2014-Fra-7876</v>
      </c>
      <c r="B331" t="s">
        <v>17</v>
      </c>
      <c r="C331" t="s">
        <v>24</v>
      </c>
      <c r="D331" t="s">
        <v>28</v>
      </c>
      <c r="E331" t="s">
        <v>47</v>
      </c>
      <c r="F331">
        <v>1976</v>
      </c>
      <c r="G331">
        <v>5</v>
      </c>
      <c r="H331">
        <v>20</v>
      </c>
      <c r="I331">
        <v>39520</v>
      </c>
      <c r="J331">
        <v>2766.4</v>
      </c>
      <c r="K331">
        <v>36753.599999999999</v>
      </c>
      <c r="L331">
        <v>19760</v>
      </c>
      <c r="M331">
        <v>16993.599999999999</v>
      </c>
      <c r="N331" s="1">
        <v>41913</v>
      </c>
      <c r="O331">
        <v>10</v>
      </c>
      <c r="P331" t="s">
        <v>36</v>
      </c>
      <c r="Q331">
        <v>2014</v>
      </c>
    </row>
    <row r="332" spans="1:17" x14ac:dyDescent="0.3">
      <c r="A332" t="str">
        <f t="shared" ca="1" si="5"/>
        <v>ORD-2014-Fra-3795</v>
      </c>
      <c r="B332" t="s">
        <v>33</v>
      </c>
      <c r="C332" t="s">
        <v>24</v>
      </c>
      <c r="D332" t="s">
        <v>28</v>
      </c>
      <c r="E332" t="s">
        <v>47</v>
      </c>
      <c r="F332">
        <v>2181</v>
      </c>
      <c r="G332">
        <v>5</v>
      </c>
      <c r="H332">
        <v>300</v>
      </c>
      <c r="I332">
        <v>654300</v>
      </c>
      <c r="J332">
        <v>45801</v>
      </c>
      <c r="K332">
        <v>608499</v>
      </c>
      <c r="L332">
        <v>545250</v>
      </c>
      <c r="M332">
        <v>63249</v>
      </c>
      <c r="N332" s="1">
        <v>41913</v>
      </c>
      <c r="O332">
        <v>10</v>
      </c>
      <c r="P332" t="s">
        <v>36</v>
      </c>
      <c r="Q332">
        <v>2014</v>
      </c>
    </row>
    <row r="333" spans="1:17" x14ac:dyDescent="0.3">
      <c r="A333" t="str">
        <f t="shared" ca="1" si="5"/>
        <v>ORD-2013-Ger-6094</v>
      </c>
      <c r="B333" t="s">
        <v>31</v>
      </c>
      <c r="C333" t="s">
        <v>22</v>
      </c>
      <c r="D333" t="s">
        <v>28</v>
      </c>
      <c r="E333" t="s">
        <v>47</v>
      </c>
      <c r="F333">
        <v>2500</v>
      </c>
      <c r="G333">
        <v>5</v>
      </c>
      <c r="H333">
        <v>125</v>
      </c>
      <c r="I333">
        <v>312500</v>
      </c>
      <c r="J333">
        <v>21875</v>
      </c>
      <c r="K333">
        <v>290625</v>
      </c>
      <c r="L333" s="2">
        <v>300000</v>
      </c>
      <c r="N333" s="1">
        <v>41579</v>
      </c>
      <c r="O333">
        <v>11</v>
      </c>
      <c r="P333" t="s">
        <v>40</v>
      </c>
      <c r="Q333">
        <v>2013</v>
      </c>
    </row>
    <row r="334" spans="1:17" x14ac:dyDescent="0.3">
      <c r="A334" t="str">
        <f t="shared" ca="1" si="5"/>
        <v>ORD-2014-Ca0-4011</v>
      </c>
      <c r="B334" t="s">
        <v>33</v>
      </c>
      <c r="C334" t="s">
        <v>18</v>
      </c>
      <c r="D334" t="s">
        <v>38</v>
      </c>
      <c r="E334" t="s">
        <v>47</v>
      </c>
      <c r="F334">
        <v>1702</v>
      </c>
      <c r="G334">
        <v>10</v>
      </c>
      <c r="H334">
        <v>300</v>
      </c>
      <c r="I334">
        <v>510600</v>
      </c>
      <c r="J334">
        <v>35742</v>
      </c>
      <c r="K334">
        <v>474858</v>
      </c>
      <c r="L334">
        <v>425500</v>
      </c>
      <c r="M334">
        <v>49358</v>
      </c>
      <c r="N334" s="1">
        <v>41760</v>
      </c>
      <c r="O334">
        <v>5</v>
      </c>
      <c r="P334" t="s">
        <v>46</v>
      </c>
      <c r="Q334">
        <v>2014</v>
      </c>
    </row>
    <row r="335" spans="1:17" x14ac:dyDescent="0.3">
      <c r="A335" t="str">
        <f t="shared" ca="1" si="5"/>
        <v>ORD-2014-Fra-2909</v>
      </c>
      <c r="B335" t="s">
        <v>33</v>
      </c>
      <c r="C335" t="s">
        <v>24</v>
      </c>
      <c r="D335" t="s">
        <v>38</v>
      </c>
      <c r="E335" t="s">
        <v>47</v>
      </c>
      <c r="F335">
        <v>448</v>
      </c>
      <c r="G335">
        <v>10</v>
      </c>
      <c r="H335">
        <v>300</v>
      </c>
      <c r="I335">
        <v>134400</v>
      </c>
      <c r="J335">
        <v>9408</v>
      </c>
      <c r="K335">
        <v>124992</v>
      </c>
      <c r="L335">
        <v>112000</v>
      </c>
      <c r="M335">
        <v>12992</v>
      </c>
      <c r="N335" s="1">
        <v>41791</v>
      </c>
      <c r="O335">
        <v>6</v>
      </c>
      <c r="P335" t="s">
        <v>25</v>
      </c>
      <c r="Q335">
        <v>2014</v>
      </c>
    </row>
    <row r="336" spans="1:17" x14ac:dyDescent="0.3">
      <c r="A336" t="str">
        <f t="shared" ca="1" si="5"/>
        <v>ORD-2014-Ger-7463</v>
      </c>
      <c r="B336" t="s">
        <v>31</v>
      </c>
      <c r="C336" t="s">
        <v>22</v>
      </c>
      <c r="D336" t="s">
        <v>38</v>
      </c>
      <c r="E336" t="s">
        <v>47</v>
      </c>
      <c r="F336">
        <v>3513</v>
      </c>
      <c r="G336">
        <v>10</v>
      </c>
      <c r="H336">
        <v>125</v>
      </c>
      <c r="I336">
        <v>439125</v>
      </c>
      <c r="J336">
        <v>30738.75</v>
      </c>
      <c r="K336">
        <v>408386.25</v>
      </c>
      <c r="L336">
        <v>421560</v>
      </c>
      <c r="M336">
        <f>K336-L336</f>
        <v>-13173.75</v>
      </c>
      <c r="N336" s="1">
        <v>41821</v>
      </c>
      <c r="O336">
        <v>7</v>
      </c>
      <c r="P336" t="s">
        <v>32</v>
      </c>
      <c r="Q336">
        <v>2014</v>
      </c>
    </row>
    <row r="337" spans="1:17" x14ac:dyDescent="0.3">
      <c r="A337" t="str">
        <f t="shared" ca="1" si="5"/>
        <v>ORD-2014-Fra-4945</v>
      </c>
      <c r="B337" t="s">
        <v>23</v>
      </c>
      <c r="C337" t="s">
        <v>24</v>
      </c>
      <c r="D337" t="s">
        <v>38</v>
      </c>
      <c r="E337" t="s">
        <v>47</v>
      </c>
      <c r="F337">
        <v>2101</v>
      </c>
      <c r="G337">
        <v>10</v>
      </c>
      <c r="H337">
        <v>15</v>
      </c>
      <c r="I337">
        <v>31515</v>
      </c>
      <c r="J337">
        <v>2206.0500000000002</v>
      </c>
      <c r="K337">
        <v>29308.95</v>
      </c>
      <c r="L337">
        <v>21010</v>
      </c>
      <c r="M337">
        <v>8298.9500000000007</v>
      </c>
      <c r="N337" s="1">
        <v>41852</v>
      </c>
      <c r="O337">
        <v>8</v>
      </c>
      <c r="P337" t="s">
        <v>34</v>
      </c>
      <c r="Q337">
        <v>2014</v>
      </c>
    </row>
    <row r="338" spans="1:17" x14ac:dyDescent="0.3">
      <c r="A338" t="str">
        <f t="shared" ca="1" si="5"/>
        <v>ORD-2013-Uni-5035</v>
      </c>
      <c r="B338" t="s">
        <v>23</v>
      </c>
      <c r="C338" t="s">
        <v>37</v>
      </c>
      <c r="D338" t="s">
        <v>38</v>
      </c>
      <c r="E338" t="s">
        <v>47</v>
      </c>
      <c r="F338">
        <v>2931</v>
      </c>
      <c r="G338">
        <v>10</v>
      </c>
      <c r="H338">
        <v>15</v>
      </c>
      <c r="I338">
        <v>43965</v>
      </c>
      <c r="J338">
        <v>3077.55</v>
      </c>
      <c r="K338">
        <v>40887.449999999997</v>
      </c>
      <c r="L338">
        <v>29310</v>
      </c>
      <c r="M338">
        <v>11577.45</v>
      </c>
      <c r="N338" s="1">
        <v>41518</v>
      </c>
      <c r="O338">
        <v>9</v>
      </c>
      <c r="P338" t="s">
        <v>35</v>
      </c>
      <c r="Q338">
        <v>2013</v>
      </c>
    </row>
    <row r="339" spans="1:17" x14ac:dyDescent="0.3">
      <c r="A339" t="str">
        <f t="shared" ca="1" si="5"/>
        <v>ORD-2014-Fra-3763</v>
      </c>
      <c r="B339" t="s">
        <v>17</v>
      </c>
      <c r="C339" t="s">
        <v>24</v>
      </c>
      <c r="D339" t="s">
        <v>38</v>
      </c>
      <c r="E339" t="s">
        <v>47</v>
      </c>
      <c r="F339">
        <v>1535</v>
      </c>
      <c r="G339">
        <v>10</v>
      </c>
      <c r="H339">
        <v>20</v>
      </c>
      <c r="I339">
        <v>30700</v>
      </c>
      <c r="J339">
        <v>2149</v>
      </c>
      <c r="K339">
        <v>28551</v>
      </c>
      <c r="L339">
        <v>15350</v>
      </c>
      <c r="M339">
        <v>13201</v>
      </c>
      <c r="N339" s="1">
        <v>41883</v>
      </c>
      <c r="O339">
        <v>9</v>
      </c>
      <c r="P339" t="s">
        <v>35</v>
      </c>
      <c r="Q339">
        <v>2014</v>
      </c>
    </row>
    <row r="340" spans="1:17" x14ac:dyDescent="0.3">
      <c r="A340" t="str">
        <f t="shared" ca="1" si="5"/>
        <v>ORD-2013-Ger-7089</v>
      </c>
      <c r="B340" t="s">
        <v>33</v>
      </c>
      <c r="C340" t="s">
        <v>22</v>
      </c>
      <c r="D340" t="s">
        <v>38</v>
      </c>
      <c r="E340" t="s">
        <v>47</v>
      </c>
      <c r="F340">
        <v>1123</v>
      </c>
      <c r="G340">
        <v>10</v>
      </c>
      <c r="H340">
        <v>300</v>
      </c>
      <c r="I340">
        <v>336900</v>
      </c>
      <c r="J340">
        <v>23583</v>
      </c>
      <c r="K340">
        <v>313317</v>
      </c>
      <c r="L340">
        <v>280750</v>
      </c>
      <c r="M340">
        <v>32567</v>
      </c>
      <c r="N340" s="1">
        <v>41518</v>
      </c>
      <c r="O340">
        <v>9</v>
      </c>
      <c r="P340" t="s">
        <v>35</v>
      </c>
      <c r="Q340">
        <v>2013</v>
      </c>
    </row>
    <row r="341" spans="1:17" x14ac:dyDescent="0.3">
      <c r="A341" t="str">
        <f t="shared" ca="1" si="5"/>
        <v>ORD-2013-Ca0-2788</v>
      </c>
      <c r="B341" t="s">
        <v>33</v>
      </c>
      <c r="C341" t="s">
        <v>18</v>
      </c>
      <c r="D341" t="s">
        <v>38</v>
      </c>
      <c r="E341" t="s">
        <v>47</v>
      </c>
      <c r="F341">
        <v>1404</v>
      </c>
      <c r="G341">
        <v>10</v>
      </c>
      <c r="H341">
        <v>300</v>
      </c>
      <c r="I341">
        <v>421200</v>
      </c>
      <c r="J341">
        <v>29484</v>
      </c>
      <c r="K341">
        <v>391716</v>
      </c>
      <c r="L341">
        <v>351000</v>
      </c>
      <c r="M341">
        <v>40716</v>
      </c>
      <c r="N341" s="1">
        <v>41579</v>
      </c>
      <c r="O341">
        <v>11</v>
      </c>
      <c r="P341" t="s">
        <v>40</v>
      </c>
      <c r="Q341">
        <v>2013</v>
      </c>
    </row>
    <row r="342" spans="1:17" x14ac:dyDescent="0.3">
      <c r="A342" t="str">
        <f t="shared" ca="1" si="5"/>
        <v>ORD-2013-Mex-9927</v>
      </c>
      <c r="B342" t="s">
        <v>30</v>
      </c>
      <c r="C342" t="s">
        <v>26</v>
      </c>
      <c r="D342" t="s">
        <v>38</v>
      </c>
      <c r="E342" t="s">
        <v>47</v>
      </c>
      <c r="F342">
        <v>2763</v>
      </c>
      <c r="G342">
        <v>10</v>
      </c>
      <c r="H342">
        <v>12</v>
      </c>
      <c r="I342">
        <v>33156</v>
      </c>
      <c r="J342">
        <v>2320.92</v>
      </c>
      <c r="K342">
        <v>30835.08</v>
      </c>
      <c r="L342">
        <v>8289</v>
      </c>
      <c r="M342">
        <v>22546.080000000002</v>
      </c>
      <c r="N342" s="1">
        <v>41579</v>
      </c>
      <c r="O342">
        <v>11</v>
      </c>
      <c r="P342" t="s">
        <v>40</v>
      </c>
      <c r="Q342">
        <v>2013</v>
      </c>
    </row>
    <row r="343" spans="1:17" x14ac:dyDescent="0.3">
      <c r="A343" t="str">
        <f t="shared" ca="1" si="5"/>
        <v>ORD-2013-Ger-9639</v>
      </c>
      <c r="B343" t="s">
        <v>17</v>
      </c>
      <c r="C343" t="s">
        <v>22</v>
      </c>
      <c r="D343" t="s">
        <v>38</v>
      </c>
      <c r="E343" t="s">
        <v>47</v>
      </c>
      <c r="F343">
        <v>2125</v>
      </c>
      <c r="G343">
        <v>10</v>
      </c>
      <c r="H343">
        <v>7</v>
      </c>
      <c r="I343">
        <v>14875</v>
      </c>
      <c r="J343">
        <v>1041.25</v>
      </c>
      <c r="K343">
        <v>13833.75</v>
      </c>
      <c r="L343">
        <v>10625</v>
      </c>
      <c r="M343">
        <v>3208.75</v>
      </c>
      <c r="N343" s="1">
        <v>41609</v>
      </c>
      <c r="O343">
        <v>12</v>
      </c>
      <c r="P343" t="s">
        <v>27</v>
      </c>
      <c r="Q343">
        <v>2013</v>
      </c>
    </row>
    <row r="344" spans="1:17" x14ac:dyDescent="0.3">
      <c r="A344" t="str">
        <f t="shared" ca="1" si="5"/>
        <v>ORD-2014-Fra-6732</v>
      </c>
      <c r="B344" t="s">
        <v>33</v>
      </c>
      <c r="C344" t="s">
        <v>24</v>
      </c>
      <c r="D344" t="s">
        <v>41</v>
      </c>
      <c r="E344" t="s">
        <v>47</v>
      </c>
      <c r="F344">
        <v>1659</v>
      </c>
      <c r="G344">
        <v>120</v>
      </c>
      <c r="H344">
        <v>300</v>
      </c>
      <c r="I344">
        <v>497700</v>
      </c>
      <c r="J344">
        <v>34839</v>
      </c>
      <c r="K344">
        <v>462861</v>
      </c>
      <c r="L344">
        <v>414750</v>
      </c>
      <c r="M344">
        <v>48111</v>
      </c>
      <c r="N344" s="1">
        <v>41821</v>
      </c>
      <c r="O344">
        <v>7</v>
      </c>
      <c r="P344" t="s">
        <v>32</v>
      </c>
      <c r="Q344">
        <v>2014</v>
      </c>
    </row>
    <row r="345" spans="1:17" x14ac:dyDescent="0.3">
      <c r="A345" t="str">
        <f t="shared" ca="1" si="5"/>
        <v>ORD-2014-Mex-7284</v>
      </c>
      <c r="B345" t="s">
        <v>17</v>
      </c>
      <c r="C345" t="s">
        <v>26</v>
      </c>
      <c r="D345" t="s">
        <v>41</v>
      </c>
      <c r="E345" t="s">
        <v>47</v>
      </c>
      <c r="F345">
        <v>609</v>
      </c>
      <c r="G345">
        <v>120</v>
      </c>
      <c r="H345">
        <v>20</v>
      </c>
      <c r="I345">
        <v>12180</v>
      </c>
      <c r="J345">
        <v>852.6</v>
      </c>
      <c r="K345">
        <v>11327.4</v>
      </c>
      <c r="L345">
        <v>6090</v>
      </c>
      <c r="M345">
        <v>5237.3999999999996</v>
      </c>
      <c r="N345" s="1">
        <v>41852</v>
      </c>
      <c r="O345">
        <v>8</v>
      </c>
      <c r="P345" t="s">
        <v>34</v>
      </c>
      <c r="Q345">
        <v>2014</v>
      </c>
    </row>
    <row r="346" spans="1:17" x14ac:dyDescent="0.3">
      <c r="A346" t="str">
        <f t="shared" ca="1" si="5"/>
        <v>ORD-2014-Ger-5688</v>
      </c>
      <c r="B346" t="s">
        <v>31</v>
      </c>
      <c r="C346" t="s">
        <v>22</v>
      </c>
      <c r="D346" t="s">
        <v>41</v>
      </c>
      <c r="E346" t="s">
        <v>47</v>
      </c>
      <c r="F346">
        <v>2087</v>
      </c>
      <c r="G346">
        <v>120</v>
      </c>
      <c r="H346">
        <v>125</v>
      </c>
      <c r="I346">
        <v>260875</v>
      </c>
      <c r="J346">
        <v>18261.25</v>
      </c>
      <c r="K346">
        <v>242613.75</v>
      </c>
      <c r="L346">
        <v>250440</v>
      </c>
      <c r="M346">
        <f>K346-L346</f>
        <v>-7826.25</v>
      </c>
      <c r="N346" s="1">
        <v>41883</v>
      </c>
      <c r="O346">
        <v>9</v>
      </c>
      <c r="P346" t="s">
        <v>35</v>
      </c>
      <c r="Q346">
        <v>2014</v>
      </c>
    </row>
    <row r="347" spans="1:17" x14ac:dyDescent="0.3">
      <c r="A347" t="str">
        <f t="shared" ca="1" si="5"/>
        <v>ORD-2014-Fra-3085</v>
      </c>
      <c r="B347" t="s">
        <v>17</v>
      </c>
      <c r="C347" t="s">
        <v>24</v>
      </c>
      <c r="D347" t="s">
        <v>41</v>
      </c>
      <c r="E347" t="s">
        <v>47</v>
      </c>
      <c r="F347">
        <v>1976</v>
      </c>
      <c r="G347">
        <v>120</v>
      </c>
      <c r="H347">
        <v>20</v>
      </c>
      <c r="I347">
        <v>39520</v>
      </c>
      <c r="J347">
        <v>2766.4</v>
      </c>
      <c r="K347">
        <v>36753.599999999999</v>
      </c>
      <c r="L347">
        <v>19760</v>
      </c>
      <c r="M347">
        <v>16993.599999999999</v>
      </c>
      <c r="N347" s="1">
        <v>41913</v>
      </c>
      <c r="O347">
        <v>10</v>
      </c>
      <c r="P347" t="s">
        <v>36</v>
      </c>
      <c r="Q347">
        <v>2014</v>
      </c>
    </row>
    <row r="348" spans="1:17" x14ac:dyDescent="0.3">
      <c r="A348" t="str">
        <f t="shared" ca="1" si="5"/>
        <v>ORD-2013-Uni-1089</v>
      </c>
      <c r="B348" t="s">
        <v>17</v>
      </c>
      <c r="C348" t="s">
        <v>37</v>
      </c>
      <c r="D348" t="s">
        <v>41</v>
      </c>
      <c r="E348" t="s">
        <v>47</v>
      </c>
      <c r="F348">
        <v>1421</v>
      </c>
      <c r="G348">
        <v>120</v>
      </c>
      <c r="H348">
        <v>20</v>
      </c>
      <c r="I348">
        <v>28420</v>
      </c>
      <c r="J348">
        <v>1989.4</v>
      </c>
      <c r="K348">
        <v>26430.6</v>
      </c>
      <c r="L348">
        <v>14210</v>
      </c>
      <c r="M348">
        <v>12220.6</v>
      </c>
      <c r="N348" s="1">
        <v>41609</v>
      </c>
      <c r="O348">
        <v>12</v>
      </c>
      <c r="P348" t="s">
        <v>27</v>
      </c>
      <c r="Q348">
        <v>2013</v>
      </c>
    </row>
    <row r="349" spans="1:17" x14ac:dyDescent="0.3">
      <c r="A349" t="str">
        <f t="shared" ca="1" si="5"/>
        <v>ORD-2014-Uni-1938</v>
      </c>
      <c r="B349" t="s">
        <v>33</v>
      </c>
      <c r="C349" t="s">
        <v>37</v>
      </c>
      <c r="D349" t="s">
        <v>41</v>
      </c>
      <c r="E349" t="s">
        <v>47</v>
      </c>
      <c r="F349">
        <v>1372</v>
      </c>
      <c r="G349">
        <v>120</v>
      </c>
      <c r="H349">
        <v>300</v>
      </c>
      <c r="I349">
        <v>411600</v>
      </c>
      <c r="J349">
        <v>28812</v>
      </c>
      <c r="K349">
        <v>382788</v>
      </c>
      <c r="L349">
        <v>343000</v>
      </c>
      <c r="M349">
        <v>39788</v>
      </c>
      <c r="N349" s="1">
        <v>41974</v>
      </c>
      <c r="O349">
        <v>12</v>
      </c>
      <c r="P349" t="s">
        <v>27</v>
      </c>
      <c r="Q349">
        <v>2014</v>
      </c>
    </row>
    <row r="350" spans="1:17" x14ac:dyDescent="0.3">
      <c r="A350" t="str">
        <f t="shared" ca="1" si="5"/>
        <v>ORD-2013-Ger-8123</v>
      </c>
      <c r="B350" t="s">
        <v>17</v>
      </c>
      <c r="C350" t="s">
        <v>22</v>
      </c>
      <c r="D350" t="s">
        <v>41</v>
      </c>
      <c r="E350" t="s">
        <v>47</v>
      </c>
      <c r="F350">
        <v>588</v>
      </c>
      <c r="G350">
        <v>120</v>
      </c>
      <c r="H350">
        <v>20</v>
      </c>
      <c r="I350">
        <v>11760</v>
      </c>
      <c r="J350">
        <v>823.2</v>
      </c>
      <c r="K350">
        <v>10936.8</v>
      </c>
      <c r="L350">
        <v>5880</v>
      </c>
      <c r="M350">
        <v>5056.8</v>
      </c>
      <c r="N350" s="1">
        <v>41609</v>
      </c>
      <c r="O350">
        <v>12</v>
      </c>
      <c r="P350" t="s">
        <v>27</v>
      </c>
      <c r="Q350">
        <v>2013</v>
      </c>
    </row>
    <row r="351" spans="1:17" x14ac:dyDescent="0.3">
      <c r="A351" t="str">
        <f t="shared" ca="1" si="5"/>
        <v>ORD-2014-Ca0-3579</v>
      </c>
      <c r="B351" t="s">
        <v>30</v>
      </c>
      <c r="C351" t="s">
        <v>18</v>
      </c>
      <c r="D351" t="s">
        <v>42</v>
      </c>
      <c r="E351" t="s">
        <v>47</v>
      </c>
      <c r="F351">
        <v>3244.5</v>
      </c>
      <c r="G351">
        <v>250</v>
      </c>
      <c r="H351">
        <v>12</v>
      </c>
      <c r="I351">
        <v>38934</v>
      </c>
      <c r="J351">
        <v>2725.38</v>
      </c>
      <c r="K351">
        <v>36208.620000000003</v>
      </c>
      <c r="L351">
        <v>9733.5</v>
      </c>
      <c r="M351">
        <v>26475.119999999999</v>
      </c>
      <c r="N351" s="1">
        <v>41640</v>
      </c>
      <c r="O351">
        <v>1</v>
      </c>
      <c r="P351" t="s">
        <v>21</v>
      </c>
      <c r="Q351">
        <v>2014</v>
      </c>
    </row>
    <row r="352" spans="1:17" x14ac:dyDescent="0.3">
      <c r="A352" t="str">
        <f t="shared" ca="1" si="5"/>
        <v>ORD-2014-Fra-9673</v>
      </c>
      <c r="B352" t="s">
        <v>33</v>
      </c>
      <c r="C352" t="s">
        <v>24</v>
      </c>
      <c r="D352" t="s">
        <v>42</v>
      </c>
      <c r="E352" t="s">
        <v>47</v>
      </c>
      <c r="F352">
        <v>959</v>
      </c>
      <c r="G352">
        <v>250</v>
      </c>
      <c r="H352">
        <v>300</v>
      </c>
      <c r="I352">
        <v>287700</v>
      </c>
      <c r="J352">
        <v>20139</v>
      </c>
      <c r="K352">
        <v>267561</v>
      </c>
      <c r="L352">
        <v>239750</v>
      </c>
      <c r="M352">
        <v>27811</v>
      </c>
      <c r="N352" s="1">
        <v>41671</v>
      </c>
      <c r="O352">
        <v>2</v>
      </c>
      <c r="P352" t="s">
        <v>39</v>
      </c>
      <c r="Q352">
        <v>2014</v>
      </c>
    </row>
    <row r="353" spans="1:17" x14ac:dyDescent="0.3">
      <c r="A353" t="str">
        <f t="shared" ca="1" si="5"/>
        <v>ORD-2014-Mex-5724</v>
      </c>
      <c r="B353" t="s">
        <v>33</v>
      </c>
      <c r="C353" t="s">
        <v>26</v>
      </c>
      <c r="D353" t="s">
        <v>42</v>
      </c>
      <c r="E353" t="s">
        <v>47</v>
      </c>
      <c r="F353">
        <v>2747</v>
      </c>
      <c r="G353">
        <v>250</v>
      </c>
      <c r="H353">
        <v>300</v>
      </c>
      <c r="I353">
        <v>824100</v>
      </c>
      <c r="J353">
        <v>57687</v>
      </c>
      <c r="K353">
        <v>766413</v>
      </c>
      <c r="L353">
        <v>686750</v>
      </c>
      <c r="M353">
        <v>79663</v>
      </c>
      <c r="N353" s="1">
        <v>41671</v>
      </c>
      <c r="O353">
        <v>2</v>
      </c>
      <c r="P353" t="s">
        <v>39</v>
      </c>
      <c r="Q353">
        <v>2014</v>
      </c>
    </row>
    <row r="354" spans="1:17" x14ac:dyDescent="0.3">
      <c r="A354" t="str">
        <f t="shared" ca="1" si="5"/>
        <v>ORD-2014-Ca0-2593</v>
      </c>
      <c r="B354" t="s">
        <v>31</v>
      </c>
      <c r="C354" t="s">
        <v>18</v>
      </c>
      <c r="D354" t="s">
        <v>44</v>
      </c>
      <c r="E354" t="s">
        <v>47</v>
      </c>
      <c r="F354">
        <v>1645</v>
      </c>
      <c r="G354">
        <v>260</v>
      </c>
      <c r="H354">
        <v>125</v>
      </c>
      <c r="I354">
        <v>205625</v>
      </c>
      <c r="J354">
        <v>14393.75</v>
      </c>
      <c r="K354">
        <v>191231.25</v>
      </c>
      <c r="L354">
        <v>197400</v>
      </c>
      <c r="M354">
        <f>K354-L354</f>
        <v>-6168.75</v>
      </c>
      <c r="N354" s="1">
        <v>41760</v>
      </c>
      <c r="O354">
        <v>5</v>
      </c>
      <c r="P354" t="s">
        <v>46</v>
      </c>
      <c r="Q354">
        <v>2014</v>
      </c>
    </row>
    <row r="355" spans="1:17" x14ac:dyDescent="0.3">
      <c r="A355" t="str">
        <f t="shared" ca="1" si="5"/>
        <v>ORD-2014-Fra-5369</v>
      </c>
      <c r="B355" t="s">
        <v>17</v>
      </c>
      <c r="C355" t="s">
        <v>24</v>
      </c>
      <c r="D355" t="s">
        <v>44</v>
      </c>
      <c r="E355" t="s">
        <v>47</v>
      </c>
      <c r="F355">
        <v>2876</v>
      </c>
      <c r="G355">
        <v>260</v>
      </c>
      <c r="H355">
        <v>350</v>
      </c>
      <c r="I355">
        <v>1006600</v>
      </c>
      <c r="J355">
        <v>70462</v>
      </c>
      <c r="K355">
        <v>936138</v>
      </c>
      <c r="L355">
        <v>747760</v>
      </c>
      <c r="M355">
        <v>188378</v>
      </c>
      <c r="N355" s="1">
        <v>41883</v>
      </c>
      <c r="O355">
        <v>9</v>
      </c>
      <c r="P355" t="s">
        <v>35</v>
      </c>
      <c r="Q355">
        <v>2014</v>
      </c>
    </row>
    <row r="356" spans="1:17" x14ac:dyDescent="0.3">
      <c r="A356" t="str">
        <f t="shared" ca="1" si="5"/>
        <v>ORD-2013-Ger-6775</v>
      </c>
      <c r="B356" t="s">
        <v>31</v>
      </c>
      <c r="C356" t="s">
        <v>22</v>
      </c>
      <c r="D356" t="s">
        <v>44</v>
      </c>
      <c r="E356" t="s">
        <v>47</v>
      </c>
      <c r="F356">
        <v>994</v>
      </c>
      <c r="G356">
        <v>260</v>
      </c>
      <c r="H356">
        <v>125</v>
      </c>
      <c r="I356">
        <v>124250</v>
      </c>
      <c r="J356">
        <v>8697.5</v>
      </c>
      <c r="K356">
        <v>115552.5</v>
      </c>
      <c r="L356">
        <v>119280</v>
      </c>
      <c r="M356">
        <f>K356-L356</f>
        <v>-3727.5</v>
      </c>
      <c r="N356" s="1">
        <v>41518</v>
      </c>
      <c r="O356">
        <v>9</v>
      </c>
      <c r="P356" t="s">
        <v>35</v>
      </c>
      <c r="Q356">
        <v>2013</v>
      </c>
    </row>
    <row r="357" spans="1:17" x14ac:dyDescent="0.3">
      <c r="A357" t="str">
        <f t="shared" ca="1" si="5"/>
        <v>ORD-2014-Ca0-2985</v>
      </c>
      <c r="B357" t="s">
        <v>17</v>
      </c>
      <c r="C357" t="s">
        <v>18</v>
      </c>
      <c r="D357" t="s">
        <v>44</v>
      </c>
      <c r="E357" t="s">
        <v>47</v>
      </c>
      <c r="F357">
        <v>1118</v>
      </c>
      <c r="G357">
        <v>260</v>
      </c>
      <c r="H357">
        <v>20</v>
      </c>
      <c r="I357">
        <v>22360</v>
      </c>
      <c r="J357">
        <v>1565.2</v>
      </c>
      <c r="K357">
        <v>20794.8</v>
      </c>
      <c r="L357">
        <v>11180</v>
      </c>
      <c r="M357">
        <v>9614.7999999999993</v>
      </c>
      <c r="N357" s="1">
        <v>41944</v>
      </c>
      <c r="O357">
        <v>11</v>
      </c>
      <c r="P357" t="s">
        <v>40</v>
      </c>
      <c r="Q357">
        <v>2014</v>
      </c>
    </row>
    <row r="358" spans="1:17" x14ac:dyDescent="0.3">
      <c r="A358" t="str">
        <f t="shared" ca="1" si="5"/>
        <v>ORD-2014-Uni-7998</v>
      </c>
      <c r="B358" t="s">
        <v>33</v>
      </c>
      <c r="C358" t="s">
        <v>37</v>
      </c>
      <c r="D358" t="s">
        <v>44</v>
      </c>
      <c r="E358" t="s">
        <v>47</v>
      </c>
      <c r="F358">
        <v>1372</v>
      </c>
      <c r="G358">
        <v>260</v>
      </c>
      <c r="H358">
        <v>300</v>
      </c>
      <c r="I358">
        <v>411600</v>
      </c>
      <c r="J358">
        <v>28812</v>
      </c>
      <c r="K358">
        <v>382788</v>
      </c>
      <c r="L358">
        <v>343000</v>
      </c>
      <c r="M358">
        <v>39788</v>
      </c>
      <c r="N358" s="1">
        <v>41974</v>
      </c>
      <c r="O358">
        <v>12</v>
      </c>
      <c r="P358" t="s">
        <v>27</v>
      </c>
      <c r="Q358">
        <v>2014</v>
      </c>
    </row>
    <row r="359" spans="1:17" x14ac:dyDescent="0.3">
      <c r="A359" t="str">
        <f t="shared" ca="1" si="5"/>
        <v>ORD-2014-Ca0-8434</v>
      </c>
      <c r="B359" t="s">
        <v>17</v>
      </c>
      <c r="C359" t="s">
        <v>18</v>
      </c>
      <c r="D359" t="s">
        <v>28</v>
      </c>
      <c r="E359" t="s">
        <v>47</v>
      </c>
      <c r="F359">
        <v>488</v>
      </c>
      <c r="G359">
        <v>5</v>
      </c>
      <c r="H359">
        <v>7</v>
      </c>
      <c r="I359">
        <v>3416</v>
      </c>
      <c r="J359">
        <v>273.27999999999997</v>
      </c>
      <c r="K359">
        <v>3142.72</v>
      </c>
      <c r="L359">
        <v>2440</v>
      </c>
      <c r="M359">
        <v>702.72</v>
      </c>
      <c r="N359" s="1">
        <v>41671</v>
      </c>
      <c r="O359">
        <v>2</v>
      </c>
      <c r="P359" t="s">
        <v>39</v>
      </c>
      <c r="Q359">
        <v>2014</v>
      </c>
    </row>
    <row r="360" spans="1:17" x14ac:dyDescent="0.3">
      <c r="A360" t="str">
        <f t="shared" ca="1" si="5"/>
        <v>ORD-2014-Uni-8013</v>
      </c>
      <c r="B360" t="s">
        <v>17</v>
      </c>
      <c r="C360" t="s">
        <v>37</v>
      </c>
      <c r="D360" t="s">
        <v>28</v>
      </c>
      <c r="E360" t="s">
        <v>47</v>
      </c>
      <c r="F360">
        <v>1282</v>
      </c>
      <c r="G360">
        <v>5</v>
      </c>
      <c r="H360">
        <v>20</v>
      </c>
      <c r="I360">
        <v>25640</v>
      </c>
      <c r="J360">
        <v>2051.1999999999998</v>
      </c>
      <c r="K360">
        <v>23588.799999999999</v>
      </c>
      <c r="L360">
        <v>12820</v>
      </c>
      <c r="M360">
        <v>10768.8</v>
      </c>
      <c r="N360" s="1">
        <v>41791</v>
      </c>
      <c r="O360">
        <v>6</v>
      </c>
      <c r="P360" t="s">
        <v>25</v>
      </c>
      <c r="Q360">
        <v>2014</v>
      </c>
    </row>
    <row r="361" spans="1:17" x14ac:dyDescent="0.3">
      <c r="A361" t="str">
        <f t="shared" ca="1" si="5"/>
        <v>ORD-2014-Ca0-5352</v>
      </c>
      <c r="B361" t="s">
        <v>17</v>
      </c>
      <c r="C361" t="s">
        <v>18</v>
      </c>
      <c r="D361" t="s">
        <v>38</v>
      </c>
      <c r="E361" t="s">
        <v>47</v>
      </c>
      <c r="F361">
        <v>257</v>
      </c>
      <c r="G361">
        <v>10</v>
      </c>
      <c r="H361">
        <v>7</v>
      </c>
      <c r="I361">
        <v>1799</v>
      </c>
      <c r="J361">
        <v>143.91999999999999</v>
      </c>
      <c r="K361">
        <v>1655.08</v>
      </c>
      <c r="L361">
        <v>1285</v>
      </c>
      <c r="M361">
        <v>370.08</v>
      </c>
      <c r="N361" s="1">
        <v>41760</v>
      </c>
      <c r="O361">
        <v>5</v>
      </c>
      <c r="P361" t="s">
        <v>46</v>
      </c>
      <c r="Q361">
        <v>2014</v>
      </c>
    </row>
    <row r="362" spans="1:17" x14ac:dyDescent="0.3">
      <c r="A362" t="str">
        <f t="shared" ca="1" si="5"/>
        <v>ORD-2014-Uni-3207</v>
      </c>
      <c r="B362" t="s">
        <v>17</v>
      </c>
      <c r="C362" t="s">
        <v>37</v>
      </c>
      <c r="D362" t="s">
        <v>44</v>
      </c>
      <c r="E362" t="s">
        <v>47</v>
      </c>
      <c r="F362">
        <v>1282</v>
      </c>
      <c r="G362">
        <v>260</v>
      </c>
      <c r="H362">
        <v>20</v>
      </c>
      <c r="I362">
        <v>25640</v>
      </c>
      <c r="J362">
        <v>2051.1999999999998</v>
      </c>
      <c r="K362">
        <v>23588.799999999999</v>
      </c>
      <c r="L362">
        <v>12820</v>
      </c>
      <c r="M362">
        <v>10768.8</v>
      </c>
      <c r="N362" s="1">
        <v>41791</v>
      </c>
      <c r="O362">
        <v>6</v>
      </c>
      <c r="P362" t="s">
        <v>25</v>
      </c>
      <c r="Q362">
        <v>2014</v>
      </c>
    </row>
    <row r="363" spans="1:17" x14ac:dyDescent="0.3">
      <c r="A363" t="str">
        <f t="shared" ca="1" si="5"/>
        <v>ORD-2014-Mex-7248</v>
      </c>
      <c r="B363" t="s">
        <v>31</v>
      </c>
      <c r="C363" t="s">
        <v>26</v>
      </c>
      <c r="D363" t="s">
        <v>19</v>
      </c>
      <c r="E363" t="s">
        <v>47</v>
      </c>
      <c r="F363">
        <v>1540</v>
      </c>
      <c r="G363">
        <v>3</v>
      </c>
      <c r="H363">
        <v>125</v>
      </c>
      <c r="I363">
        <v>192500</v>
      </c>
      <c r="J363">
        <v>15400</v>
      </c>
      <c r="K363">
        <v>177100</v>
      </c>
      <c r="L363">
        <v>184800</v>
      </c>
      <c r="M363">
        <f>K363-L363</f>
        <v>-7700</v>
      </c>
      <c r="N363" s="1">
        <v>41852</v>
      </c>
      <c r="O363">
        <v>8</v>
      </c>
      <c r="P363" t="s">
        <v>34</v>
      </c>
      <c r="Q363">
        <v>2014</v>
      </c>
    </row>
    <row r="364" spans="1:17" x14ac:dyDescent="0.3">
      <c r="A364" t="str">
        <f t="shared" ca="1" si="5"/>
        <v>ORD-2014-Fra-4706</v>
      </c>
      <c r="B364" t="s">
        <v>23</v>
      </c>
      <c r="C364" t="s">
        <v>24</v>
      </c>
      <c r="D364" t="s">
        <v>19</v>
      </c>
      <c r="E364" t="s">
        <v>47</v>
      </c>
      <c r="F364">
        <v>490</v>
      </c>
      <c r="G364">
        <v>3</v>
      </c>
      <c r="H364">
        <v>15</v>
      </c>
      <c r="I364">
        <v>7350</v>
      </c>
      <c r="J364">
        <v>588</v>
      </c>
      <c r="K364">
        <v>6762</v>
      </c>
      <c r="L364">
        <v>4900</v>
      </c>
      <c r="M364">
        <v>1862</v>
      </c>
      <c r="N364" s="1">
        <v>41944</v>
      </c>
      <c r="O364">
        <v>11</v>
      </c>
      <c r="P364" t="s">
        <v>40</v>
      </c>
      <c r="Q364">
        <v>2014</v>
      </c>
    </row>
    <row r="365" spans="1:17" x14ac:dyDescent="0.3">
      <c r="A365" t="str">
        <f t="shared" ca="1" si="5"/>
        <v>ORD-2014-Mex-4767</v>
      </c>
      <c r="B365" t="s">
        <v>17</v>
      </c>
      <c r="C365" t="s">
        <v>26</v>
      </c>
      <c r="D365" t="s">
        <v>19</v>
      </c>
      <c r="E365" t="s">
        <v>47</v>
      </c>
      <c r="F365">
        <v>1362</v>
      </c>
      <c r="G365">
        <v>3</v>
      </c>
      <c r="H365">
        <v>350</v>
      </c>
      <c r="I365">
        <v>476700</v>
      </c>
      <c r="J365">
        <v>38136</v>
      </c>
      <c r="K365">
        <v>438564</v>
      </c>
      <c r="L365">
        <v>354120</v>
      </c>
      <c r="M365">
        <v>84444</v>
      </c>
      <c r="N365" s="1">
        <v>41974</v>
      </c>
      <c r="O365">
        <v>12</v>
      </c>
      <c r="P365" t="s">
        <v>27</v>
      </c>
      <c r="Q365">
        <v>2014</v>
      </c>
    </row>
    <row r="366" spans="1:17" x14ac:dyDescent="0.3">
      <c r="A366" t="str">
        <f t="shared" ca="1" si="5"/>
        <v>ORD-2014-Fra-9510</v>
      </c>
      <c r="B366" t="s">
        <v>23</v>
      </c>
      <c r="C366" t="s">
        <v>24</v>
      </c>
      <c r="D366" t="s">
        <v>28</v>
      </c>
      <c r="E366" t="s">
        <v>47</v>
      </c>
      <c r="F366">
        <v>2501</v>
      </c>
      <c r="G366">
        <v>5</v>
      </c>
      <c r="H366">
        <v>15</v>
      </c>
      <c r="I366">
        <v>37515</v>
      </c>
      <c r="J366">
        <v>3001.2</v>
      </c>
      <c r="K366">
        <v>34513.800000000003</v>
      </c>
      <c r="L366">
        <v>25010</v>
      </c>
      <c r="M366">
        <v>9503.7999999999993</v>
      </c>
      <c r="N366" s="1">
        <v>41699</v>
      </c>
      <c r="O366">
        <v>3</v>
      </c>
      <c r="P366" t="s">
        <v>29</v>
      </c>
      <c r="Q366">
        <v>2014</v>
      </c>
    </row>
    <row r="367" spans="1:17" x14ac:dyDescent="0.3">
      <c r="A367" t="str">
        <f t="shared" ca="1" si="5"/>
        <v>ORD-2014-Ca0-8339</v>
      </c>
      <c r="B367" t="s">
        <v>17</v>
      </c>
      <c r="C367" t="s">
        <v>18</v>
      </c>
      <c r="D367" t="s">
        <v>28</v>
      </c>
      <c r="E367" t="s">
        <v>47</v>
      </c>
      <c r="F367">
        <v>708</v>
      </c>
      <c r="G367">
        <v>5</v>
      </c>
      <c r="H367">
        <v>20</v>
      </c>
      <c r="I367">
        <v>14160</v>
      </c>
      <c r="J367">
        <v>1132.8</v>
      </c>
      <c r="K367">
        <v>13027.2</v>
      </c>
      <c r="L367">
        <v>7080</v>
      </c>
      <c r="M367">
        <v>5947.2</v>
      </c>
      <c r="N367" s="1">
        <v>41791</v>
      </c>
      <c r="O367">
        <v>6</v>
      </c>
      <c r="P367" t="s">
        <v>25</v>
      </c>
      <c r="Q367">
        <v>2014</v>
      </c>
    </row>
    <row r="368" spans="1:17" x14ac:dyDescent="0.3">
      <c r="A368" t="str">
        <f t="shared" ca="1" si="5"/>
        <v>ORD-2014-Ger-3118</v>
      </c>
      <c r="B368" t="s">
        <v>17</v>
      </c>
      <c r="C368" t="s">
        <v>22</v>
      </c>
      <c r="D368" t="s">
        <v>28</v>
      </c>
      <c r="E368" t="s">
        <v>47</v>
      </c>
      <c r="F368">
        <v>645</v>
      </c>
      <c r="G368">
        <v>5</v>
      </c>
      <c r="H368">
        <v>20</v>
      </c>
      <c r="I368">
        <v>12900</v>
      </c>
      <c r="J368">
        <v>1032</v>
      </c>
      <c r="K368">
        <v>11868</v>
      </c>
      <c r="L368">
        <v>6450</v>
      </c>
      <c r="M368">
        <v>5418</v>
      </c>
      <c r="N368" s="1">
        <v>41821</v>
      </c>
      <c r="O368">
        <v>7</v>
      </c>
      <c r="P368" t="s">
        <v>32</v>
      </c>
      <c r="Q368">
        <v>2014</v>
      </c>
    </row>
    <row r="369" spans="1:17" x14ac:dyDescent="0.3">
      <c r="A369" t="str">
        <f t="shared" ca="1" si="5"/>
        <v>ORD-2014-Fra-9968</v>
      </c>
      <c r="B369" t="s">
        <v>33</v>
      </c>
      <c r="C369" t="s">
        <v>24</v>
      </c>
      <c r="D369" t="s">
        <v>28</v>
      </c>
      <c r="E369" t="s">
        <v>47</v>
      </c>
      <c r="F369">
        <v>1562</v>
      </c>
      <c r="G369">
        <v>5</v>
      </c>
      <c r="H369">
        <v>300</v>
      </c>
      <c r="I369">
        <v>468600</v>
      </c>
      <c r="J369">
        <v>37488</v>
      </c>
      <c r="K369">
        <v>431112</v>
      </c>
      <c r="L369">
        <v>390500</v>
      </c>
      <c r="M369">
        <v>40612</v>
      </c>
      <c r="N369" s="1">
        <v>41852</v>
      </c>
      <c r="O369">
        <v>8</v>
      </c>
      <c r="P369" t="s">
        <v>34</v>
      </c>
      <c r="Q369">
        <v>2014</v>
      </c>
    </row>
    <row r="370" spans="1:17" x14ac:dyDescent="0.3">
      <c r="A370" t="str">
        <f t="shared" ca="1" si="5"/>
        <v>ORD-2013-Ca0-5047</v>
      </c>
      <c r="B370" t="s">
        <v>33</v>
      </c>
      <c r="C370" t="s">
        <v>18</v>
      </c>
      <c r="D370" t="s">
        <v>28</v>
      </c>
      <c r="E370" t="s">
        <v>47</v>
      </c>
      <c r="F370">
        <v>1283</v>
      </c>
      <c r="G370">
        <v>5</v>
      </c>
      <c r="H370">
        <v>300</v>
      </c>
      <c r="I370">
        <v>384900</v>
      </c>
      <c r="J370">
        <v>30792</v>
      </c>
      <c r="K370">
        <v>354108</v>
      </c>
      <c r="L370">
        <v>320750</v>
      </c>
      <c r="M370">
        <v>33358</v>
      </c>
      <c r="N370" s="1">
        <v>41518</v>
      </c>
      <c r="O370">
        <v>9</v>
      </c>
      <c r="P370" t="s">
        <v>35</v>
      </c>
      <c r="Q370">
        <v>2013</v>
      </c>
    </row>
    <row r="371" spans="1:17" x14ac:dyDescent="0.3">
      <c r="A371" t="str">
        <f t="shared" ca="1" si="5"/>
        <v>ORD-2014-Ger-5373</v>
      </c>
      <c r="B371" t="s">
        <v>23</v>
      </c>
      <c r="C371" t="s">
        <v>22</v>
      </c>
      <c r="D371" t="s">
        <v>28</v>
      </c>
      <c r="E371" t="s">
        <v>47</v>
      </c>
      <c r="F371">
        <v>711</v>
      </c>
      <c r="G371">
        <v>5</v>
      </c>
      <c r="H371">
        <v>15</v>
      </c>
      <c r="I371">
        <v>10665</v>
      </c>
      <c r="J371">
        <v>853.2</v>
      </c>
      <c r="K371">
        <v>9811.7999999999993</v>
      </c>
      <c r="L371">
        <v>7110</v>
      </c>
      <c r="M371">
        <v>2701.8</v>
      </c>
      <c r="N371" s="1">
        <v>41974</v>
      </c>
      <c r="O371">
        <v>12</v>
      </c>
      <c r="P371" t="s">
        <v>27</v>
      </c>
      <c r="Q371">
        <v>2014</v>
      </c>
    </row>
    <row r="372" spans="1:17" x14ac:dyDescent="0.3">
      <c r="A372" t="str">
        <f t="shared" ca="1" si="5"/>
        <v>ORD-2014-Mex-8181</v>
      </c>
      <c r="B372" t="s">
        <v>31</v>
      </c>
      <c r="C372" t="s">
        <v>26</v>
      </c>
      <c r="D372" t="s">
        <v>38</v>
      </c>
      <c r="E372" t="s">
        <v>47</v>
      </c>
      <c r="F372">
        <v>1114</v>
      </c>
      <c r="G372">
        <v>10</v>
      </c>
      <c r="H372">
        <v>125</v>
      </c>
      <c r="I372">
        <v>139250</v>
      </c>
      <c r="J372">
        <v>11140</v>
      </c>
      <c r="K372">
        <v>128110</v>
      </c>
      <c r="L372">
        <v>133680</v>
      </c>
      <c r="M372">
        <f>K372-L372</f>
        <v>-5570</v>
      </c>
      <c r="N372" s="1">
        <v>41699</v>
      </c>
      <c r="O372">
        <v>3</v>
      </c>
      <c r="P372" t="s">
        <v>29</v>
      </c>
      <c r="Q372">
        <v>2014</v>
      </c>
    </row>
    <row r="373" spans="1:17" x14ac:dyDescent="0.3">
      <c r="A373" t="str">
        <f t="shared" ca="1" si="5"/>
        <v>ORD-2014-Ger-5043</v>
      </c>
      <c r="B373" t="s">
        <v>17</v>
      </c>
      <c r="C373" t="s">
        <v>22</v>
      </c>
      <c r="D373" t="s">
        <v>38</v>
      </c>
      <c r="E373" t="s">
        <v>47</v>
      </c>
      <c r="F373">
        <v>1259</v>
      </c>
      <c r="G373">
        <v>10</v>
      </c>
      <c r="H373">
        <v>7</v>
      </c>
      <c r="I373">
        <v>8813</v>
      </c>
      <c r="J373">
        <v>705.04</v>
      </c>
      <c r="K373">
        <v>8107.96</v>
      </c>
      <c r="L373">
        <v>6295</v>
      </c>
      <c r="M373">
        <v>1812.96</v>
      </c>
      <c r="N373" s="1">
        <v>41730</v>
      </c>
      <c r="O373">
        <v>4</v>
      </c>
      <c r="P373" t="s">
        <v>43</v>
      </c>
      <c r="Q373">
        <v>2014</v>
      </c>
    </row>
    <row r="374" spans="1:17" x14ac:dyDescent="0.3">
      <c r="A374" t="str">
        <f t="shared" ca="1" si="5"/>
        <v>ORD-2014-Ger-2732</v>
      </c>
      <c r="B374" t="s">
        <v>17</v>
      </c>
      <c r="C374" t="s">
        <v>22</v>
      </c>
      <c r="D374" t="s">
        <v>38</v>
      </c>
      <c r="E374" t="s">
        <v>47</v>
      </c>
      <c r="F374">
        <v>1095</v>
      </c>
      <c r="G374">
        <v>10</v>
      </c>
      <c r="H374">
        <v>7</v>
      </c>
      <c r="I374">
        <v>7665</v>
      </c>
      <c r="J374">
        <v>613.20000000000005</v>
      </c>
      <c r="K374">
        <v>7051.8</v>
      </c>
      <c r="L374">
        <v>5475</v>
      </c>
      <c r="M374">
        <v>1576.8</v>
      </c>
      <c r="N374" s="1">
        <v>41760</v>
      </c>
      <c r="O374">
        <v>5</v>
      </c>
      <c r="P374" t="s">
        <v>46</v>
      </c>
      <c r="Q374">
        <v>2014</v>
      </c>
    </row>
    <row r="375" spans="1:17" x14ac:dyDescent="0.3">
      <c r="A375" t="str">
        <f t="shared" ca="1" si="5"/>
        <v>ORD-2014-Ger-7539</v>
      </c>
      <c r="B375" t="s">
        <v>17</v>
      </c>
      <c r="C375" t="s">
        <v>22</v>
      </c>
      <c r="D375" t="s">
        <v>38</v>
      </c>
      <c r="E375" t="s">
        <v>47</v>
      </c>
      <c r="F375">
        <v>1366</v>
      </c>
      <c r="G375">
        <v>10</v>
      </c>
      <c r="H375">
        <v>20</v>
      </c>
      <c r="I375">
        <v>27320</v>
      </c>
      <c r="J375">
        <v>2185.6</v>
      </c>
      <c r="K375">
        <v>25134.400000000001</v>
      </c>
      <c r="L375">
        <v>13660</v>
      </c>
      <c r="M375">
        <v>11474.4</v>
      </c>
      <c r="N375" s="1">
        <v>41791</v>
      </c>
      <c r="O375">
        <v>6</v>
      </c>
      <c r="P375" t="s">
        <v>25</v>
      </c>
      <c r="Q375">
        <v>2014</v>
      </c>
    </row>
    <row r="376" spans="1:17" x14ac:dyDescent="0.3">
      <c r="A376" t="str">
        <f t="shared" ca="1" si="5"/>
        <v>ORD-2014-Mex-8037</v>
      </c>
      <c r="B376" t="s">
        <v>33</v>
      </c>
      <c r="C376" t="s">
        <v>26</v>
      </c>
      <c r="D376" t="s">
        <v>38</v>
      </c>
      <c r="E376" t="s">
        <v>47</v>
      </c>
      <c r="F376">
        <v>2460</v>
      </c>
      <c r="G376">
        <v>10</v>
      </c>
      <c r="H376">
        <v>300</v>
      </c>
      <c r="I376">
        <v>738000</v>
      </c>
      <c r="J376">
        <v>59040</v>
      </c>
      <c r="K376">
        <v>678960</v>
      </c>
      <c r="L376">
        <v>615000</v>
      </c>
      <c r="M376">
        <v>63960</v>
      </c>
      <c r="N376" s="1">
        <v>41791</v>
      </c>
      <c r="O376">
        <v>6</v>
      </c>
      <c r="P376" t="s">
        <v>25</v>
      </c>
      <c r="Q376">
        <v>2014</v>
      </c>
    </row>
    <row r="377" spans="1:17" x14ac:dyDescent="0.3">
      <c r="A377" t="str">
        <f t="shared" ca="1" si="5"/>
        <v>ORD-2014-Uni-2193</v>
      </c>
      <c r="B377" t="s">
        <v>17</v>
      </c>
      <c r="C377" t="s">
        <v>37</v>
      </c>
      <c r="D377" t="s">
        <v>38</v>
      </c>
      <c r="E377" t="s">
        <v>47</v>
      </c>
      <c r="F377">
        <v>678</v>
      </c>
      <c r="G377">
        <v>10</v>
      </c>
      <c r="H377">
        <v>7</v>
      </c>
      <c r="I377">
        <v>4746</v>
      </c>
      <c r="J377">
        <v>379.68</v>
      </c>
      <c r="K377">
        <v>4366.32</v>
      </c>
      <c r="L377">
        <v>3390</v>
      </c>
      <c r="M377">
        <v>976.32</v>
      </c>
      <c r="N377" s="1">
        <v>41852</v>
      </c>
      <c r="O377">
        <v>8</v>
      </c>
      <c r="P377" t="s">
        <v>34</v>
      </c>
      <c r="Q377">
        <v>2014</v>
      </c>
    </row>
    <row r="378" spans="1:17" x14ac:dyDescent="0.3">
      <c r="A378" t="str">
        <f t="shared" ca="1" si="5"/>
        <v>ORD-2014-Ger-7079</v>
      </c>
      <c r="B378" t="s">
        <v>17</v>
      </c>
      <c r="C378" t="s">
        <v>22</v>
      </c>
      <c r="D378" t="s">
        <v>38</v>
      </c>
      <c r="E378" t="s">
        <v>47</v>
      </c>
      <c r="F378">
        <v>1598</v>
      </c>
      <c r="G378">
        <v>10</v>
      </c>
      <c r="H378">
        <v>7</v>
      </c>
      <c r="I378">
        <v>11186</v>
      </c>
      <c r="J378">
        <v>894.88</v>
      </c>
      <c r="K378">
        <v>10291.120000000001</v>
      </c>
      <c r="L378">
        <v>7990</v>
      </c>
      <c r="M378">
        <v>2301.12</v>
      </c>
      <c r="N378" s="1">
        <v>41852</v>
      </c>
      <c r="O378">
        <v>8</v>
      </c>
      <c r="P378" t="s">
        <v>34</v>
      </c>
      <c r="Q378">
        <v>2014</v>
      </c>
    </row>
    <row r="379" spans="1:17" x14ac:dyDescent="0.3">
      <c r="A379" t="str">
        <f t="shared" ca="1" si="5"/>
        <v>ORD-2013-Ger-5827</v>
      </c>
      <c r="B379" t="s">
        <v>17</v>
      </c>
      <c r="C379" t="s">
        <v>22</v>
      </c>
      <c r="D379" t="s">
        <v>38</v>
      </c>
      <c r="E379" t="s">
        <v>47</v>
      </c>
      <c r="F379">
        <v>2409</v>
      </c>
      <c r="G379">
        <v>10</v>
      </c>
      <c r="H379">
        <v>7</v>
      </c>
      <c r="I379">
        <v>16863</v>
      </c>
      <c r="J379">
        <v>1349.04</v>
      </c>
      <c r="K379">
        <v>15513.96</v>
      </c>
      <c r="L379">
        <v>12045</v>
      </c>
      <c r="M379">
        <v>3468.96</v>
      </c>
      <c r="N379" s="1">
        <v>41518</v>
      </c>
      <c r="O379">
        <v>9</v>
      </c>
      <c r="P379" t="s">
        <v>35</v>
      </c>
      <c r="Q379">
        <v>2013</v>
      </c>
    </row>
    <row r="380" spans="1:17" x14ac:dyDescent="0.3">
      <c r="A380" t="str">
        <f t="shared" ca="1" si="5"/>
        <v>ORD-2014-Ger-2085</v>
      </c>
      <c r="B380" t="s">
        <v>17</v>
      </c>
      <c r="C380" t="s">
        <v>22</v>
      </c>
      <c r="D380" t="s">
        <v>38</v>
      </c>
      <c r="E380" t="s">
        <v>47</v>
      </c>
      <c r="F380">
        <v>1934</v>
      </c>
      <c r="G380">
        <v>10</v>
      </c>
      <c r="H380">
        <v>20</v>
      </c>
      <c r="I380">
        <v>38680</v>
      </c>
      <c r="J380">
        <v>3094.4</v>
      </c>
      <c r="K380">
        <v>35585.599999999999</v>
      </c>
      <c r="L380">
        <v>19340</v>
      </c>
      <c r="M380">
        <v>16245.6</v>
      </c>
      <c r="N380" s="1">
        <v>41883</v>
      </c>
      <c r="O380">
        <v>9</v>
      </c>
      <c r="P380" t="s">
        <v>35</v>
      </c>
      <c r="Q380">
        <v>2014</v>
      </c>
    </row>
    <row r="381" spans="1:17" x14ac:dyDescent="0.3">
      <c r="A381" t="str">
        <f t="shared" ca="1" si="5"/>
        <v>ORD-2014-Mex-6287</v>
      </c>
      <c r="B381" t="s">
        <v>17</v>
      </c>
      <c r="C381" t="s">
        <v>26</v>
      </c>
      <c r="D381" t="s">
        <v>38</v>
      </c>
      <c r="E381" t="s">
        <v>47</v>
      </c>
      <c r="F381">
        <v>2993</v>
      </c>
      <c r="G381">
        <v>10</v>
      </c>
      <c r="H381">
        <v>20</v>
      </c>
      <c r="I381">
        <v>59860</v>
      </c>
      <c r="J381">
        <v>4788.8</v>
      </c>
      <c r="K381">
        <v>55071.199999999997</v>
      </c>
      <c r="L381">
        <v>29930</v>
      </c>
      <c r="M381">
        <v>25141.200000000001</v>
      </c>
      <c r="N381" s="1">
        <v>41883</v>
      </c>
      <c r="O381">
        <v>9</v>
      </c>
      <c r="P381" t="s">
        <v>35</v>
      </c>
      <c r="Q381">
        <v>2014</v>
      </c>
    </row>
    <row r="382" spans="1:17" x14ac:dyDescent="0.3">
      <c r="A382" t="str">
        <f t="shared" ca="1" si="5"/>
        <v>ORD-2013-Ger-1186</v>
      </c>
      <c r="B382" t="s">
        <v>17</v>
      </c>
      <c r="C382" t="s">
        <v>22</v>
      </c>
      <c r="D382" t="s">
        <v>38</v>
      </c>
      <c r="E382" t="s">
        <v>47</v>
      </c>
      <c r="F382">
        <v>2146</v>
      </c>
      <c r="G382">
        <v>10</v>
      </c>
      <c r="H382">
        <v>350</v>
      </c>
      <c r="I382">
        <v>751100</v>
      </c>
      <c r="J382">
        <v>60088</v>
      </c>
      <c r="K382">
        <v>691012</v>
      </c>
      <c r="L382">
        <v>557960</v>
      </c>
      <c r="M382">
        <v>133052</v>
      </c>
      <c r="N382" s="1">
        <v>41579</v>
      </c>
      <c r="O382">
        <v>11</v>
      </c>
      <c r="P382" t="s">
        <v>40</v>
      </c>
      <c r="Q382">
        <v>2013</v>
      </c>
    </row>
    <row r="383" spans="1:17" x14ac:dyDescent="0.3">
      <c r="A383" t="str">
        <f t="shared" ca="1" si="5"/>
        <v>ORD-2013-Mex-1176</v>
      </c>
      <c r="B383" t="s">
        <v>17</v>
      </c>
      <c r="C383" t="s">
        <v>26</v>
      </c>
      <c r="D383" t="s">
        <v>38</v>
      </c>
      <c r="E383" t="s">
        <v>47</v>
      </c>
      <c r="F383">
        <v>1946</v>
      </c>
      <c r="G383">
        <v>10</v>
      </c>
      <c r="H383">
        <v>7</v>
      </c>
      <c r="I383">
        <v>13622</v>
      </c>
      <c r="J383">
        <v>1089.76</v>
      </c>
      <c r="K383">
        <v>12532.24</v>
      </c>
      <c r="L383">
        <v>9730</v>
      </c>
      <c r="M383">
        <v>2802.24</v>
      </c>
      <c r="N383" s="1">
        <v>41609</v>
      </c>
      <c r="O383">
        <v>12</v>
      </c>
      <c r="P383" t="s">
        <v>27</v>
      </c>
      <c r="Q383">
        <v>2013</v>
      </c>
    </row>
    <row r="384" spans="1:17" x14ac:dyDescent="0.3">
      <c r="A384" t="str">
        <f t="shared" ca="1" si="5"/>
        <v>ORD-2014-Mex-2832</v>
      </c>
      <c r="B384" t="s">
        <v>17</v>
      </c>
      <c r="C384" t="s">
        <v>26</v>
      </c>
      <c r="D384" t="s">
        <v>38</v>
      </c>
      <c r="E384" t="s">
        <v>47</v>
      </c>
      <c r="F384">
        <v>1362</v>
      </c>
      <c r="G384">
        <v>10</v>
      </c>
      <c r="H384">
        <v>350</v>
      </c>
      <c r="I384">
        <v>476700</v>
      </c>
      <c r="J384">
        <v>38136</v>
      </c>
      <c r="K384">
        <v>438564</v>
      </c>
      <c r="L384">
        <v>354120</v>
      </c>
      <c r="M384">
        <v>84444</v>
      </c>
      <c r="N384" s="1">
        <v>41974</v>
      </c>
      <c r="O384">
        <v>12</v>
      </c>
      <c r="P384" t="s">
        <v>27</v>
      </c>
      <c r="Q384">
        <v>2014</v>
      </c>
    </row>
    <row r="385" spans="1:17" x14ac:dyDescent="0.3">
      <c r="A385" t="str">
        <f t="shared" ca="1" si="5"/>
        <v>ORD-2014-Ca0-1836</v>
      </c>
      <c r="B385" t="s">
        <v>30</v>
      </c>
      <c r="C385" t="s">
        <v>18</v>
      </c>
      <c r="D385" t="s">
        <v>41</v>
      </c>
      <c r="E385" t="s">
        <v>47</v>
      </c>
      <c r="F385">
        <v>598</v>
      </c>
      <c r="G385">
        <v>120</v>
      </c>
      <c r="H385">
        <v>12</v>
      </c>
      <c r="I385">
        <v>7176</v>
      </c>
      <c r="J385">
        <v>574.08000000000004</v>
      </c>
      <c r="K385">
        <v>6601.92</v>
      </c>
      <c r="L385">
        <v>1794</v>
      </c>
      <c r="M385">
        <v>4807.92</v>
      </c>
      <c r="N385" s="1">
        <v>41699</v>
      </c>
      <c r="O385">
        <v>3</v>
      </c>
      <c r="P385" t="s">
        <v>29</v>
      </c>
      <c r="Q385">
        <v>2014</v>
      </c>
    </row>
    <row r="386" spans="1:17" x14ac:dyDescent="0.3">
      <c r="A386" t="str">
        <f t="shared" ca="1" si="5"/>
        <v>ORD-2014-Uni-4123</v>
      </c>
      <c r="B386" t="s">
        <v>17</v>
      </c>
      <c r="C386" t="s">
        <v>37</v>
      </c>
      <c r="D386" t="s">
        <v>41</v>
      </c>
      <c r="E386" t="s">
        <v>47</v>
      </c>
      <c r="F386">
        <v>2907</v>
      </c>
      <c r="G386">
        <v>120</v>
      </c>
      <c r="H386">
        <v>7</v>
      </c>
      <c r="I386">
        <v>20349</v>
      </c>
      <c r="J386">
        <v>1627.92</v>
      </c>
      <c r="K386">
        <v>18721.080000000002</v>
      </c>
      <c r="L386">
        <v>14535</v>
      </c>
      <c r="M386">
        <v>4186.08</v>
      </c>
      <c r="N386" s="1">
        <v>41791</v>
      </c>
      <c r="O386">
        <v>6</v>
      </c>
      <c r="P386" t="s">
        <v>25</v>
      </c>
      <c r="Q386">
        <v>2014</v>
      </c>
    </row>
    <row r="387" spans="1:17" x14ac:dyDescent="0.3">
      <c r="A387" t="str">
        <f t="shared" ref="A387:A450" ca="1" si="6">"ORD-" &amp; YEAR(N387) &amp; "-"  &amp; LEFT(C387,3) &amp; "-" &amp; RANDBETWEEN(1000,9999)</f>
        <v>ORD-2014-Ger-1543</v>
      </c>
      <c r="B387" t="s">
        <v>17</v>
      </c>
      <c r="C387" t="s">
        <v>22</v>
      </c>
      <c r="D387" t="s">
        <v>41</v>
      </c>
      <c r="E387" t="s">
        <v>47</v>
      </c>
      <c r="F387">
        <v>2338</v>
      </c>
      <c r="G387">
        <v>120</v>
      </c>
      <c r="H387">
        <v>7</v>
      </c>
      <c r="I387">
        <v>16366</v>
      </c>
      <c r="J387">
        <v>1309.28</v>
      </c>
      <c r="K387">
        <v>15056.72</v>
      </c>
      <c r="L387">
        <v>11690</v>
      </c>
      <c r="M387">
        <v>3366.72</v>
      </c>
      <c r="N387" s="1">
        <v>41791</v>
      </c>
      <c r="O387">
        <v>6</v>
      </c>
      <c r="P387" t="s">
        <v>25</v>
      </c>
      <c r="Q387">
        <v>2014</v>
      </c>
    </row>
    <row r="388" spans="1:17" x14ac:dyDescent="0.3">
      <c r="A388" t="str">
        <f t="shared" ca="1" si="6"/>
        <v>ORD-2013-Fra-5502</v>
      </c>
      <c r="B388" t="s">
        <v>33</v>
      </c>
      <c r="C388" t="s">
        <v>24</v>
      </c>
      <c r="D388" t="s">
        <v>41</v>
      </c>
      <c r="E388" t="s">
        <v>47</v>
      </c>
      <c r="F388">
        <v>386</v>
      </c>
      <c r="G388">
        <v>120</v>
      </c>
      <c r="H388">
        <v>300</v>
      </c>
      <c r="I388">
        <v>115800</v>
      </c>
      <c r="J388">
        <v>9264</v>
      </c>
      <c r="K388">
        <v>106536</v>
      </c>
      <c r="L388">
        <v>96500</v>
      </c>
      <c r="M388">
        <v>10036</v>
      </c>
      <c r="N388" s="1">
        <v>41579</v>
      </c>
      <c r="O388">
        <v>11</v>
      </c>
      <c r="P388" t="s">
        <v>40</v>
      </c>
      <c r="Q388">
        <v>2013</v>
      </c>
    </row>
    <row r="389" spans="1:17" x14ac:dyDescent="0.3">
      <c r="A389" t="str">
        <f t="shared" ca="1" si="6"/>
        <v>ORD-2014-Mex-8513</v>
      </c>
      <c r="B389" t="s">
        <v>33</v>
      </c>
      <c r="C389" t="s">
        <v>26</v>
      </c>
      <c r="D389" t="s">
        <v>41</v>
      </c>
      <c r="E389" t="s">
        <v>47</v>
      </c>
      <c r="F389">
        <v>635</v>
      </c>
      <c r="G389">
        <v>120</v>
      </c>
      <c r="H389">
        <v>300</v>
      </c>
      <c r="I389">
        <v>190500</v>
      </c>
      <c r="J389">
        <v>15240</v>
      </c>
      <c r="K389">
        <v>175260</v>
      </c>
      <c r="L389">
        <v>158750</v>
      </c>
      <c r="M389">
        <v>16510</v>
      </c>
      <c r="N389" s="1">
        <v>41974</v>
      </c>
      <c r="O389">
        <v>12</v>
      </c>
      <c r="P389" t="s">
        <v>27</v>
      </c>
      <c r="Q389">
        <v>2014</v>
      </c>
    </row>
    <row r="390" spans="1:17" x14ac:dyDescent="0.3">
      <c r="A390" t="str">
        <f t="shared" ca="1" si="6"/>
        <v>ORD-2014-Fra-1411</v>
      </c>
      <c r="B390" t="s">
        <v>17</v>
      </c>
      <c r="C390" t="s">
        <v>24</v>
      </c>
      <c r="D390" t="s">
        <v>42</v>
      </c>
      <c r="E390" t="s">
        <v>47</v>
      </c>
      <c r="F390">
        <v>574.5</v>
      </c>
      <c r="G390">
        <v>250</v>
      </c>
      <c r="H390">
        <v>350</v>
      </c>
      <c r="I390">
        <v>201075</v>
      </c>
      <c r="J390">
        <v>16086</v>
      </c>
      <c r="K390">
        <v>184989</v>
      </c>
      <c r="L390">
        <v>149370</v>
      </c>
      <c r="M390">
        <v>35619</v>
      </c>
      <c r="N390" s="1">
        <v>41730</v>
      </c>
      <c r="O390">
        <v>4</v>
      </c>
      <c r="P390" t="s">
        <v>43</v>
      </c>
      <c r="Q390">
        <v>2014</v>
      </c>
    </row>
    <row r="391" spans="1:17" x14ac:dyDescent="0.3">
      <c r="A391" t="str">
        <f t="shared" ca="1" si="6"/>
        <v>ORD-2014-Ger-9428</v>
      </c>
      <c r="B391" t="s">
        <v>17</v>
      </c>
      <c r="C391" t="s">
        <v>22</v>
      </c>
      <c r="D391" t="s">
        <v>42</v>
      </c>
      <c r="E391" t="s">
        <v>47</v>
      </c>
      <c r="F391">
        <v>2338</v>
      </c>
      <c r="G391">
        <v>250</v>
      </c>
      <c r="H391">
        <v>7</v>
      </c>
      <c r="I391">
        <v>16366</v>
      </c>
      <c r="J391">
        <v>1309.28</v>
      </c>
      <c r="K391">
        <v>15056.72</v>
      </c>
      <c r="L391">
        <v>11690</v>
      </c>
      <c r="M391">
        <v>3366.72</v>
      </c>
      <c r="N391" s="1">
        <v>41791</v>
      </c>
      <c r="O391">
        <v>6</v>
      </c>
      <c r="P391" t="s">
        <v>25</v>
      </c>
      <c r="Q391">
        <v>2014</v>
      </c>
    </row>
    <row r="392" spans="1:17" x14ac:dyDescent="0.3">
      <c r="A392" t="str">
        <f t="shared" ca="1" si="6"/>
        <v>ORD-2014-Fra-1386</v>
      </c>
      <c r="B392" t="s">
        <v>17</v>
      </c>
      <c r="C392" t="s">
        <v>24</v>
      </c>
      <c r="D392" t="s">
        <v>42</v>
      </c>
      <c r="E392" t="s">
        <v>47</v>
      </c>
      <c r="F392">
        <v>381</v>
      </c>
      <c r="G392">
        <v>250</v>
      </c>
      <c r="H392">
        <v>350</v>
      </c>
      <c r="I392">
        <v>133350</v>
      </c>
      <c r="J392">
        <v>10668</v>
      </c>
      <c r="K392">
        <v>122682</v>
      </c>
      <c r="L392">
        <v>99060</v>
      </c>
      <c r="M392">
        <v>23622</v>
      </c>
      <c r="N392" s="1">
        <v>41852</v>
      </c>
      <c r="O392">
        <v>8</v>
      </c>
      <c r="P392" t="s">
        <v>34</v>
      </c>
      <c r="Q392">
        <v>2014</v>
      </c>
    </row>
    <row r="393" spans="1:17" x14ac:dyDescent="0.3">
      <c r="A393" t="str">
        <f t="shared" ca="1" si="6"/>
        <v>ORD-2014-Ger-3897</v>
      </c>
      <c r="B393" t="s">
        <v>17</v>
      </c>
      <c r="C393" t="s">
        <v>22</v>
      </c>
      <c r="D393" t="s">
        <v>42</v>
      </c>
      <c r="E393" t="s">
        <v>47</v>
      </c>
      <c r="F393">
        <v>422</v>
      </c>
      <c r="G393">
        <v>250</v>
      </c>
      <c r="H393">
        <v>350</v>
      </c>
      <c r="I393">
        <v>147700</v>
      </c>
      <c r="J393">
        <v>11816</v>
      </c>
      <c r="K393">
        <v>135884</v>
      </c>
      <c r="L393">
        <v>109720</v>
      </c>
      <c r="M393">
        <v>26164</v>
      </c>
      <c r="N393" s="1">
        <v>41852</v>
      </c>
      <c r="O393">
        <v>8</v>
      </c>
      <c r="P393" t="s">
        <v>34</v>
      </c>
      <c r="Q393">
        <v>2014</v>
      </c>
    </row>
    <row r="394" spans="1:17" x14ac:dyDescent="0.3">
      <c r="A394" t="str">
        <f t="shared" ca="1" si="6"/>
        <v>ORD-2014-Ca0-6336</v>
      </c>
      <c r="B394" t="s">
        <v>33</v>
      </c>
      <c r="C394" t="s">
        <v>18</v>
      </c>
      <c r="D394" t="s">
        <v>42</v>
      </c>
      <c r="E394" t="s">
        <v>47</v>
      </c>
      <c r="F394">
        <v>2134</v>
      </c>
      <c r="G394">
        <v>250</v>
      </c>
      <c r="H394">
        <v>300</v>
      </c>
      <c r="I394">
        <v>640200</v>
      </c>
      <c r="J394">
        <v>51216</v>
      </c>
      <c r="K394">
        <v>588984</v>
      </c>
      <c r="L394">
        <v>533500</v>
      </c>
      <c r="M394">
        <v>55484</v>
      </c>
      <c r="N394" s="1">
        <v>41883</v>
      </c>
      <c r="O394">
        <v>9</v>
      </c>
      <c r="P394" t="s">
        <v>35</v>
      </c>
      <c r="Q394">
        <v>2014</v>
      </c>
    </row>
    <row r="395" spans="1:17" x14ac:dyDescent="0.3">
      <c r="A395" t="str">
        <f t="shared" ca="1" si="6"/>
        <v>ORD-2013-Uni-7230</v>
      </c>
      <c r="B395" t="s">
        <v>33</v>
      </c>
      <c r="C395" t="s">
        <v>37</v>
      </c>
      <c r="D395" t="s">
        <v>42</v>
      </c>
      <c r="E395" t="s">
        <v>47</v>
      </c>
      <c r="F395">
        <v>808</v>
      </c>
      <c r="G395">
        <v>250</v>
      </c>
      <c r="H395">
        <v>300</v>
      </c>
      <c r="I395">
        <v>242400</v>
      </c>
      <c r="J395">
        <v>19392</v>
      </c>
      <c r="K395">
        <v>223008</v>
      </c>
      <c r="L395">
        <v>202000</v>
      </c>
      <c r="M395">
        <v>21008</v>
      </c>
      <c r="N395" s="1">
        <v>41609</v>
      </c>
      <c r="O395">
        <v>12</v>
      </c>
      <c r="P395" t="s">
        <v>27</v>
      </c>
      <c r="Q395">
        <v>2013</v>
      </c>
    </row>
    <row r="396" spans="1:17" x14ac:dyDescent="0.3">
      <c r="A396" t="str">
        <f t="shared" ca="1" si="6"/>
        <v>ORD-2014-Ca0-4197</v>
      </c>
      <c r="B396" t="s">
        <v>17</v>
      </c>
      <c r="C396" t="s">
        <v>18</v>
      </c>
      <c r="D396" t="s">
        <v>44</v>
      </c>
      <c r="E396" t="s">
        <v>47</v>
      </c>
      <c r="F396">
        <v>708</v>
      </c>
      <c r="G396">
        <v>260</v>
      </c>
      <c r="H396">
        <v>20</v>
      </c>
      <c r="I396">
        <v>14160</v>
      </c>
      <c r="J396">
        <v>1132.8</v>
      </c>
      <c r="K396">
        <v>13027.2</v>
      </c>
      <c r="L396">
        <v>7080</v>
      </c>
      <c r="M396">
        <v>5947.2</v>
      </c>
      <c r="N396" s="1">
        <v>41791</v>
      </c>
      <c r="O396">
        <v>6</v>
      </c>
      <c r="P396" t="s">
        <v>25</v>
      </c>
      <c r="Q396">
        <v>2014</v>
      </c>
    </row>
    <row r="397" spans="1:17" x14ac:dyDescent="0.3">
      <c r="A397" t="str">
        <f t="shared" ca="1" si="6"/>
        <v>ORD-2014-Uni-1569</v>
      </c>
      <c r="B397" t="s">
        <v>17</v>
      </c>
      <c r="C397" t="s">
        <v>37</v>
      </c>
      <c r="D397" t="s">
        <v>44</v>
      </c>
      <c r="E397" t="s">
        <v>47</v>
      </c>
      <c r="F397">
        <v>2907</v>
      </c>
      <c r="G397">
        <v>260</v>
      </c>
      <c r="H397">
        <v>7</v>
      </c>
      <c r="I397">
        <v>20349</v>
      </c>
      <c r="J397">
        <v>1627.92</v>
      </c>
      <c r="K397">
        <v>18721.080000000002</v>
      </c>
      <c r="L397">
        <v>14535</v>
      </c>
      <c r="M397">
        <v>4186.08</v>
      </c>
      <c r="N397" s="1">
        <v>41791</v>
      </c>
      <c r="O397">
        <v>6</v>
      </c>
      <c r="P397" t="s">
        <v>25</v>
      </c>
      <c r="Q397">
        <v>2014</v>
      </c>
    </row>
    <row r="398" spans="1:17" x14ac:dyDescent="0.3">
      <c r="A398" t="str">
        <f t="shared" ca="1" si="6"/>
        <v>ORD-2014-Ger-9632</v>
      </c>
      <c r="B398" t="s">
        <v>17</v>
      </c>
      <c r="C398" t="s">
        <v>22</v>
      </c>
      <c r="D398" t="s">
        <v>44</v>
      </c>
      <c r="E398" t="s">
        <v>47</v>
      </c>
      <c r="F398">
        <v>1366</v>
      </c>
      <c r="G398">
        <v>260</v>
      </c>
      <c r="H398">
        <v>20</v>
      </c>
      <c r="I398">
        <v>27320</v>
      </c>
      <c r="J398">
        <v>2185.6</v>
      </c>
      <c r="K398">
        <v>25134.400000000001</v>
      </c>
      <c r="L398">
        <v>13660</v>
      </c>
      <c r="M398">
        <v>11474.4</v>
      </c>
      <c r="N398" s="1">
        <v>41791</v>
      </c>
      <c r="O398">
        <v>6</v>
      </c>
      <c r="P398" t="s">
        <v>25</v>
      </c>
      <c r="Q398">
        <v>2014</v>
      </c>
    </row>
    <row r="399" spans="1:17" x14ac:dyDescent="0.3">
      <c r="A399" t="str">
        <f t="shared" ca="1" si="6"/>
        <v>ORD-2014-Mex-1196</v>
      </c>
      <c r="B399" t="s">
        <v>33</v>
      </c>
      <c r="C399" t="s">
        <v>26</v>
      </c>
      <c r="D399" t="s">
        <v>44</v>
      </c>
      <c r="E399" t="s">
        <v>47</v>
      </c>
      <c r="F399">
        <v>2460</v>
      </c>
      <c r="G399">
        <v>260</v>
      </c>
      <c r="H399">
        <v>300</v>
      </c>
      <c r="I399">
        <v>738000</v>
      </c>
      <c r="J399">
        <v>59040</v>
      </c>
      <c r="K399">
        <v>678960</v>
      </c>
      <c r="L399">
        <v>615000</v>
      </c>
      <c r="M399">
        <v>63960</v>
      </c>
      <c r="N399" s="1">
        <v>41791</v>
      </c>
      <c r="O399">
        <v>6</v>
      </c>
      <c r="P399" t="s">
        <v>25</v>
      </c>
      <c r="Q399">
        <v>2014</v>
      </c>
    </row>
    <row r="400" spans="1:17" x14ac:dyDescent="0.3">
      <c r="A400" t="str">
        <f t="shared" ca="1" si="6"/>
        <v>ORD-2014-Ger-1487</v>
      </c>
      <c r="B400" t="s">
        <v>17</v>
      </c>
      <c r="C400" t="s">
        <v>22</v>
      </c>
      <c r="D400" t="s">
        <v>44</v>
      </c>
      <c r="E400" t="s">
        <v>47</v>
      </c>
      <c r="F400">
        <v>1520</v>
      </c>
      <c r="G400">
        <v>260</v>
      </c>
      <c r="H400">
        <v>20</v>
      </c>
      <c r="I400">
        <v>30400</v>
      </c>
      <c r="J400">
        <v>2432</v>
      </c>
      <c r="K400">
        <v>27968</v>
      </c>
      <c r="L400">
        <v>15200</v>
      </c>
      <c r="M400">
        <v>12768</v>
      </c>
      <c r="N400" s="1">
        <v>41944</v>
      </c>
      <c r="O400">
        <v>11</v>
      </c>
      <c r="P400" t="s">
        <v>40</v>
      </c>
      <c r="Q400">
        <v>2014</v>
      </c>
    </row>
    <row r="401" spans="1:17" x14ac:dyDescent="0.3">
      <c r="A401" t="str">
        <f t="shared" ca="1" si="6"/>
        <v>ORD-2014-Ger-3729</v>
      </c>
      <c r="B401" t="s">
        <v>23</v>
      </c>
      <c r="C401" t="s">
        <v>22</v>
      </c>
      <c r="D401" t="s">
        <v>44</v>
      </c>
      <c r="E401" t="s">
        <v>47</v>
      </c>
      <c r="F401">
        <v>711</v>
      </c>
      <c r="G401">
        <v>260</v>
      </c>
      <c r="H401">
        <v>15</v>
      </c>
      <c r="I401">
        <v>10665</v>
      </c>
      <c r="J401">
        <v>853.2</v>
      </c>
      <c r="K401">
        <v>9811.7999999999993</v>
      </c>
      <c r="L401">
        <v>7110</v>
      </c>
      <c r="M401">
        <v>2701.8</v>
      </c>
      <c r="N401" s="1">
        <v>41974</v>
      </c>
      <c r="O401">
        <v>12</v>
      </c>
      <c r="P401" t="s">
        <v>27</v>
      </c>
      <c r="Q401">
        <v>2014</v>
      </c>
    </row>
    <row r="402" spans="1:17" x14ac:dyDescent="0.3">
      <c r="A402" t="str">
        <f t="shared" ca="1" si="6"/>
        <v>ORD-2013-Mex-1477</v>
      </c>
      <c r="B402" t="s">
        <v>30</v>
      </c>
      <c r="C402" t="s">
        <v>26</v>
      </c>
      <c r="D402" t="s">
        <v>44</v>
      </c>
      <c r="E402" t="s">
        <v>47</v>
      </c>
      <c r="F402">
        <v>1375</v>
      </c>
      <c r="G402">
        <v>260</v>
      </c>
      <c r="H402">
        <v>12</v>
      </c>
      <c r="I402">
        <v>16500</v>
      </c>
      <c r="J402">
        <v>1320</v>
      </c>
      <c r="K402">
        <v>15180</v>
      </c>
      <c r="L402">
        <v>4125</v>
      </c>
      <c r="M402">
        <v>11055</v>
      </c>
      <c r="N402" s="1">
        <v>41609</v>
      </c>
      <c r="O402">
        <v>12</v>
      </c>
      <c r="P402" t="s">
        <v>27</v>
      </c>
      <c r="Q402">
        <v>2013</v>
      </c>
    </row>
    <row r="403" spans="1:17" x14ac:dyDescent="0.3">
      <c r="A403" t="str">
        <f t="shared" ca="1" si="6"/>
        <v>ORD-2014-Mex-4430</v>
      </c>
      <c r="B403" t="s">
        <v>33</v>
      </c>
      <c r="C403" t="s">
        <v>26</v>
      </c>
      <c r="D403" t="s">
        <v>44</v>
      </c>
      <c r="E403" t="s">
        <v>47</v>
      </c>
      <c r="F403">
        <v>635</v>
      </c>
      <c r="G403">
        <v>260</v>
      </c>
      <c r="H403">
        <v>300</v>
      </c>
      <c r="I403">
        <v>190500</v>
      </c>
      <c r="J403">
        <v>15240</v>
      </c>
      <c r="K403">
        <v>175260</v>
      </c>
      <c r="L403">
        <v>158750</v>
      </c>
      <c r="M403">
        <v>16510</v>
      </c>
      <c r="N403" s="1">
        <v>41974</v>
      </c>
      <c r="O403">
        <v>12</v>
      </c>
      <c r="P403" t="s">
        <v>27</v>
      </c>
      <c r="Q403">
        <v>2014</v>
      </c>
    </row>
    <row r="404" spans="1:17" x14ac:dyDescent="0.3">
      <c r="A404" t="str">
        <f t="shared" ca="1" si="6"/>
        <v>ORD-2014-Uni-4125</v>
      </c>
      <c r="B404" t="s">
        <v>17</v>
      </c>
      <c r="C404" t="s">
        <v>37</v>
      </c>
      <c r="D404" t="s">
        <v>42</v>
      </c>
      <c r="E404" t="s">
        <v>47</v>
      </c>
      <c r="F404">
        <v>436.5</v>
      </c>
      <c r="G404">
        <v>250</v>
      </c>
      <c r="H404">
        <v>20</v>
      </c>
      <c r="I404">
        <v>8730</v>
      </c>
      <c r="J404">
        <v>698.4</v>
      </c>
      <c r="K404">
        <v>8031.6</v>
      </c>
      <c r="L404">
        <v>4365</v>
      </c>
      <c r="M404">
        <v>3666.6</v>
      </c>
      <c r="N404" s="1">
        <v>41821</v>
      </c>
      <c r="O404">
        <v>7</v>
      </c>
      <c r="P404" t="s">
        <v>32</v>
      </c>
      <c r="Q404">
        <v>2014</v>
      </c>
    </row>
    <row r="405" spans="1:17" x14ac:dyDescent="0.3">
      <c r="A405" t="str">
        <f t="shared" ca="1" si="6"/>
        <v>ORD-2014-Ca0-9515</v>
      </c>
      <c r="B405" t="s">
        <v>33</v>
      </c>
      <c r="C405" t="s">
        <v>18</v>
      </c>
      <c r="D405" t="s">
        <v>19</v>
      </c>
      <c r="E405" t="s">
        <v>47</v>
      </c>
      <c r="F405">
        <v>1094</v>
      </c>
      <c r="G405">
        <v>3</v>
      </c>
      <c r="H405">
        <v>300</v>
      </c>
      <c r="I405">
        <v>328200</v>
      </c>
      <c r="J405">
        <v>29538</v>
      </c>
      <c r="K405">
        <v>298662</v>
      </c>
      <c r="L405">
        <v>273500</v>
      </c>
      <c r="M405">
        <v>25162</v>
      </c>
      <c r="N405" s="1">
        <v>41791</v>
      </c>
      <c r="O405">
        <v>6</v>
      </c>
      <c r="P405" t="s">
        <v>25</v>
      </c>
      <c r="Q405">
        <v>2014</v>
      </c>
    </row>
    <row r="406" spans="1:17" x14ac:dyDescent="0.3">
      <c r="A406" t="str">
        <f t="shared" ca="1" si="6"/>
        <v>ORD-2013-Mex-6306</v>
      </c>
      <c r="B406" t="s">
        <v>30</v>
      </c>
      <c r="C406" t="s">
        <v>26</v>
      </c>
      <c r="D406" t="s">
        <v>19</v>
      </c>
      <c r="E406" t="s">
        <v>47</v>
      </c>
      <c r="F406">
        <v>367</v>
      </c>
      <c r="G406">
        <v>3</v>
      </c>
      <c r="H406">
        <v>12</v>
      </c>
      <c r="I406">
        <v>4404</v>
      </c>
      <c r="J406">
        <v>396.36</v>
      </c>
      <c r="K406">
        <v>4007.64</v>
      </c>
      <c r="L406">
        <v>1101</v>
      </c>
      <c r="M406">
        <v>2906.64</v>
      </c>
      <c r="N406" s="1">
        <v>41548</v>
      </c>
      <c r="O406">
        <v>10</v>
      </c>
      <c r="P406" t="s">
        <v>36</v>
      </c>
      <c r="Q406">
        <v>2013</v>
      </c>
    </row>
    <row r="407" spans="1:17" x14ac:dyDescent="0.3">
      <c r="A407" t="str">
        <f t="shared" ca="1" si="6"/>
        <v>ORD-2014-Ca0-8797</v>
      </c>
      <c r="B407" t="s">
        <v>33</v>
      </c>
      <c r="C407" t="s">
        <v>18</v>
      </c>
      <c r="D407" t="s">
        <v>28</v>
      </c>
      <c r="E407" t="s">
        <v>47</v>
      </c>
      <c r="F407">
        <v>3802.5</v>
      </c>
      <c r="G407">
        <v>5</v>
      </c>
      <c r="H407">
        <v>300</v>
      </c>
      <c r="I407">
        <v>1140750</v>
      </c>
      <c r="J407">
        <v>102667.5</v>
      </c>
      <c r="K407">
        <v>1038082.5</v>
      </c>
      <c r="L407">
        <v>950625</v>
      </c>
      <c r="M407">
        <v>87457.5</v>
      </c>
      <c r="N407" s="1">
        <v>41730</v>
      </c>
      <c r="O407">
        <v>4</v>
      </c>
      <c r="P407" t="s">
        <v>43</v>
      </c>
      <c r="Q407">
        <v>2014</v>
      </c>
    </row>
    <row r="408" spans="1:17" x14ac:dyDescent="0.3">
      <c r="A408" t="str">
        <f t="shared" ca="1" si="6"/>
        <v>ORD-2014-Fra-1383</v>
      </c>
      <c r="B408" t="s">
        <v>17</v>
      </c>
      <c r="C408" t="s">
        <v>24</v>
      </c>
      <c r="D408" t="s">
        <v>28</v>
      </c>
      <c r="E408" t="s">
        <v>47</v>
      </c>
      <c r="F408">
        <v>1666</v>
      </c>
      <c r="G408">
        <v>5</v>
      </c>
      <c r="H408">
        <v>350</v>
      </c>
      <c r="I408">
        <v>583100</v>
      </c>
      <c r="J408">
        <v>52479</v>
      </c>
      <c r="K408">
        <v>530621</v>
      </c>
      <c r="L408">
        <v>433160</v>
      </c>
      <c r="M408">
        <v>97461</v>
      </c>
      <c r="N408" s="1">
        <v>41760</v>
      </c>
      <c r="O408">
        <v>5</v>
      </c>
      <c r="P408" t="s">
        <v>46</v>
      </c>
      <c r="Q408">
        <v>2014</v>
      </c>
    </row>
    <row r="409" spans="1:17" x14ac:dyDescent="0.3">
      <c r="A409" t="str">
        <f t="shared" ca="1" si="6"/>
        <v>ORD-2013-Fra-9714</v>
      </c>
      <c r="B409" t="s">
        <v>33</v>
      </c>
      <c r="C409" t="s">
        <v>24</v>
      </c>
      <c r="D409" t="s">
        <v>28</v>
      </c>
      <c r="E409" t="s">
        <v>47</v>
      </c>
      <c r="F409">
        <v>322</v>
      </c>
      <c r="G409">
        <v>5</v>
      </c>
      <c r="H409">
        <v>300</v>
      </c>
      <c r="I409">
        <v>96600</v>
      </c>
      <c r="J409">
        <v>8694</v>
      </c>
      <c r="K409">
        <v>87906</v>
      </c>
      <c r="L409">
        <v>80500</v>
      </c>
      <c r="M409">
        <v>7406</v>
      </c>
      <c r="N409" s="1">
        <v>41518</v>
      </c>
      <c r="O409">
        <v>9</v>
      </c>
      <c r="P409" t="s">
        <v>35</v>
      </c>
      <c r="Q409">
        <v>2013</v>
      </c>
    </row>
    <row r="410" spans="1:17" x14ac:dyDescent="0.3">
      <c r="A410" t="str">
        <f t="shared" ca="1" si="6"/>
        <v>ORD-2014-Ca0-8958</v>
      </c>
      <c r="B410" t="s">
        <v>30</v>
      </c>
      <c r="C410" t="s">
        <v>18</v>
      </c>
      <c r="D410" t="s">
        <v>28</v>
      </c>
      <c r="E410" t="s">
        <v>47</v>
      </c>
      <c r="F410">
        <v>2321</v>
      </c>
      <c r="G410">
        <v>5</v>
      </c>
      <c r="H410">
        <v>12</v>
      </c>
      <c r="I410">
        <v>27852</v>
      </c>
      <c r="J410">
        <v>2506.6799999999998</v>
      </c>
      <c r="K410">
        <v>25345.32</v>
      </c>
      <c r="L410">
        <v>6963</v>
      </c>
      <c r="M410">
        <v>18382.32</v>
      </c>
      <c r="N410" s="1">
        <v>41944</v>
      </c>
      <c r="O410">
        <v>11</v>
      </c>
      <c r="P410" t="s">
        <v>40</v>
      </c>
      <c r="Q410">
        <v>2014</v>
      </c>
    </row>
    <row r="411" spans="1:17" x14ac:dyDescent="0.3">
      <c r="A411" t="str">
        <f t="shared" ca="1" si="6"/>
        <v>ORD-2013-Fra-9944</v>
      </c>
      <c r="B411" t="s">
        <v>31</v>
      </c>
      <c r="C411" t="s">
        <v>24</v>
      </c>
      <c r="D411" t="s">
        <v>28</v>
      </c>
      <c r="E411" t="s">
        <v>47</v>
      </c>
      <c r="F411">
        <v>1857</v>
      </c>
      <c r="G411">
        <v>5</v>
      </c>
      <c r="H411">
        <v>125</v>
      </c>
      <c r="I411">
        <v>232125</v>
      </c>
      <c r="J411">
        <v>20891.25</v>
      </c>
      <c r="K411">
        <v>211233.75</v>
      </c>
      <c r="L411">
        <v>222840</v>
      </c>
      <c r="M411">
        <f>K411-L411</f>
        <v>-11606.25</v>
      </c>
      <c r="N411" s="1">
        <v>41579</v>
      </c>
      <c r="O411">
        <v>11</v>
      </c>
      <c r="P411" t="s">
        <v>40</v>
      </c>
      <c r="Q411">
        <v>2013</v>
      </c>
    </row>
    <row r="412" spans="1:17" x14ac:dyDescent="0.3">
      <c r="A412" t="str">
        <f t="shared" ca="1" si="6"/>
        <v>ORD-2013-Ca0-1301</v>
      </c>
      <c r="B412" t="s">
        <v>17</v>
      </c>
      <c r="C412" t="s">
        <v>18</v>
      </c>
      <c r="D412" t="s">
        <v>28</v>
      </c>
      <c r="E412" t="s">
        <v>47</v>
      </c>
      <c r="F412">
        <v>1611</v>
      </c>
      <c r="G412">
        <v>5</v>
      </c>
      <c r="H412">
        <v>7</v>
      </c>
      <c r="I412">
        <v>11277</v>
      </c>
      <c r="J412">
        <v>1014.93</v>
      </c>
      <c r="K412">
        <v>10262.07</v>
      </c>
      <c r="L412">
        <v>8055</v>
      </c>
      <c r="M412">
        <v>2207.0700000000002</v>
      </c>
      <c r="N412" s="1">
        <v>41609</v>
      </c>
      <c r="O412">
        <v>12</v>
      </c>
      <c r="P412" t="s">
        <v>27</v>
      </c>
      <c r="Q412">
        <v>2013</v>
      </c>
    </row>
    <row r="413" spans="1:17" x14ac:dyDescent="0.3">
      <c r="A413" t="str">
        <f t="shared" ca="1" si="6"/>
        <v>ORD-2014-Uni-2097</v>
      </c>
      <c r="B413" t="s">
        <v>31</v>
      </c>
      <c r="C413" t="s">
        <v>37</v>
      </c>
      <c r="D413" t="s">
        <v>28</v>
      </c>
      <c r="E413" t="s">
        <v>47</v>
      </c>
      <c r="F413">
        <v>2797</v>
      </c>
      <c r="G413">
        <v>5</v>
      </c>
      <c r="H413">
        <v>125</v>
      </c>
      <c r="I413">
        <v>349625</v>
      </c>
      <c r="J413">
        <v>31466.25</v>
      </c>
      <c r="K413">
        <v>318158.75</v>
      </c>
      <c r="L413">
        <v>335640</v>
      </c>
      <c r="M413">
        <f>K413-L413</f>
        <v>-17481.25</v>
      </c>
      <c r="N413" s="1">
        <v>41974</v>
      </c>
      <c r="O413">
        <v>12</v>
      </c>
      <c r="P413" t="s">
        <v>27</v>
      </c>
      <c r="Q413">
        <v>2014</v>
      </c>
    </row>
    <row r="414" spans="1:17" x14ac:dyDescent="0.3">
      <c r="A414" t="str">
        <f t="shared" ca="1" si="6"/>
        <v>ORD-2013-Ger-7238</v>
      </c>
      <c r="B414" t="s">
        <v>33</v>
      </c>
      <c r="C414" t="s">
        <v>22</v>
      </c>
      <c r="D414" t="s">
        <v>28</v>
      </c>
      <c r="E414" t="s">
        <v>47</v>
      </c>
      <c r="F414">
        <v>334</v>
      </c>
      <c r="G414">
        <v>5</v>
      </c>
      <c r="H414">
        <v>300</v>
      </c>
      <c r="I414">
        <v>100200</v>
      </c>
      <c r="J414">
        <v>9018</v>
      </c>
      <c r="K414">
        <v>91182</v>
      </c>
      <c r="L414">
        <v>83500</v>
      </c>
      <c r="M414">
        <v>7682</v>
      </c>
      <c r="N414" s="1">
        <v>41609</v>
      </c>
      <c r="O414">
        <v>12</v>
      </c>
      <c r="P414" t="s">
        <v>27</v>
      </c>
      <c r="Q414">
        <v>2013</v>
      </c>
    </row>
    <row r="415" spans="1:17" x14ac:dyDescent="0.3">
      <c r="A415" t="str">
        <f t="shared" ca="1" si="6"/>
        <v>ORD-2014-Mex-4984</v>
      </c>
      <c r="B415" t="s">
        <v>33</v>
      </c>
      <c r="C415" t="s">
        <v>26</v>
      </c>
      <c r="D415" t="s">
        <v>38</v>
      </c>
      <c r="E415" t="s">
        <v>47</v>
      </c>
      <c r="F415">
        <v>2565</v>
      </c>
      <c r="G415">
        <v>10</v>
      </c>
      <c r="H415">
        <v>300</v>
      </c>
      <c r="I415">
        <v>769500</v>
      </c>
      <c r="J415">
        <v>69255</v>
      </c>
      <c r="K415">
        <v>700245</v>
      </c>
      <c r="L415">
        <v>641250</v>
      </c>
      <c r="M415">
        <v>58995</v>
      </c>
      <c r="N415" s="1">
        <v>41640</v>
      </c>
      <c r="O415">
        <v>1</v>
      </c>
      <c r="P415" t="s">
        <v>21</v>
      </c>
      <c r="Q415">
        <v>2014</v>
      </c>
    </row>
    <row r="416" spans="1:17" x14ac:dyDescent="0.3">
      <c r="A416" t="str">
        <f t="shared" ca="1" si="6"/>
        <v>ORD-2014-Mex-8065</v>
      </c>
      <c r="B416" t="s">
        <v>17</v>
      </c>
      <c r="C416" t="s">
        <v>26</v>
      </c>
      <c r="D416" t="s">
        <v>38</v>
      </c>
      <c r="E416" t="s">
        <v>47</v>
      </c>
      <c r="F416">
        <v>2417</v>
      </c>
      <c r="G416">
        <v>10</v>
      </c>
      <c r="H416">
        <v>350</v>
      </c>
      <c r="I416">
        <v>845950</v>
      </c>
      <c r="J416">
        <v>76135.5</v>
      </c>
      <c r="K416">
        <v>769814.5</v>
      </c>
      <c r="L416">
        <v>628420</v>
      </c>
      <c r="M416">
        <v>141394.5</v>
      </c>
      <c r="N416" s="1">
        <v>41640</v>
      </c>
      <c r="O416">
        <v>1</v>
      </c>
      <c r="P416" t="s">
        <v>21</v>
      </c>
      <c r="Q416">
        <v>2014</v>
      </c>
    </row>
    <row r="417" spans="1:17" x14ac:dyDescent="0.3">
      <c r="A417" t="str">
        <f t="shared" ca="1" si="6"/>
        <v>ORD-2014-Uni-5598</v>
      </c>
      <c r="B417" t="s">
        <v>23</v>
      </c>
      <c r="C417" t="s">
        <v>37</v>
      </c>
      <c r="D417" t="s">
        <v>38</v>
      </c>
      <c r="E417" t="s">
        <v>47</v>
      </c>
      <c r="F417">
        <v>3675</v>
      </c>
      <c r="G417">
        <v>10</v>
      </c>
      <c r="H417">
        <v>15</v>
      </c>
      <c r="I417">
        <v>55125</v>
      </c>
      <c r="J417">
        <v>4961.25</v>
      </c>
      <c r="K417">
        <v>50163.75</v>
      </c>
      <c r="L417">
        <v>36750</v>
      </c>
      <c r="M417">
        <v>13413.75</v>
      </c>
      <c r="N417" s="1">
        <v>41730</v>
      </c>
      <c r="O417">
        <v>4</v>
      </c>
      <c r="P417" t="s">
        <v>43</v>
      </c>
      <c r="Q417">
        <v>2014</v>
      </c>
    </row>
    <row r="418" spans="1:17" x14ac:dyDescent="0.3">
      <c r="A418" t="str">
        <f t="shared" ca="1" si="6"/>
        <v>ORD-2014-Ca0-9330</v>
      </c>
      <c r="B418" t="s">
        <v>33</v>
      </c>
      <c r="C418" t="s">
        <v>18</v>
      </c>
      <c r="D418" t="s">
        <v>38</v>
      </c>
      <c r="E418" t="s">
        <v>47</v>
      </c>
      <c r="F418">
        <v>1094</v>
      </c>
      <c r="G418">
        <v>10</v>
      </c>
      <c r="H418">
        <v>300</v>
      </c>
      <c r="I418">
        <v>328200</v>
      </c>
      <c r="J418">
        <v>29538</v>
      </c>
      <c r="K418">
        <v>298662</v>
      </c>
      <c r="L418">
        <v>273500</v>
      </c>
      <c r="M418">
        <v>25162</v>
      </c>
      <c r="N418" s="1">
        <v>41791</v>
      </c>
      <c r="O418">
        <v>6</v>
      </c>
      <c r="P418" t="s">
        <v>25</v>
      </c>
      <c r="Q418">
        <v>2014</v>
      </c>
    </row>
    <row r="419" spans="1:17" x14ac:dyDescent="0.3">
      <c r="A419" t="str">
        <f t="shared" ca="1" si="6"/>
        <v>ORD-2014-Fra-8652</v>
      </c>
      <c r="B419" t="s">
        <v>23</v>
      </c>
      <c r="C419" t="s">
        <v>24</v>
      </c>
      <c r="D419" t="s">
        <v>38</v>
      </c>
      <c r="E419" t="s">
        <v>47</v>
      </c>
      <c r="F419">
        <v>1227</v>
      </c>
      <c r="G419">
        <v>10</v>
      </c>
      <c r="H419">
        <v>15</v>
      </c>
      <c r="I419">
        <v>18405</v>
      </c>
      <c r="J419">
        <v>1656.45</v>
      </c>
      <c r="K419">
        <v>16748.55</v>
      </c>
      <c r="L419">
        <v>12270</v>
      </c>
      <c r="M419">
        <v>4478.55</v>
      </c>
      <c r="N419" s="1">
        <v>41913</v>
      </c>
      <c r="O419">
        <v>10</v>
      </c>
      <c r="P419" t="s">
        <v>36</v>
      </c>
      <c r="Q419">
        <v>2014</v>
      </c>
    </row>
    <row r="420" spans="1:17" x14ac:dyDescent="0.3">
      <c r="A420" t="str">
        <f t="shared" ca="1" si="6"/>
        <v>ORD-2013-Mex-8453</v>
      </c>
      <c r="B420" t="s">
        <v>30</v>
      </c>
      <c r="C420" t="s">
        <v>26</v>
      </c>
      <c r="D420" t="s">
        <v>38</v>
      </c>
      <c r="E420" t="s">
        <v>47</v>
      </c>
      <c r="F420">
        <v>367</v>
      </c>
      <c r="G420">
        <v>10</v>
      </c>
      <c r="H420">
        <v>12</v>
      </c>
      <c r="I420">
        <v>4404</v>
      </c>
      <c r="J420">
        <v>396.36</v>
      </c>
      <c r="K420">
        <v>4007.64</v>
      </c>
      <c r="L420">
        <v>1101</v>
      </c>
      <c r="M420">
        <v>2906.64</v>
      </c>
      <c r="N420" s="1">
        <v>41548</v>
      </c>
      <c r="O420">
        <v>10</v>
      </c>
      <c r="P420" t="s">
        <v>36</v>
      </c>
      <c r="Q420">
        <v>2013</v>
      </c>
    </row>
    <row r="421" spans="1:17" x14ac:dyDescent="0.3">
      <c r="A421" t="str">
        <f t="shared" ca="1" si="6"/>
        <v>ORD-2014-Fra-2069</v>
      </c>
      <c r="B421" t="s">
        <v>33</v>
      </c>
      <c r="C421" t="s">
        <v>24</v>
      </c>
      <c r="D421" t="s">
        <v>38</v>
      </c>
      <c r="E421" t="s">
        <v>47</v>
      </c>
      <c r="F421">
        <v>1324</v>
      </c>
      <c r="G421">
        <v>10</v>
      </c>
      <c r="H421">
        <v>300</v>
      </c>
      <c r="I421">
        <v>397200</v>
      </c>
      <c r="J421">
        <v>35748</v>
      </c>
      <c r="K421">
        <v>361452</v>
      </c>
      <c r="L421">
        <v>331000</v>
      </c>
      <c r="M421">
        <v>30452</v>
      </c>
      <c r="N421" s="1">
        <v>41944</v>
      </c>
      <c r="O421">
        <v>11</v>
      </c>
      <c r="P421" t="s">
        <v>40</v>
      </c>
      <c r="Q421">
        <v>2014</v>
      </c>
    </row>
    <row r="422" spans="1:17" x14ac:dyDescent="0.3">
      <c r="A422" t="str">
        <f t="shared" ca="1" si="6"/>
        <v>ORD-2013-Ger-4537</v>
      </c>
      <c r="B422" t="s">
        <v>30</v>
      </c>
      <c r="C422" t="s">
        <v>22</v>
      </c>
      <c r="D422" t="s">
        <v>38</v>
      </c>
      <c r="E422" t="s">
        <v>47</v>
      </c>
      <c r="F422">
        <v>1775</v>
      </c>
      <c r="G422">
        <v>10</v>
      </c>
      <c r="H422">
        <v>12</v>
      </c>
      <c r="I422">
        <v>21300</v>
      </c>
      <c r="J422">
        <v>1917</v>
      </c>
      <c r="K422">
        <v>19383</v>
      </c>
      <c r="L422">
        <v>5325</v>
      </c>
      <c r="M422">
        <v>14058</v>
      </c>
      <c r="N422" s="1">
        <v>41579</v>
      </c>
      <c r="O422">
        <v>11</v>
      </c>
      <c r="P422" t="s">
        <v>40</v>
      </c>
      <c r="Q422">
        <v>2013</v>
      </c>
    </row>
    <row r="423" spans="1:17" x14ac:dyDescent="0.3">
      <c r="A423" t="str">
        <f t="shared" ca="1" si="6"/>
        <v>ORD-2014-Uni-6228</v>
      </c>
      <c r="B423" t="s">
        <v>31</v>
      </c>
      <c r="C423" t="s">
        <v>37</v>
      </c>
      <c r="D423" t="s">
        <v>38</v>
      </c>
      <c r="E423" t="s">
        <v>47</v>
      </c>
      <c r="F423">
        <v>2797</v>
      </c>
      <c r="G423">
        <v>10</v>
      </c>
      <c r="H423">
        <v>125</v>
      </c>
      <c r="I423">
        <v>349625</v>
      </c>
      <c r="J423">
        <v>31466.25</v>
      </c>
      <c r="K423">
        <v>318158.75</v>
      </c>
      <c r="L423">
        <v>335640</v>
      </c>
      <c r="M423">
        <f>K423-L423</f>
        <v>-17481.25</v>
      </c>
      <c r="N423" s="1">
        <v>41974</v>
      </c>
      <c r="O423">
        <v>12</v>
      </c>
      <c r="P423" t="s">
        <v>27</v>
      </c>
      <c r="Q423">
        <v>2014</v>
      </c>
    </row>
    <row r="424" spans="1:17" x14ac:dyDescent="0.3">
      <c r="A424" t="str">
        <f t="shared" ca="1" si="6"/>
        <v>ORD-2014-Mex-3338</v>
      </c>
      <c r="B424" t="s">
        <v>23</v>
      </c>
      <c r="C424" t="s">
        <v>26</v>
      </c>
      <c r="D424" t="s">
        <v>41</v>
      </c>
      <c r="E424" t="s">
        <v>47</v>
      </c>
      <c r="F424">
        <v>245</v>
      </c>
      <c r="G424">
        <v>120</v>
      </c>
      <c r="H424">
        <v>15</v>
      </c>
      <c r="I424">
        <v>3675</v>
      </c>
      <c r="J424">
        <v>330.75</v>
      </c>
      <c r="K424">
        <v>3344.25</v>
      </c>
      <c r="L424">
        <v>2450</v>
      </c>
      <c r="M424">
        <v>894.25</v>
      </c>
      <c r="N424" s="1">
        <v>41760</v>
      </c>
      <c r="O424">
        <v>5</v>
      </c>
      <c r="P424" t="s">
        <v>46</v>
      </c>
      <c r="Q424">
        <v>2014</v>
      </c>
    </row>
    <row r="425" spans="1:17" x14ac:dyDescent="0.3">
      <c r="A425" t="str">
        <f t="shared" ca="1" si="6"/>
        <v>ORD-2014-Ca0-8179</v>
      </c>
      <c r="B425" t="s">
        <v>33</v>
      </c>
      <c r="C425" t="s">
        <v>18</v>
      </c>
      <c r="D425" t="s">
        <v>41</v>
      </c>
      <c r="E425" t="s">
        <v>47</v>
      </c>
      <c r="F425">
        <v>3793.5</v>
      </c>
      <c r="G425">
        <v>120</v>
      </c>
      <c r="H425">
        <v>300</v>
      </c>
      <c r="I425">
        <v>1138050</v>
      </c>
      <c r="J425">
        <v>102424.5</v>
      </c>
      <c r="K425">
        <v>1035625.5</v>
      </c>
      <c r="L425">
        <v>948375</v>
      </c>
      <c r="M425">
        <v>87250.5</v>
      </c>
      <c r="N425" s="1">
        <v>41821</v>
      </c>
      <c r="O425">
        <v>7</v>
      </c>
      <c r="P425" t="s">
        <v>32</v>
      </c>
      <c r="Q425">
        <v>2014</v>
      </c>
    </row>
    <row r="426" spans="1:17" x14ac:dyDescent="0.3">
      <c r="A426" t="str">
        <f t="shared" ca="1" si="6"/>
        <v>ORD-2014-Ger-7282</v>
      </c>
      <c r="B426" t="s">
        <v>17</v>
      </c>
      <c r="C426" t="s">
        <v>22</v>
      </c>
      <c r="D426" t="s">
        <v>41</v>
      </c>
      <c r="E426" t="s">
        <v>47</v>
      </c>
      <c r="F426">
        <v>1307</v>
      </c>
      <c r="G426">
        <v>120</v>
      </c>
      <c r="H426">
        <v>350</v>
      </c>
      <c r="I426">
        <v>457450</v>
      </c>
      <c r="J426">
        <v>41170.5</v>
      </c>
      <c r="K426">
        <v>416279.5</v>
      </c>
      <c r="L426">
        <v>339820</v>
      </c>
      <c r="M426">
        <v>76459.5</v>
      </c>
      <c r="N426" s="1">
        <v>41821</v>
      </c>
      <c r="O426">
        <v>7</v>
      </c>
      <c r="P426" t="s">
        <v>32</v>
      </c>
      <c r="Q426">
        <v>2014</v>
      </c>
    </row>
    <row r="427" spans="1:17" x14ac:dyDescent="0.3">
      <c r="A427" t="str">
        <f t="shared" ca="1" si="6"/>
        <v>ORD-2014-Ca0-3789</v>
      </c>
      <c r="B427" t="s">
        <v>31</v>
      </c>
      <c r="C427" t="s">
        <v>18</v>
      </c>
      <c r="D427" t="s">
        <v>41</v>
      </c>
      <c r="E427" t="s">
        <v>47</v>
      </c>
      <c r="F427">
        <v>567</v>
      </c>
      <c r="G427">
        <v>120</v>
      </c>
      <c r="H427">
        <v>125</v>
      </c>
      <c r="I427">
        <v>70875</v>
      </c>
      <c r="J427">
        <v>6378.75</v>
      </c>
      <c r="K427">
        <v>64496.25</v>
      </c>
      <c r="L427">
        <v>68040</v>
      </c>
      <c r="M427">
        <f>K427-L427</f>
        <v>-3543.75</v>
      </c>
      <c r="N427" s="1">
        <v>41883</v>
      </c>
      <c r="O427">
        <v>9</v>
      </c>
      <c r="P427" t="s">
        <v>35</v>
      </c>
      <c r="Q427">
        <v>2014</v>
      </c>
    </row>
    <row r="428" spans="1:17" x14ac:dyDescent="0.3">
      <c r="A428" t="str">
        <f t="shared" ca="1" si="6"/>
        <v>ORD-2014-Mex-9701</v>
      </c>
      <c r="B428" t="s">
        <v>31</v>
      </c>
      <c r="C428" t="s">
        <v>26</v>
      </c>
      <c r="D428" t="s">
        <v>41</v>
      </c>
      <c r="E428" t="s">
        <v>47</v>
      </c>
      <c r="F428">
        <v>2110</v>
      </c>
      <c r="G428">
        <v>120</v>
      </c>
      <c r="H428">
        <v>125</v>
      </c>
      <c r="I428">
        <v>263750</v>
      </c>
      <c r="J428">
        <v>23737.5</v>
      </c>
      <c r="K428">
        <v>240012.5</v>
      </c>
      <c r="L428">
        <v>253200</v>
      </c>
      <c r="M428">
        <f>K428-L428</f>
        <v>-13187.5</v>
      </c>
      <c r="N428" s="1">
        <v>41883</v>
      </c>
      <c r="O428">
        <v>9</v>
      </c>
      <c r="P428" t="s">
        <v>35</v>
      </c>
      <c r="Q428">
        <v>2014</v>
      </c>
    </row>
    <row r="429" spans="1:17" x14ac:dyDescent="0.3">
      <c r="A429" t="str">
        <f t="shared" ca="1" si="6"/>
        <v>ORD-2014-Ca0-1938</v>
      </c>
      <c r="B429" t="s">
        <v>17</v>
      </c>
      <c r="C429" t="s">
        <v>18</v>
      </c>
      <c r="D429" t="s">
        <v>41</v>
      </c>
      <c r="E429" t="s">
        <v>47</v>
      </c>
      <c r="F429">
        <v>1269</v>
      </c>
      <c r="G429">
        <v>120</v>
      </c>
      <c r="H429">
        <v>350</v>
      </c>
      <c r="I429">
        <v>444150</v>
      </c>
      <c r="J429">
        <v>39973.5</v>
      </c>
      <c r="K429">
        <v>404176.5</v>
      </c>
      <c r="L429">
        <v>329940</v>
      </c>
      <c r="M429">
        <v>74236.5</v>
      </c>
      <c r="N429" s="1">
        <v>41913</v>
      </c>
      <c r="O429">
        <v>10</v>
      </c>
      <c r="P429" t="s">
        <v>36</v>
      </c>
      <c r="Q429">
        <v>2014</v>
      </c>
    </row>
    <row r="430" spans="1:17" x14ac:dyDescent="0.3">
      <c r="A430" t="str">
        <f t="shared" ca="1" si="6"/>
        <v>ORD-2014-Uni-4316</v>
      </c>
      <c r="B430" t="s">
        <v>30</v>
      </c>
      <c r="C430" t="s">
        <v>37</v>
      </c>
      <c r="D430" t="s">
        <v>42</v>
      </c>
      <c r="E430" t="s">
        <v>47</v>
      </c>
      <c r="F430">
        <v>1956</v>
      </c>
      <c r="G430">
        <v>250</v>
      </c>
      <c r="H430">
        <v>12</v>
      </c>
      <c r="I430">
        <v>23472</v>
      </c>
      <c r="J430">
        <v>2112.48</v>
      </c>
      <c r="K430">
        <v>21359.52</v>
      </c>
      <c r="L430">
        <v>5868</v>
      </c>
      <c r="M430">
        <v>15491.52</v>
      </c>
      <c r="N430" s="1">
        <v>41640</v>
      </c>
      <c r="O430">
        <v>1</v>
      </c>
      <c r="P430" t="s">
        <v>21</v>
      </c>
      <c r="Q430">
        <v>2014</v>
      </c>
    </row>
    <row r="431" spans="1:17" x14ac:dyDescent="0.3">
      <c r="A431" t="str">
        <f t="shared" ca="1" si="6"/>
        <v>ORD-2014-Ger-6919</v>
      </c>
      <c r="B431" t="s">
        <v>33</v>
      </c>
      <c r="C431" t="s">
        <v>22</v>
      </c>
      <c r="D431" t="s">
        <v>42</v>
      </c>
      <c r="E431" t="s">
        <v>47</v>
      </c>
      <c r="F431">
        <v>2659</v>
      </c>
      <c r="G431">
        <v>250</v>
      </c>
      <c r="H431">
        <v>300</v>
      </c>
      <c r="I431">
        <v>797700</v>
      </c>
      <c r="J431">
        <v>71793</v>
      </c>
      <c r="K431">
        <v>725907</v>
      </c>
      <c r="L431">
        <v>664750</v>
      </c>
      <c r="M431">
        <v>61157</v>
      </c>
      <c r="N431" s="1">
        <v>41671</v>
      </c>
      <c r="O431">
        <v>2</v>
      </c>
      <c r="P431" t="s">
        <v>39</v>
      </c>
      <c r="Q431">
        <v>2014</v>
      </c>
    </row>
    <row r="432" spans="1:17" x14ac:dyDescent="0.3">
      <c r="A432" t="str">
        <f t="shared" ca="1" si="6"/>
        <v>ORD-2014-Uni-7273</v>
      </c>
      <c r="B432" t="s">
        <v>17</v>
      </c>
      <c r="C432" t="s">
        <v>37</v>
      </c>
      <c r="D432" t="s">
        <v>42</v>
      </c>
      <c r="E432" t="s">
        <v>47</v>
      </c>
      <c r="F432">
        <v>1351.5</v>
      </c>
      <c r="G432">
        <v>250</v>
      </c>
      <c r="H432">
        <v>350</v>
      </c>
      <c r="I432">
        <v>473025</v>
      </c>
      <c r="J432">
        <v>42572.25</v>
      </c>
      <c r="K432">
        <v>430452.75</v>
      </c>
      <c r="L432">
        <v>351390</v>
      </c>
      <c r="M432">
        <v>79062.75</v>
      </c>
      <c r="N432" s="1">
        <v>41730</v>
      </c>
      <c r="O432">
        <v>4</v>
      </c>
      <c r="P432" t="s">
        <v>43</v>
      </c>
      <c r="Q432">
        <v>2014</v>
      </c>
    </row>
    <row r="433" spans="1:17" x14ac:dyDescent="0.3">
      <c r="A433" t="str">
        <f t="shared" ca="1" si="6"/>
        <v>ORD-2014-Ger-7029</v>
      </c>
      <c r="B433" t="s">
        <v>30</v>
      </c>
      <c r="C433" t="s">
        <v>22</v>
      </c>
      <c r="D433" t="s">
        <v>42</v>
      </c>
      <c r="E433" t="s">
        <v>47</v>
      </c>
      <c r="F433">
        <v>880</v>
      </c>
      <c r="G433">
        <v>250</v>
      </c>
      <c r="H433">
        <v>12</v>
      </c>
      <c r="I433">
        <v>10560</v>
      </c>
      <c r="J433">
        <v>950.4</v>
      </c>
      <c r="K433">
        <v>9609.6</v>
      </c>
      <c r="L433">
        <v>2640</v>
      </c>
      <c r="M433">
        <v>6969.6</v>
      </c>
      <c r="N433" s="1">
        <v>41760</v>
      </c>
      <c r="O433">
        <v>5</v>
      </c>
      <c r="P433" t="s">
        <v>46</v>
      </c>
      <c r="Q433">
        <v>2014</v>
      </c>
    </row>
    <row r="434" spans="1:17" x14ac:dyDescent="0.3">
      <c r="A434" t="str">
        <f t="shared" ca="1" si="6"/>
        <v>ORD-2014-Uni-1027</v>
      </c>
      <c r="B434" t="s">
        <v>33</v>
      </c>
      <c r="C434" t="s">
        <v>37</v>
      </c>
      <c r="D434" t="s">
        <v>42</v>
      </c>
      <c r="E434" t="s">
        <v>47</v>
      </c>
      <c r="F434">
        <v>1867</v>
      </c>
      <c r="G434">
        <v>250</v>
      </c>
      <c r="H434">
        <v>300</v>
      </c>
      <c r="I434">
        <v>560100</v>
      </c>
      <c r="J434">
        <v>50409</v>
      </c>
      <c r="K434">
        <v>509691</v>
      </c>
      <c r="L434">
        <v>466750</v>
      </c>
      <c r="M434">
        <v>42941</v>
      </c>
      <c r="N434" s="1">
        <v>41883</v>
      </c>
      <c r="O434">
        <v>9</v>
      </c>
      <c r="P434" t="s">
        <v>35</v>
      </c>
      <c r="Q434">
        <v>2014</v>
      </c>
    </row>
    <row r="435" spans="1:17" x14ac:dyDescent="0.3">
      <c r="A435" t="str">
        <f t="shared" ca="1" si="6"/>
        <v>ORD-2013-Fra-8664</v>
      </c>
      <c r="B435" t="s">
        <v>30</v>
      </c>
      <c r="C435" t="s">
        <v>24</v>
      </c>
      <c r="D435" t="s">
        <v>42</v>
      </c>
      <c r="E435" t="s">
        <v>47</v>
      </c>
      <c r="F435">
        <v>2234</v>
      </c>
      <c r="G435">
        <v>250</v>
      </c>
      <c r="H435">
        <v>12</v>
      </c>
      <c r="I435">
        <v>26808</v>
      </c>
      <c r="J435">
        <v>2412.7199999999998</v>
      </c>
      <c r="K435">
        <v>24395.279999999999</v>
      </c>
      <c r="L435">
        <v>6702</v>
      </c>
      <c r="M435">
        <v>17693.28</v>
      </c>
      <c r="N435" s="1">
        <v>41518</v>
      </c>
      <c r="O435">
        <v>9</v>
      </c>
      <c r="P435" t="s">
        <v>35</v>
      </c>
      <c r="Q435">
        <v>2013</v>
      </c>
    </row>
    <row r="436" spans="1:17" x14ac:dyDescent="0.3">
      <c r="A436" t="str">
        <f t="shared" ca="1" si="6"/>
        <v>ORD-2014-Fra-5794</v>
      </c>
      <c r="B436" t="s">
        <v>23</v>
      </c>
      <c r="C436" t="s">
        <v>24</v>
      </c>
      <c r="D436" t="s">
        <v>42</v>
      </c>
      <c r="E436" t="s">
        <v>47</v>
      </c>
      <c r="F436">
        <v>1227</v>
      </c>
      <c r="G436">
        <v>250</v>
      </c>
      <c r="H436">
        <v>15</v>
      </c>
      <c r="I436">
        <v>18405</v>
      </c>
      <c r="J436">
        <v>1656.45</v>
      </c>
      <c r="K436">
        <v>16748.55</v>
      </c>
      <c r="L436">
        <v>12270</v>
      </c>
      <c r="M436">
        <v>4478.55</v>
      </c>
      <c r="N436" s="1">
        <v>41913</v>
      </c>
      <c r="O436">
        <v>10</v>
      </c>
      <c r="P436" t="s">
        <v>36</v>
      </c>
      <c r="Q436">
        <v>2014</v>
      </c>
    </row>
    <row r="437" spans="1:17" x14ac:dyDescent="0.3">
      <c r="A437" t="str">
        <f t="shared" ca="1" si="6"/>
        <v>ORD-2014-Mex-5560</v>
      </c>
      <c r="B437" t="s">
        <v>31</v>
      </c>
      <c r="C437" t="s">
        <v>26</v>
      </c>
      <c r="D437" t="s">
        <v>42</v>
      </c>
      <c r="E437" t="s">
        <v>47</v>
      </c>
      <c r="F437">
        <v>877</v>
      </c>
      <c r="G437">
        <v>250</v>
      </c>
      <c r="H437">
        <v>125</v>
      </c>
      <c r="I437">
        <v>109625</v>
      </c>
      <c r="J437">
        <v>9866.25</v>
      </c>
      <c r="K437">
        <v>96832.43</v>
      </c>
      <c r="L437">
        <v>67690</v>
      </c>
      <c r="M437">
        <f>K437-L437</f>
        <v>29142.429999999993</v>
      </c>
      <c r="N437" s="1">
        <v>41944</v>
      </c>
      <c r="O437">
        <v>11</v>
      </c>
      <c r="P437" t="s">
        <v>40</v>
      </c>
      <c r="Q437">
        <v>2014</v>
      </c>
    </row>
    <row r="438" spans="1:17" x14ac:dyDescent="0.3">
      <c r="A438" t="str">
        <f t="shared" ca="1" si="6"/>
        <v>ORD-2014-Uni-8041</v>
      </c>
      <c r="B438" t="s">
        <v>17</v>
      </c>
      <c r="C438" t="s">
        <v>37</v>
      </c>
      <c r="D438" t="s">
        <v>44</v>
      </c>
      <c r="E438" t="s">
        <v>47</v>
      </c>
      <c r="F438">
        <v>2071</v>
      </c>
      <c r="G438">
        <v>260</v>
      </c>
      <c r="H438">
        <v>350</v>
      </c>
      <c r="I438">
        <v>724850</v>
      </c>
      <c r="J438">
        <v>65236.5</v>
      </c>
      <c r="K438">
        <v>659613.5</v>
      </c>
      <c r="L438">
        <v>538460</v>
      </c>
      <c r="M438">
        <v>121153.5</v>
      </c>
      <c r="N438" s="1">
        <v>41883</v>
      </c>
      <c r="O438">
        <v>9</v>
      </c>
      <c r="P438" t="s">
        <v>35</v>
      </c>
      <c r="Q438">
        <v>2014</v>
      </c>
    </row>
    <row r="439" spans="1:17" x14ac:dyDescent="0.3">
      <c r="A439" t="str">
        <f t="shared" ca="1" si="6"/>
        <v>ORD-2014-Ca0-5013</v>
      </c>
      <c r="B439" t="s">
        <v>17</v>
      </c>
      <c r="C439" t="s">
        <v>18</v>
      </c>
      <c r="D439" t="s">
        <v>44</v>
      </c>
      <c r="E439" t="s">
        <v>47</v>
      </c>
      <c r="F439">
        <v>1269</v>
      </c>
      <c r="G439">
        <v>260</v>
      </c>
      <c r="H439">
        <v>350</v>
      </c>
      <c r="I439">
        <v>444150</v>
      </c>
      <c r="J439">
        <v>39973.5</v>
      </c>
      <c r="K439">
        <v>404176.5</v>
      </c>
      <c r="L439">
        <v>329940</v>
      </c>
      <c r="M439">
        <v>74236.5</v>
      </c>
      <c r="N439" s="1">
        <v>41913</v>
      </c>
      <c r="O439">
        <v>10</v>
      </c>
      <c r="P439" t="s">
        <v>36</v>
      </c>
      <c r="Q439">
        <v>2014</v>
      </c>
    </row>
    <row r="440" spans="1:17" x14ac:dyDescent="0.3">
      <c r="A440" t="str">
        <f t="shared" ca="1" si="6"/>
        <v>ORD-2013-Ger-7178</v>
      </c>
      <c r="B440" t="s">
        <v>23</v>
      </c>
      <c r="C440" t="s">
        <v>22</v>
      </c>
      <c r="D440" t="s">
        <v>44</v>
      </c>
      <c r="E440" t="s">
        <v>47</v>
      </c>
      <c r="F440">
        <v>970</v>
      </c>
      <c r="G440">
        <v>260</v>
      </c>
      <c r="H440">
        <v>15</v>
      </c>
      <c r="I440">
        <v>14550</v>
      </c>
      <c r="J440">
        <v>1309.5</v>
      </c>
      <c r="K440">
        <v>13240.5</v>
      </c>
      <c r="L440">
        <v>9700</v>
      </c>
      <c r="M440">
        <v>3540.5</v>
      </c>
      <c r="N440" s="1">
        <v>41579</v>
      </c>
      <c r="O440">
        <v>11</v>
      </c>
      <c r="P440" t="s">
        <v>40</v>
      </c>
      <c r="Q440">
        <v>2013</v>
      </c>
    </row>
    <row r="441" spans="1:17" x14ac:dyDescent="0.3">
      <c r="A441" t="str">
        <f t="shared" ca="1" si="6"/>
        <v>ORD-2014-Mex-2147</v>
      </c>
      <c r="B441" t="s">
        <v>17</v>
      </c>
      <c r="C441" t="s">
        <v>26</v>
      </c>
      <c r="D441" t="s">
        <v>44</v>
      </c>
      <c r="E441" t="s">
        <v>47</v>
      </c>
      <c r="F441">
        <v>1694</v>
      </c>
      <c r="G441">
        <v>260</v>
      </c>
      <c r="H441">
        <v>20</v>
      </c>
      <c r="I441">
        <v>33880</v>
      </c>
      <c r="J441">
        <v>3049.2</v>
      </c>
      <c r="K441">
        <v>30830.799999999999</v>
      </c>
      <c r="L441">
        <v>16940</v>
      </c>
      <c r="M441">
        <v>13890.8</v>
      </c>
      <c r="N441" s="1">
        <v>41944</v>
      </c>
      <c r="O441">
        <v>11</v>
      </c>
      <c r="P441" t="s">
        <v>40</v>
      </c>
      <c r="Q441">
        <v>2014</v>
      </c>
    </row>
    <row r="442" spans="1:17" x14ac:dyDescent="0.3">
      <c r="A442" t="str">
        <f t="shared" ca="1" si="6"/>
        <v>ORD-2014-Ger-2965</v>
      </c>
      <c r="B442" t="s">
        <v>17</v>
      </c>
      <c r="C442" t="s">
        <v>22</v>
      </c>
      <c r="D442" t="s">
        <v>19</v>
      </c>
      <c r="E442" t="s">
        <v>47</v>
      </c>
      <c r="F442">
        <v>663</v>
      </c>
      <c r="G442">
        <v>3</v>
      </c>
      <c r="H442">
        <v>20</v>
      </c>
      <c r="I442">
        <v>13260</v>
      </c>
      <c r="J442">
        <v>1193.4000000000001</v>
      </c>
      <c r="K442">
        <v>12066.6</v>
      </c>
      <c r="L442">
        <v>6630</v>
      </c>
      <c r="M442">
        <v>5436.6</v>
      </c>
      <c r="N442" s="1">
        <v>41760</v>
      </c>
      <c r="O442">
        <v>5</v>
      </c>
      <c r="P442" t="s">
        <v>46</v>
      </c>
      <c r="Q442">
        <v>2014</v>
      </c>
    </row>
    <row r="443" spans="1:17" x14ac:dyDescent="0.3">
      <c r="A443" t="str">
        <f t="shared" ca="1" si="6"/>
        <v>ORD-2014-Ca0-2025</v>
      </c>
      <c r="B443" t="s">
        <v>17</v>
      </c>
      <c r="C443" t="s">
        <v>18</v>
      </c>
      <c r="D443" t="s">
        <v>19</v>
      </c>
      <c r="E443" t="s">
        <v>47</v>
      </c>
      <c r="F443">
        <v>819</v>
      </c>
      <c r="G443">
        <v>3</v>
      </c>
      <c r="H443">
        <v>7</v>
      </c>
      <c r="I443">
        <v>5733</v>
      </c>
      <c r="J443">
        <v>515.97</v>
      </c>
      <c r="K443">
        <v>5217.03</v>
      </c>
      <c r="L443">
        <v>4095</v>
      </c>
      <c r="M443">
        <v>1122.03</v>
      </c>
      <c r="N443" s="1">
        <v>41821</v>
      </c>
      <c r="O443">
        <v>7</v>
      </c>
      <c r="P443" t="s">
        <v>32</v>
      </c>
      <c r="Q443">
        <v>2014</v>
      </c>
    </row>
    <row r="444" spans="1:17" x14ac:dyDescent="0.3">
      <c r="A444" t="str">
        <f t="shared" ca="1" si="6"/>
        <v>ORD-2014-Ger-5904</v>
      </c>
      <c r="B444" t="s">
        <v>30</v>
      </c>
      <c r="C444" t="s">
        <v>22</v>
      </c>
      <c r="D444" t="s">
        <v>19</v>
      </c>
      <c r="E444" t="s">
        <v>47</v>
      </c>
      <c r="F444">
        <v>1580</v>
      </c>
      <c r="G444">
        <v>3</v>
      </c>
      <c r="H444">
        <v>12</v>
      </c>
      <c r="I444">
        <v>18960</v>
      </c>
      <c r="J444">
        <v>1706.4</v>
      </c>
      <c r="K444">
        <v>17253.599999999999</v>
      </c>
      <c r="L444">
        <v>4740</v>
      </c>
      <c r="M444">
        <v>12513.6</v>
      </c>
      <c r="N444" s="1">
        <v>41883</v>
      </c>
      <c r="O444">
        <v>9</v>
      </c>
      <c r="P444" t="s">
        <v>35</v>
      </c>
      <c r="Q444">
        <v>2014</v>
      </c>
    </row>
    <row r="445" spans="1:17" x14ac:dyDescent="0.3">
      <c r="A445" t="str">
        <f t="shared" ca="1" si="6"/>
        <v>ORD-2014-Mex-6240</v>
      </c>
      <c r="B445" t="s">
        <v>17</v>
      </c>
      <c r="C445" t="s">
        <v>26</v>
      </c>
      <c r="D445" t="s">
        <v>19</v>
      </c>
      <c r="E445" t="s">
        <v>47</v>
      </c>
      <c r="F445">
        <v>521</v>
      </c>
      <c r="G445">
        <v>3</v>
      </c>
      <c r="H445">
        <v>7</v>
      </c>
      <c r="I445">
        <v>3647</v>
      </c>
      <c r="J445">
        <v>328.23</v>
      </c>
      <c r="K445">
        <v>3318.77</v>
      </c>
      <c r="L445">
        <v>2605</v>
      </c>
      <c r="M445">
        <v>713.77</v>
      </c>
      <c r="N445" s="1">
        <v>41974</v>
      </c>
      <c r="O445">
        <v>12</v>
      </c>
      <c r="P445" t="s">
        <v>27</v>
      </c>
      <c r="Q445">
        <v>2014</v>
      </c>
    </row>
    <row r="446" spans="1:17" x14ac:dyDescent="0.3">
      <c r="A446" t="str">
        <f t="shared" ca="1" si="6"/>
        <v>ORD-2014-Uni-9165</v>
      </c>
      <c r="B446" t="s">
        <v>17</v>
      </c>
      <c r="C446" t="s">
        <v>37</v>
      </c>
      <c r="D446" t="s">
        <v>38</v>
      </c>
      <c r="E446" t="s">
        <v>47</v>
      </c>
      <c r="F446">
        <v>973</v>
      </c>
      <c r="G446">
        <v>10</v>
      </c>
      <c r="H446">
        <v>20</v>
      </c>
      <c r="I446">
        <v>19460</v>
      </c>
      <c r="J446">
        <v>1751.4</v>
      </c>
      <c r="K446">
        <v>17708.599999999999</v>
      </c>
      <c r="L446">
        <v>9730</v>
      </c>
      <c r="M446">
        <v>7978.6</v>
      </c>
      <c r="N446" s="1">
        <v>41699</v>
      </c>
      <c r="O446">
        <v>3</v>
      </c>
      <c r="P446" t="s">
        <v>29</v>
      </c>
      <c r="Q446">
        <v>2014</v>
      </c>
    </row>
    <row r="447" spans="1:17" x14ac:dyDescent="0.3">
      <c r="A447" t="str">
        <f t="shared" ca="1" si="6"/>
        <v>ORD-2014-Mex-5724</v>
      </c>
      <c r="B447" t="s">
        <v>17</v>
      </c>
      <c r="C447" t="s">
        <v>26</v>
      </c>
      <c r="D447" t="s">
        <v>38</v>
      </c>
      <c r="E447" t="s">
        <v>47</v>
      </c>
      <c r="F447">
        <v>1038</v>
      </c>
      <c r="G447">
        <v>10</v>
      </c>
      <c r="H447">
        <v>20</v>
      </c>
      <c r="I447">
        <v>20760</v>
      </c>
      <c r="J447">
        <v>1868.4</v>
      </c>
      <c r="K447">
        <v>18891.599999999999</v>
      </c>
      <c r="L447">
        <v>10380</v>
      </c>
      <c r="M447">
        <v>8511.6</v>
      </c>
      <c r="N447" s="1">
        <v>41791</v>
      </c>
      <c r="O447">
        <v>6</v>
      </c>
      <c r="P447" t="s">
        <v>25</v>
      </c>
      <c r="Q447">
        <v>2014</v>
      </c>
    </row>
    <row r="448" spans="1:17" x14ac:dyDescent="0.3">
      <c r="A448" t="str">
        <f t="shared" ca="1" si="6"/>
        <v>ORD-2014-Ger-1755</v>
      </c>
      <c r="B448" t="s">
        <v>17</v>
      </c>
      <c r="C448" t="s">
        <v>22</v>
      </c>
      <c r="D448" t="s">
        <v>38</v>
      </c>
      <c r="E448" t="s">
        <v>47</v>
      </c>
      <c r="F448">
        <v>360</v>
      </c>
      <c r="G448">
        <v>10</v>
      </c>
      <c r="H448">
        <v>7</v>
      </c>
      <c r="I448">
        <v>2520</v>
      </c>
      <c r="J448">
        <v>226.8</v>
      </c>
      <c r="K448">
        <v>2293.1999999999998</v>
      </c>
      <c r="L448">
        <v>1800</v>
      </c>
      <c r="M448">
        <v>493.2</v>
      </c>
      <c r="N448" s="1">
        <v>41913</v>
      </c>
      <c r="O448">
        <v>10</v>
      </c>
      <c r="P448" t="s">
        <v>36</v>
      </c>
      <c r="Q448">
        <v>2014</v>
      </c>
    </row>
    <row r="449" spans="1:17" x14ac:dyDescent="0.3">
      <c r="A449" t="str">
        <f t="shared" ca="1" si="6"/>
        <v>ORD-2014-Fra-7120</v>
      </c>
      <c r="B449" t="s">
        <v>30</v>
      </c>
      <c r="C449" t="s">
        <v>24</v>
      </c>
      <c r="D449" t="s">
        <v>41</v>
      </c>
      <c r="E449" t="s">
        <v>47</v>
      </c>
      <c r="F449">
        <v>1967</v>
      </c>
      <c r="G449">
        <v>120</v>
      </c>
      <c r="H449">
        <v>12</v>
      </c>
      <c r="I449">
        <v>23604</v>
      </c>
      <c r="J449">
        <v>2124.36</v>
      </c>
      <c r="K449">
        <v>21479.64</v>
      </c>
      <c r="L449">
        <v>5901</v>
      </c>
      <c r="M449">
        <v>15578.64</v>
      </c>
      <c r="N449" s="1">
        <v>41699</v>
      </c>
      <c r="O449">
        <v>3</v>
      </c>
      <c r="P449" t="s">
        <v>29</v>
      </c>
      <c r="Q449">
        <v>2014</v>
      </c>
    </row>
    <row r="450" spans="1:17" x14ac:dyDescent="0.3">
      <c r="A450" t="str">
        <f t="shared" ca="1" si="6"/>
        <v>ORD-2014-Mex-4200</v>
      </c>
      <c r="B450" t="s">
        <v>23</v>
      </c>
      <c r="C450" t="s">
        <v>26</v>
      </c>
      <c r="D450" t="s">
        <v>41</v>
      </c>
      <c r="E450" t="s">
        <v>47</v>
      </c>
      <c r="F450">
        <v>2628</v>
      </c>
      <c r="G450">
        <v>120</v>
      </c>
      <c r="H450">
        <v>15</v>
      </c>
      <c r="I450">
        <v>39420</v>
      </c>
      <c r="J450">
        <v>3547.8</v>
      </c>
      <c r="K450">
        <v>35872.199999999997</v>
      </c>
      <c r="L450">
        <v>26280</v>
      </c>
      <c r="M450">
        <v>9592.2000000000007</v>
      </c>
      <c r="N450" s="1">
        <v>41730</v>
      </c>
      <c r="O450">
        <v>4</v>
      </c>
      <c r="P450" t="s">
        <v>43</v>
      </c>
      <c r="Q450">
        <v>2014</v>
      </c>
    </row>
    <row r="451" spans="1:17" x14ac:dyDescent="0.3">
      <c r="A451" t="str">
        <f t="shared" ref="A451:A514" ca="1" si="7">"ORD-" &amp; YEAR(N451) &amp; "-"  &amp; LEFT(C451,3) &amp; "-" &amp; RANDBETWEEN(1000,9999)</f>
        <v>ORD-2014-Ger-4553</v>
      </c>
      <c r="B451" t="s">
        <v>17</v>
      </c>
      <c r="C451" t="s">
        <v>22</v>
      </c>
      <c r="D451" t="s">
        <v>42</v>
      </c>
      <c r="E451" t="s">
        <v>47</v>
      </c>
      <c r="F451">
        <v>360</v>
      </c>
      <c r="G451">
        <v>250</v>
      </c>
      <c r="H451">
        <v>7</v>
      </c>
      <c r="I451">
        <v>2520</v>
      </c>
      <c r="J451">
        <v>226.8</v>
      </c>
      <c r="K451">
        <v>2293.1999999999998</v>
      </c>
      <c r="L451">
        <v>1800</v>
      </c>
      <c r="M451">
        <v>493.2</v>
      </c>
      <c r="N451" s="1">
        <v>41913</v>
      </c>
      <c r="O451">
        <v>10</v>
      </c>
      <c r="P451" t="s">
        <v>36</v>
      </c>
      <c r="Q451">
        <v>2014</v>
      </c>
    </row>
    <row r="452" spans="1:17" x14ac:dyDescent="0.3">
      <c r="A452" t="str">
        <f t="shared" ca="1" si="7"/>
        <v>ORD-2013-Fra-3822</v>
      </c>
      <c r="B452" t="s">
        <v>17</v>
      </c>
      <c r="C452" t="s">
        <v>24</v>
      </c>
      <c r="D452" t="s">
        <v>42</v>
      </c>
      <c r="E452" t="s">
        <v>47</v>
      </c>
      <c r="F452">
        <v>2682</v>
      </c>
      <c r="G452">
        <v>250</v>
      </c>
      <c r="H452">
        <v>20</v>
      </c>
      <c r="I452">
        <v>53640</v>
      </c>
      <c r="J452">
        <v>4827.6000000000004</v>
      </c>
      <c r="K452">
        <v>48812.4</v>
      </c>
      <c r="L452">
        <v>26820</v>
      </c>
      <c r="M452">
        <v>21992.400000000001</v>
      </c>
      <c r="N452" s="1">
        <v>41579</v>
      </c>
      <c r="O452">
        <v>11</v>
      </c>
      <c r="P452" t="s">
        <v>40</v>
      </c>
      <c r="Q452">
        <v>2013</v>
      </c>
    </row>
    <row r="453" spans="1:17" x14ac:dyDescent="0.3">
      <c r="A453" t="str">
        <f t="shared" ca="1" si="7"/>
        <v>ORD-2014-Mex-2700</v>
      </c>
      <c r="B453" t="s">
        <v>17</v>
      </c>
      <c r="C453" t="s">
        <v>26</v>
      </c>
      <c r="D453" t="s">
        <v>42</v>
      </c>
      <c r="E453" t="s">
        <v>47</v>
      </c>
      <c r="F453">
        <v>521</v>
      </c>
      <c r="G453">
        <v>250</v>
      </c>
      <c r="H453">
        <v>7</v>
      </c>
      <c r="I453">
        <v>3647</v>
      </c>
      <c r="J453">
        <v>328.23</v>
      </c>
      <c r="K453">
        <v>3318.77</v>
      </c>
      <c r="L453">
        <v>2605</v>
      </c>
      <c r="M453">
        <v>713.77</v>
      </c>
      <c r="N453" s="1">
        <v>41974</v>
      </c>
      <c r="O453">
        <v>12</v>
      </c>
      <c r="P453" t="s">
        <v>27</v>
      </c>
      <c r="Q453">
        <v>2014</v>
      </c>
    </row>
    <row r="454" spans="1:17" x14ac:dyDescent="0.3">
      <c r="A454" t="str">
        <f t="shared" ca="1" si="7"/>
        <v>ORD-2014-Mex-1502</v>
      </c>
      <c r="B454" t="s">
        <v>17</v>
      </c>
      <c r="C454" t="s">
        <v>26</v>
      </c>
      <c r="D454" t="s">
        <v>44</v>
      </c>
      <c r="E454" t="s">
        <v>47</v>
      </c>
      <c r="F454">
        <v>1038</v>
      </c>
      <c r="G454">
        <v>260</v>
      </c>
      <c r="H454">
        <v>20</v>
      </c>
      <c r="I454">
        <v>20760</v>
      </c>
      <c r="J454">
        <v>1868.4</v>
      </c>
      <c r="K454">
        <v>18891.599999999999</v>
      </c>
      <c r="L454">
        <v>10380</v>
      </c>
      <c r="M454">
        <v>8511.6</v>
      </c>
      <c r="N454" s="1">
        <v>41791</v>
      </c>
      <c r="O454">
        <v>6</v>
      </c>
      <c r="P454" t="s">
        <v>25</v>
      </c>
      <c r="Q454">
        <v>2014</v>
      </c>
    </row>
    <row r="455" spans="1:17" x14ac:dyDescent="0.3">
      <c r="A455" t="str">
        <f t="shared" ca="1" si="7"/>
        <v>ORD-2014-Ca0-6462</v>
      </c>
      <c r="B455" t="s">
        <v>23</v>
      </c>
      <c r="C455" t="s">
        <v>18</v>
      </c>
      <c r="D455" t="s">
        <v>44</v>
      </c>
      <c r="E455" t="s">
        <v>47</v>
      </c>
      <c r="F455">
        <v>1630.5</v>
      </c>
      <c r="G455">
        <v>260</v>
      </c>
      <c r="H455">
        <v>15</v>
      </c>
      <c r="I455">
        <v>24457.5</v>
      </c>
      <c r="J455">
        <v>2201.1799999999998</v>
      </c>
      <c r="K455">
        <v>22256.33</v>
      </c>
      <c r="L455">
        <v>16305</v>
      </c>
      <c r="M455">
        <v>5951.33</v>
      </c>
      <c r="N455" s="1">
        <v>41821</v>
      </c>
      <c r="O455">
        <v>7</v>
      </c>
      <c r="P455" t="s">
        <v>32</v>
      </c>
      <c r="Q455">
        <v>2014</v>
      </c>
    </row>
    <row r="456" spans="1:17" x14ac:dyDescent="0.3">
      <c r="A456" t="str">
        <f t="shared" ca="1" si="7"/>
        <v>ORD-2013-Fra-4354</v>
      </c>
      <c r="B456" t="s">
        <v>30</v>
      </c>
      <c r="C456" t="s">
        <v>24</v>
      </c>
      <c r="D456" t="s">
        <v>44</v>
      </c>
      <c r="E456" t="s">
        <v>47</v>
      </c>
      <c r="F456">
        <v>306</v>
      </c>
      <c r="G456">
        <v>260</v>
      </c>
      <c r="H456">
        <v>12</v>
      </c>
      <c r="I456">
        <v>3672</v>
      </c>
      <c r="J456">
        <v>330.48</v>
      </c>
      <c r="K456">
        <v>3341.52</v>
      </c>
      <c r="L456">
        <v>918</v>
      </c>
      <c r="M456">
        <v>2423.52</v>
      </c>
      <c r="N456" s="1">
        <v>41609</v>
      </c>
      <c r="O456">
        <v>12</v>
      </c>
      <c r="P456" t="s">
        <v>27</v>
      </c>
      <c r="Q456">
        <v>2013</v>
      </c>
    </row>
    <row r="457" spans="1:17" x14ac:dyDescent="0.3">
      <c r="A457" t="str">
        <f t="shared" ca="1" si="7"/>
        <v>ORD-2013-Uni-1897</v>
      </c>
      <c r="B457" t="s">
        <v>30</v>
      </c>
      <c r="C457" t="s">
        <v>37</v>
      </c>
      <c r="D457" t="s">
        <v>19</v>
      </c>
      <c r="E457" t="s">
        <v>48</v>
      </c>
      <c r="F457">
        <v>386</v>
      </c>
      <c r="G457">
        <v>3</v>
      </c>
      <c r="H457">
        <v>12</v>
      </c>
      <c r="I457">
        <v>4632</v>
      </c>
      <c r="J457">
        <v>463.2</v>
      </c>
      <c r="K457">
        <v>4168.8</v>
      </c>
      <c r="L457">
        <v>1158</v>
      </c>
      <c r="M457">
        <v>3010.8</v>
      </c>
      <c r="N457" s="1">
        <v>41548</v>
      </c>
      <c r="O457">
        <v>10</v>
      </c>
      <c r="P457" t="s">
        <v>36</v>
      </c>
      <c r="Q457">
        <v>2013</v>
      </c>
    </row>
    <row r="458" spans="1:17" x14ac:dyDescent="0.3">
      <c r="A458" t="str">
        <f t="shared" ca="1" si="7"/>
        <v>ORD-2014-Uni-9938</v>
      </c>
      <c r="B458" t="s">
        <v>17</v>
      </c>
      <c r="C458" t="s">
        <v>37</v>
      </c>
      <c r="D458" t="s">
        <v>28</v>
      </c>
      <c r="E458" t="s">
        <v>48</v>
      </c>
      <c r="F458">
        <v>2328</v>
      </c>
      <c r="G458">
        <v>5</v>
      </c>
      <c r="H458">
        <v>7</v>
      </c>
      <c r="I458">
        <v>16296</v>
      </c>
      <c r="J458">
        <v>1629.6</v>
      </c>
      <c r="K458">
        <v>14666.4</v>
      </c>
      <c r="L458">
        <v>11640</v>
      </c>
      <c r="M458">
        <v>3026.4</v>
      </c>
      <c r="N458" s="1">
        <v>41883</v>
      </c>
      <c r="O458">
        <v>9</v>
      </c>
      <c r="P458" t="s">
        <v>35</v>
      </c>
      <c r="Q458">
        <v>2014</v>
      </c>
    </row>
    <row r="459" spans="1:17" x14ac:dyDescent="0.3">
      <c r="A459" t="str">
        <f t="shared" ca="1" si="7"/>
        <v>ORD-2013-Uni-1792</v>
      </c>
      <c r="B459" t="s">
        <v>30</v>
      </c>
      <c r="C459" t="s">
        <v>37</v>
      </c>
      <c r="D459" t="s">
        <v>38</v>
      </c>
      <c r="E459" t="s">
        <v>48</v>
      </c>
      <c r="F459">
        <v>386</v>
      </c>
      <c r="G459">
        <v>10</v>
      </c>
      <c r="H459">
        <v>12</v>
      </c>
      <c r="I459">
        <v>4632</v>
      </c>
      <c r="J459">
        <v>463.2</v>
      </c>
      <c r="K459">
        <v>4168.8</v>
      </c>
      <c r="L459">
        <v>1158</v>
      </c>
      <c r="M459">
        <v>3010.8</v>
      </c>
      <c r="N459" s="1">
        <v>41548</v>
      </c>
      <c r="O459">
        <v>10</v>
      </c>
      <c r="P459" t="s">
        <v>36</v>
      </c>
      <c r="Q459">
        <v>2013</v>
      </c>
    </row>
    <row r="460" spans="1:17" x14ac:dyDescent="0.3">
      <c r="A460" t="str">
        <f t="shared" ca="1" si="7"/>
        <v>ORD-2014-Uni-4471</v>
      </c>
      <c r="B460" t="s">
        <v>31</v>
      </c>
      <c r="C460" t="s">
        <v>37</v>
      </c>
      <c r="D460" t="s">
        <v>19</v>
      </c>
      <c r="E460" t="s">
        <v>48</v>
      </c>
      <c r="F460">
        <v>3445.5</v>
      </c>
      <c r="G460">
        <v>3</v>
      </c>
      <c r="H460">
        <v>125</v>
      </c>
      <c r="I460">
        <v>430687.5</v>
      </c>
      <c r="J460">
        <v>43068.75</v>
      </c>
      <c r="K460">
        <v>387618.75</v>
      </c>
      <c r="L460">
        <v>413460</v>
      </c>
      <c r="M460">
        <f>K460-L460</f>
        <v>-25841.25</v>
      </c>
      <c r="N460" s="1">
        <v>41730</v>
      </c>
      <c r="O460">
        <v>4</v>
      </c>
      <c r="P460" t="s">
        <v>43</v>
      </c>
      <c r="Q460">
        <v>2014</v>
      </c>
    </row>
    <row r="461" spans="1:17" x14ac:dyDescent="0.3">
      <c r="A461" t="str">
        <f t="shared" ca="1" si="7"/>
        <v>ORD-2013-Fra-6108</v>
      </c>
      <c r="B461" t="s">
        <v>31</v>
      </c>
      <c r="C461" t="s">
        <v>24</v>
      </c>
      <c r="D461" t="s">
        <v>19</v>
      </c>
      <c r="E461" t="s">
        <v>48</v>
      </c>
      <c r="F461">
        <v>1482</v>
      </c>
      <c r="G461">
        <v>3</v>
      </c>
      <c r="H461">
        <v>125</v>
      </c>
      <c r="I461">
        <v>185250</v>
      </c>
      <c r="J461">
        <v>18525</v>
      </c>
      <c r="K461">
        <v>166725</v>
      </c>
      <c r="L461">
        <v>17784</v>
      </c>
      <c r="M461">
        <f>K461-L461</f>
        <v>148941</v>
      </c>
      <c r="N461" s="1">
        <v>41609</v>
      </c>
      <c r="O461">
        <v>12</v>
      </c>
      <c r="P461" t="s">
        <v>27</v>
      </c>
      <c r="Q461">
        <v>2013</v>
      </c>
    </row>
    <row r="462" spans="1:17" x14ac:dyDescent="0.3">
      <c r="A462" t="str">
        <f t="shared" ca="1" si="7"/>
        <v>ORD-2014-Uni-4781</v>
      </c>
      <c r="B462" t="s">
        <v>17</v>
      </c>
      <c r="C462" t="s">
        <v>37</v>
      </c>
      <c r="D462" t="s">
        <v>28</v>
      </c>
      <c r="E462" t="s">
        <v>48</v>
      </c>
      <c r="F462">
        <v>2313</v>
      </c>
      <c r="G462">
        <v>5</v>
      </c>
      <c r="H462">
        <v>350</v>
      </c>
      <c r="I462">
        <v>809550</v>
      </c>
      <c r="J462">
        <v>80955</v>
      </c>
      <c r="K462">
        <v>728595</v>
      </c>
      <c r="L462">
        <v>601380</v>
      </c>
      <c r="M462">
        <v>127215</v>
      </c>
      <c r="N462" s="1">
        <v>41760</v>
      </c>
      <c r="O462">
        <v>5</v>
      </c>
      <c r="P462" t="s">
        <v>46</v>
      </c>
      <c r="Q462">
        <v>2014</v>
      </c>
    </row>
    <row r="463" spans="1:17" x14ac:dyDescent="0.3">
      <c r="A463" t="str">
        <f t="shared" ca="1" si="7"/>
        <v>ORD-2013-Uni-5905</v>
      </c>
      <c r="B463" t="s">
        <v>31</v>
      </c>
      <c r="C463" t="s">
        <v>37</v>
      </c>
      <c r="D463" t="s">
        <v>28</v>
      </c>
      <c r="E463" t="s">
        <v>48</v>
      </c>
      <c r="F463">
        <v>1804</v>
      </c>
      <c r="G463">
        <v>5</v>
      </c>
      <c r="H463">
        <v>125</v>
      </c>
      <c r="I463">
        <v>225500</v>
      </c>
      <c r="J463">
        <v>22550</v>
      </c>
      <c r="K463">
        <v>202950</v>
      </c>
      <c r="L463">
        <v>216480</v>
      </c>
      <c r="M463">
        <f>K463-L463</f>
        <v>-13530</v>
      </c>
      <c r="N463" s="1">
        <v>41579</v>
      </c>
      <c r="O463">
        <v>11</v>
      </c>
      <c r="P463" t="s">
        <v>40</v>
      </c>
      <c r="Q463">
        <v>2013</v>
      </c>
    </row>
    <row r="464" spans="1:17" x14ac:dyDescent="0.3">
      <c r="A464" t="str">
        <f t="shared" ca="1" si="7"/>
        <v>ORD-2014-Fra-3863</v>
      </c>
      <c r="B464" t="s">
        <v>23</v>
      </c>
      <c r="C464" t="s">
        <v>24</v>
      </c>
      <c r="D464" t="s">
        <v>28</v>
      </c>
      <c r="E464" t="s">
        <v>48</v>
      </c>
      <c r="F464">
        <v>2072</v>
      </c>
      <c r="G464">
        <v>5</v>
      </c>
      <c r="H464">
        <v>15</v>
      </c>
      <c r="I464">
        <v>31080</v>
      </c>
      <c r="J464">
        <v>3108</v>
      </c>
      <c r="K464">
        <v>27972</v>
      </c>
      <c r="L464">
        <v>20720</v>
      </c>
      <c r="M464">
        <v>7252</v>
      </c>
      <c r="N464" s="1">
        <v>41974</v>
      </c>
      <c r="O464">
        <v>12</v>
      </c>
      <c r="P464" t="s">
        <v>27</v>
      </c>
      <c r="Q464">
        <v>2014</v>
      </c>
    </row>
    <row r="465" spans="1:17" x14ac:dyDescent="0.3">
      <c r="A465" t="str">
        <f t="shared" ca="1" si="7"/>
        <v>ORD-2014-Fra-5628</v>
      </c>
      <c r="B465" t="s">
        <v>17</v>
      </c>
      <c r="C465" t="s">
        <v>24</v>
      </c>
      <c r="D465" t="s">
        <v>38</v>
      </c>
      <c r="E465" t="s">
        <v>48</v>
      </c>
      <c r="F465">
        <v>1954</v>
      </c>
      <c r="G465">
        <v>10</v>
      </c>
      <c r="H465">
        <v>20</v>
      </c>
      <c r="I465">
        <v>39080</v>
      </c>
      <c r="J465">
        <v>3908</v>
      </c>
      <c r="K465">
        <v>35172</v>
      </c>
      <c r="L465">
        <v>19540</v>
      </c>
      <c r="M465">
        <v>15632</v>
      </c>
      <c r="N465" s="1">
        <v>41699</v>
      </c>
      <c r="O465">
        <v>3</v>
      </c>
      <c r="P465" t="s">
        <v>29</v>
      </c>
      <c r="Q465">
        <v>2014</v>
      </c>
    </row>
    <row r="466" spans="1:17" x14ac:dyDescent="0.3">
      <c r="A466" t="str">
        <f t="shared" ca="1" si="7"/>
        <v>ORD-2014-Mex-1972</v>
      </c>
      <c r="B466" t="s">
        <v>33</v>
      </c>
      <c r="C466" t="s">
        <v>26</v>
      </c>
      <c r="D466" t="s">
        <v>38</v>
      </c>
      <c r="E466" t="s">
        <v>48</v>
      </c>
      <c r="F466">
        <v>591</v>
      </c>
      <c r="G466">
        <v>10</v>
      </c>
      <c r="H466">
        <v>300</v>
      </c>
      <c r="I466">
        <v>177300</v>
      </c>
      <c r="J466">
        <v>17730</v>
      </c>
      <c r="K466">
        <v>159570</v>
      </c>
      <c r="L466">
        <v>147750</v>
      </c>
      <c r="M466">
        <v>11820</v>
      </c>
      <c r="N466" s="1">
        <v>41760</v>
      </c>
      <c r="O466">
        <v>5</v>
      </c>
      <c r="P466" t="s">
        <v>46</v>
      </c>
      <c r="Q466">
        <v>2014</v>
      </c>
    </row>
    <row r="467" spans="1:17" x14ac:dyDescent="0.3">
      <c r="A467" t="str">
        <f t="shared" ca="1" si="7"/>
        <v>ORD-2013-Fra-8663</v>
      </c>
      <c r="B467" t="s">
        <v>23</v>
      </c>
      <c r="C467" t="s">
        <v>24</v>
      </c>
      <c r="D467" t="s">
        <v>38</v>
      </c>
      <c r="E467" t="s">
        <v>48</v>
      </c>
      <c r="F467">
        <v>2167</v>
      </c>
      <c r="G467">
        <v>10</v>
      </c>
      <c r="H467">
        <v>15</v>
      </c>
      <c r="I467">
        <v>32505</v>
      </c>
      <c r="J467">
        <v>3250.5</v>
      </c>
      <c r="K467">
        <v>29254.5</v>
      </c>
      <c r="L467">
        <v>21670</v>
      </c>
      <c r="M467">
        <v>7584.5</v>
      </c>
      <c r="N467" s="1">
        <v>41548</v>
      </c>
      <c r="O467">
        <v>10</v>
      </c>
      <c r="P467" t="s">
        <v>36</v>
      </c>
      <c r="Q467">
        <v>2013</v>
      </c>
    </row>
    <row r="468" spans="1:17" x14ac:dyDescent="0.3">
      <c r="A468" t="str">
        <f t="shared" ca="1" si="7"/>
        <v>ORD-2014-Ger-6332</v>
      </c>
      <c r="B468" t="s">
        <v>17</v>
      </c>
      <c r="C468" t="s">
        <v>22</v>
      </c>
      <c r="D468" t="s">
        <v>38</v>
      </c>
      <c r="E468" t="s">
        <v>48</v>
      </c>
      <c r="F468">
        <v>241</v>
      </c>
      <c r="G468">
        <v>10</v>
      </c>
      <c r="H468">
        <v>20</v>
      </c>
      <c r="I468">
        <v>4820</v>
      </c>
      <c r="J468">
        <v>482</v>
      </c>
      <c r="K468">
        <v>4338</v>
      </c>
      <c r="L468">
        <v>2410</v>
      </c>
      <c r="M468">
        <v>1928</v>
      </c>
      <c r="N468" s="1">
        <v>41913</v>
      </c>
      <c r="O468">
        <v>10</v>
      </c>
      <c r="P468" t="s">
        <v>36</v>
      </c>
      <c r="Q468">
        <v>2014</v>
      </c>
    </row>
    <row r="469" spans="1:17" x14ac:dyDescent="0.3">
      <c r="A469" t="str">
        <f t="shared" ca="1" si="7"/>
        <v>ORD-2014-Ger-1673</v>
      </c>
      <c r="B469" t="s">
        <v>23</v>
      </c>
      <c r="C469" t="s">
        <v>22</v>
      </c>
      <c r="D469" t="s">
        <v>41</v>
      </c>
      <c r="E469" t="s">
        <v>48</v>
      </c>
      <c r="F469">
        <v>681</v>
      </c>
      <c r="G469">
        <v>120</v>
      </c>
      <c r="H469">
        <v>15</v>
      </c>
      <c r="I469">
        <v>10215</v>
      </c>
      <c r="J469">
        <v>1021.5</v>
      </c>
      <c r="K469">
        <v>9193.5</v>
      </c>
      <c r="L469">
        <v>6810</v>
      </c>
      <c r="M469">
        <v>2383.5</v>
      </c>
      <c r="N469" s="1">
        <v>41640</v>
      </c>
      <c r="O469">
        <v>1</v>
      </c>
      <c r="P469" t="s">
        <v>21</v>
      </c>
      <c r="Q469">
        <v>2014</v>
      </c>
    </row>
    <row r="470" spans="1:17" x14ac:dyDescent="0.3">
      <c r="A470" t="str">
        <f t="shared" ca="1" si="7"/>
        <v>ORD-2014-Ger-4446</v>
      </c>
      <c r="B470" t="s">
        <v>23</v>
      </c>
      <c r="C470" t="s">
        <v>22</v>
      </c>
      <c r="D470" t="s">
        <v>41</v>
      </c>
      <c r="E470" t="s">
        <v>48</v>
      </c>
      <c r="F470">
        <v>510</v>
      </c>
      <c r="G470">
        <v>120</v>
      </c>
      <c r="H470">
        <v>15</v>
      </c>
      <c r="I470">
        <v>7650</v>
      </c>
      <c r="J470">
        <v>765</v>
      </c>
      <c r="K470">
        <v>6885</v>
      </c>
      <c r="L470">
        <v>5100</v>
      </c>
      <c r="M470">
        <v>1785</v>
      </c>
      <c r="N470" s="1">
        <v>41730</v>
      </c>
      <c r="O470">
        <v>4</v>
      </c>
      <c r="P470" t="s">
        <v>43</v>
      </c>
      <c r="Q470">
        <v>2014</v>
      </c>
    </row>
    <row r="471" spans="1:17" x14ac:dyDescent="0.3">
      <c r="A471" t="str">
        <f t="shared" ca="1" si="7"/>
        <v>ORD-2014-Uni-2942</v>
      </c>
      <c r="B471" t="s">
        <v>23</v>
      </c>
      <c r="C471" t="s">
        <v>37</v>
      </c>
      <c r="D471" t="s">
        <v>41</v>
      </c>
      <c r="E471" t="s">
        <v>48</v>
      </c>
      <c r="F471">
        <v>790</v>
      </c>
      <c r="G471">
        <v>120</v>
      </c>
      <c r="H471">
        <v>15</v>
      </c>
      <c r="I471">
        <v>11850</v>
      </c>
      <c r="J471">
        <v>1185</v>
      </c>
      <c r="K471">
        <v>10665</v>
      </c>
      <c r="L471">
        <v>7900</v>
      </c>
      <c r="M471">
        <v>2765</v>
      </c>
      <c r="N471" s="1">
        <v>41760</v>
      </c>
      <c r="O471">
        <v>5</v>
      </c>
      <c r="P471" t="s">
        <v>46</v>
      </c>
      <c r="Q471">
        <v>2014</v>
      </c>
    </row>
    <row r="472" spans="1:17" x14ac:dyDescent="0.3">
      <c r="A472" t="str">
        <f t="shared" ca="1" si="7"/>
        <v>ORD-2014-Fra-8148</v>
      </c>
      <c r="B472" t="s">
        <v>17</v>
      </c>
      <c r="C472" t="s">
        <v>24</v>
      </c>
      <c r="D472" t="s">
        <v>41</v>
      </c>
      <c r="E472" t="s">
        <v>48</v>
      </c>
      <c r="F472">
        <v>639</v>
      </c>
      <c r="G472">
        <v>120</v>
      </c>
      <c r="H472">
        <v>350</v>
      </c>
      <c r="I472">
        <v>223650</v>
      </c>
      <c r="J472">
        <v>22365</v>
      </c>
      <c r="K472">
        <v>201285</v>
      </c>
      <c r="L472">
        <v>166140</v>
      </c>
      <c r="M472">
        <v>35145</v>
      </c>
      <c r="N472" s="1">
        <v>41821</v>
      </c>
      <c r="O472">
        <v>7</v>
      </c>
      <c r="P472" t="s">
        <v>32</v>
      </c>
      <c r="Q472">
        <v>2014</v>
      </c>
    </row>
    <row r="473" spans="1:17" x14ac:dyDescent="0.3">
      <c r="A473" t="str">
        <f t="shared" ca="1" si="7"/>
        <v>ORD-2014-Uni-1231</v>
      </c>
      <c r="B473" t="s">
        <v>31</v>
      </c>
      <c r="C473" t="s">
        <v>37</v>
      </c>
      <c r="D473" t="s">
        <v>41</v>
      </c>
      <c r="E473" t="s">
        <v>48</v>
      </c>
      <c r="F473">
        <v>1596</v>
      </c>
      <c r="G473">
        <v>120</v>
      </c>
      <c r="H473">
        <v>125</v>
      </c>
      <c r="I473">
        <v>199500</v>
      </c>
      <c r="J473">
        <v>19950</v>
      </c>
      <c r="K473">
        <v>179550</v>
      </c>
      <c r="L473">
        <v>191520</v>
      </c>
      <c r="M473">
        <f>K473-L473</f>
        <v>-11970</v>
      </c>
      <c r="N473" s="1">
        <v>41883</v>
      </c>
      <c r="O473">
        <v>9</v>
      </c>
      <c r="P473" t="s">
        <v>35</v>
      </c>
      <c r="Q473">
        <v>2014</v>
      </c>
    </row>
    <row r="474" spans="1:17" x14ac:dyDescent="0.3">
      <c r="A474" t="str">
        <f t="shared" ca="1" si="7"/>
        <v>ORD-2013-Uni-4146</v>
      </c>
      <c r="B474" t="s">
        <v>33</v>
      </c>
      <c r="C474" t="s">
        <v>37</v>
      </c>
      <c r="D474" t="s">
        <v>41</v>
      </c>
      <c r="E474" t="s">
        <v>48</v>
      </c>
      <c r="F474">
        <v>2294</v>
      </c>
      <c r="G474">
        <v>120</v>
      </c>
      <c r="H474">
        <v>300</v>
      </c>
      <c r="I474">
        <v>688200</v>
      </c>
      <c r="J474">
        <v>68820</v>
      </c>
      <c r="K474">
        <v>619380</v>
      </c>
      <c r="L474">
        <v>573500</v>
      </c>
      <c r="M474">
        <v>45880</v>
      </c>
      <c r="N474" s="1">
        <v>41548</v>
      </c>
      <c r="O474">
        <v>10</v>
      </c>
      <c r="P474" t="s">
        <v>36</v>
      </c>
      <c r="Q474">
        <v>2013</v>
      </c>
    </row>
    <row r="475" spans="1:17" x14ac:dyDescent="0.3">
      <c r="A475" t="str">
        <f t="shared" ca="1" si="7"/>
        <v>ORD-2014-Ger-9159</v>
      </c>
      <c r="B475" t="s">
        <v>17</v>
      </c>
      <c r="C475" t="s">
        <v>22</v>
      </c>
      <c r="D475" t="s">
        <v>41</v>
      </c>
      <c r="E475" t="s">
        <v>48</v>
      </c>
      <c r="F475">
        <v>241</v>
      </c>
      <c r="G475">
        <v>120</v>
      </c>
      <c r="H475">
        <v>20</v>
      </c>
      <c r="I475">
        <v>4820</v>
      </c>
      <c r="J475">
        <v>482</v>
      </c>
      <c r="K475">
        <v>4338</v>
      </c>
      <c r="L475">
        <v>2410</v>
      </c>
      <c r="M475">
        <v>1928</v>
      </c>
      <c r="N475" s="1">
        <v>41913</v>
      </c>
      <c r="O475">
        <v>10</v>
      </c>
      <c r="P475" t="s">
        <v>36</v>
      </c>
      <c r="Q475">
        <v>2014</v>
      </c>
    </row>
    <row r="476" spans="1:17" x14ac:dyDescent="0.3">
      <c r="A476" t="str">
        <f t="shared" ca="1" si="7"/>
        <v>ORD-2014-Ger-7796</v>
      </c>
      <c r="B476" t="s">
        <v>17</v>
      </c>
      <c r="C476" t="s">
        <v>22</v>
      </c>
      <c r="D476" t="s">
        <v>41</v>
      </c>
      <c r="E476" t="s">
        <v>48</v>
      </c>
      <c r="F476">
        <v>2665</v>
      </c>
      <c r="G476">
        <v>120</v>
      </c>
      <c r="H476">
        <v>7</v>
      </c>
      <c r="I476">
        <v>18655</v>
      </c>
      <c r="J476">
        <v>1865.5</v>
      </c>
      <c r="K476">
        <v>16789.5</v>
      </c>
      <c r="L476">
        <v>13325</v>
      </c>
      <c r="M476">
        <v>3464.5</v>
      </c>
      <c r="N476" s="1">
        <v>41944</v>
      </c>
      <c r="O476">
        <v>11</v>
      </c>
      <c r="P476" t="s">
        <v>40</v>
      </c>
      <c r="Q476">
        <v>2014</v>
      </c>
    </row>
    <row r="477" spans="1:17" x14ac:dyDescent="0.3">
      <c r="A477" t="str">
        <f t="shared" ca="1" si="7"/>
        <v>ORD-2013-Ca0-9312</v>
      </c>
      <c r="B477" t="s">
        <v>31</v>
      </c>
      <c r="C477" t="s">
        <v>18</v>
      </c>
      <c r="D477" t="s">
        <v>41</v>
      </c>
      <c r="E477" t="s">
        <v>48</v>
      </c>
      <c r="F477">
        <v>1916</v>
      </c>
      <c r="G477">
        <v>120</v>
      </c>
      <c r="H477">
        <v>125</v>
      </c>
      <c r="I477">
        <v>239500</v>
      </c>
      <c r="J477">
        <v>23950</v>
      </c>
      <c r="K477">
        <v>215550</v>
      </c>
      <c r="L477">
        <v>229920</v>
      </c>
      <c r="M477">
        <f>K477-L477</f>
        <v>-14370</v>
      </c>
      <c r="N477" s="1">
        <v>41609</v>
      </c>
      <c r="O477">
        <v>12</v>
      </c>
      <c r="P477" t="s">
        <v>27</v>
      </c>
      <c r="Q477">
        <v>2013</v>
      </c>
    </row>
    <row r="478" spans="1:17" x14ac:dyDescent="0.3">
      <c r="A478" t="str">
        <f t="shared" ca="1" si="7"/>
        <v>ORD-2014-Fra-5060</v>
      </c>
      <c r="B478" t="s">
        <v>33</v>
      </c>
      <c r="C478" t="s">
        <v>24</v>
      </c>
      <c r="D478" t="s">
        <v>41</v>
      </c>
      <c r="E478" t="s">
        <v>48</v>
      </c>
      <c r="F478">
        <v>853</v>
      </c>
      <c r="G478">
        <v>120</v>
      </c>
      <c r="H478">
        <v>300</v>
      </c>
      <c r="I478">
        <v>255900</v>
      </c>
      <c r="J478">
        <v>25590</v>
      </c>
      <c r="K478">
        <v>230310</v>
      </c>
      <c r="L478">
        <v>213250</v>
      </c>
      <c r="M478">
        <v>17060</v>
      </c>
      <c r="N478" s="1">
        <v>41974</v>
      </c>
      <c r="O478">
        <v>12</v>
      </c>
      <c r="P478" t="s">
        <v>27</v>
      </c>
      <c r="Q478">
        <v>2014</v>
      </c>
    </row>
    <row r="479" spans="1:17" x14ac:dyDescent="0.3">
      <c r="A479" t="str">
        <f t="shared" ca="1" si="7"/>
        <v>ORD-2014-Mex-5772</v>
      </c>
      <c r="B479" t="s">
        <v>31</v>
      </c>
      <c r="C479" t="s">
        <v>26</v>
      </c>
      <c r="D479" t="s">
        <v>42</v>
      </c>
      <c r="E479" t="s">
        <v>48</v>
      </c>
      <c r="F479">
        <v>341</v>
      </c>
      <c r="G479">
        <v>250</v>
      </c>
      <c r="H479">
        <v>125</v>
      </c>
      <c r="I479">
        <v>42625</v>
      </c>
      <c r="J479">
        <v>4262.5</v>
      </c>
      <c r="K479">
        <v>38362.5</v>
      </c>
      <c r="L479">
        <v>1020</v>
      </c>
      <c r="M479">
        <f>K479-L479</f>
        <v>37342.5</v>
      </c>
      <c r="N479" s="1">
        <v>41760</v>
      </c>
      <c r="O479">
        <v>5</v>
      </c>
      <c r="P479" t="s">
        <v>46</v>
      </c>
      <c r="Q479">
        <v>2014</v>
      </c>
    </row>
    <row r="480" spans="1:17" x14ac:dyDescent="0.3">
      <c r="A480" t="str">
        <f t="shared" ca="1" si="7"/>
        <v>ORD-2014-Mex-9510</v>
      </c>
      <c r="B480" t="s">
        <v>23</v>
      </c>
      <c r="C480" t="s">
        <v>26</v>
      </c>
      <c r="D480" t="s">
        <v>42</v>
      </c>
      <c r="E480" t="s">
        <v>48</v>
      </c>
      <c r="F480">
        <v>641</v>
      </c>
      <c r="G480">
        <v>250</v>
      </c>
      <c r="H480">
        <v>15</v>
      </c>
      <c r="I480">
        <v>9615</v>
      </c>
      <c r="J480">
        <v>961.5</v>
      </c>
      <c r="K480">
        <v>8653.5</v>
      </c>
      <c r="L480">
        <v>6410</v>
      </c>
      <c r="M480">
        <v>2243.5</v>
      </c>
      <c r="N480" s="1">
        <v>41821</v>
      </c>
      <c r="O480">
        <v>7</v>
      </c>
      <c r="P480" t="s">
        <v>32</v>
      </c>
      <c r="Q480">
        <v>2014</v>
      </c>
    </row>
    <row r="481" spans="1:17" x14ac:dyDescent="0.3">
      <c r="A481" t="str">
        <f t="shared" ca="1" si="7"/>
        <v>ORD-2014-Uni-6136</v>
      </c>
      <c r="B481" t="s">
        <v>17</v>
      </c>
      <c r="C481" t="s">
        <v>37</v>
      </c>
      <c r="D481" t="s">
        <v>42</v>
      </c>
      <c r="E481" t="s">
        <v>48</v>
      </c>
      <c r="F481">
        <v>2807</v>
      </c>
      <c r="G481">
        <v>250</v>
      </c>
      <c r="H481">
        <v>350</v>
      </c>
      <c r="I481">
        <v>982450</v>
      </c>
      <c r="J481">
        <v>98245</v>
      </c>
      <c r="K481">
        <v>884205</v>
      </c>
      <c r="L481">
        <v>729820</v>
      </c>
      <c r="M481">
        <v>154385</v>
      </c>
      <c r="N481" s="1">
        <v>41852</v>
      </c>
      <c r="O481">
        <v>8</v>
      </c>
      <c r="P481" t="s">
        <v>34</v>
      </c>
      <c r="Q481">
        <v>2014</v>
      </c>
    </row>
    <row r="482" spans="1:17" x14ac:dyDescent="0.3">
      <c r="A482" t="str">
        <f t="shared" ca="1" si="7"/>
        <v>ORD-2014-Mex-4237</v>
      </c>
      <c r="B482" t="s">
        <v>33</v>
      </c>
      <c r="C482" t="s">
        <v>26</v>
      </c>
      <c r="D482" t="s">
        <v>42</v>
      </c>
      <c r="E482" t="s">
        <v>48</v>
      </c>
      <c r="F482">
        <v>432</v>
      </c>
      <c r="G482">
        <v>250</v>
      </c>
      <c r="H482">
        <v>300</v>
      </c>
      <c r="I482">
        <v>129600</v>
      </c>
      <c r="J482">
        <v>12960</v>
      </c>
      <c r="K482">
        <v>116640</v>
      </c>
      <c r="L482">
        <v>108000</v>
      </c>
      <c r="M482">
        <v>8640</v>
      </c>
      <c r="N482" s="1">
        <v>41883</v>
      </c>
      <c r="O482">
        <v>9</v>
      </c>
      <c r="P482" t="s">
        <v>35</v>
      </c>
      <c r="Q482">
        <v>2014</v>
      </c>
    </row>
    <row r="483" spans="1:17" x14ac:dyDescent="0.3">
      <c r="A483" t="str">
        <f t="shared" ca="1" si="7"/>
        <v>ORD-2013-Uni-4379</v>
      </c>
      <c r="B483" t="s">
        <v>33</v>
      </c>
      <c r="C483" t="s">
        <v>37</v>
      </c>
      <c r="D483" t="s">
        <v>42</v>
      </c>
      <c r="E483" t="s">
        <v>48</v>
      </c>
      <c r="F483">
        <v>2294</v>
      </c>
      <c r="G483">
        <v>250</v>
      </c>
      <c r="H483">
        <v>300</v>
      </c>
      <c r="I483">
        <v>688200</v>
      </c>
      <c r="J483">
        <v>68820</v>
      </c>
      <c r="K483">
        <v>619380</v>
      </c>
      <c r="L483">
        <v>573500</v>
      </c>
      <c r="M483">
        <v>45880</v>
      </c>
      <c r="N483" s="1">
        <v>41548</v>
      </c>
      <c r="O483">
        <v>10</v>
      </c>
      <c r="P483" t="s">
        <v>36</v>
      </c>
      <c r="Q483">
        <v>2013</v>
      </c>
    </row>
    <row r="484" spans="1:17" x14ac:dyDescent="0.3">
      <c r="A484" t="str">
        <f t="shared" ca="1" si="7"/>
        <v>ORD-2013-Fra-1012</v>
      </c>
      <c r="B484" t="s">
        <v>23</v>
      </c>
      <c r="C484" t="s">
        <v>24</v>
      </c>
      <c r="D484" t="s">
        <v>42</v>
      </c>
      <c r="E484" t="s">
        <v>48</v>
      </c>
      <c r="F484">
        <v>2167</v>
      </c>
      <c r="G484">
        <v>250</v>
      </c>
      <c r="H484">
        <v>15</v>
      </c>
      <c r="I484">
        <v>32505</v>
      </c>
      <c r="J484">
        <v>3250.5</v>
      </c>
      <c r="K484">
        <v>29254.5</v>
      </c>
      <c r="L484">
        <v>21670</v>
      </c>
      <c r="M484">
        <v>7584.5</v>
      </c>
      <c r="N484" s="1">
        <v>41548</v>
      </c>
      <c r="O484">
        <v>10</v>
      </c>
      <c r="P484" t="s">
        <v>36</v>
      </c>
      <c r="Q484">
        <v>2013</v>
      </c>
    </row>
    <row r="485" spans="1:17" x14ac:dyDescent="0.3">
      <c r="A485" t="str">
        <f t="shared" ca="1" si="7"/>
        <v>ORD-2014-Ca0-4820</v>
      </c>
      <c r="B485" t="s">
        <v>31</v>
      </c>
      <c r="C485" t="s">
        <v>18</v>
      </c>
      <c r="D485" t="s">
        <v>42</v>
      </c>
      <c r="E485" t="s">
        <v>48</v>
      </c>
      <c r="F485">
        <v>2529</v>
      </c>
      <c r="G485">
        <v>250</v>
      </c>
      <c r="H485">
        <v>125</v>
      </c>
      <c r="I485">
        <v>316125</v>
      </c>
      <c r="J485">
        <v>31612.5</v>
      </c>
      <c r="K485">
        <v>284512.5</v>
      </c>
      <c r="L485">
        <v>303480</v>
      </c>
      <c r="M485">
        <f>K485-L485</f>
        <v>-18967.5</v>
      </c>
      <c r="N485" s="1">
        <v>41944</v>
      </c>
      <c r="O485">
        <v>11</v>
      </c>
      <c r="P485" t="s">
        <v>40</v>
      </c>
      <c r="Q485">
        <v>2014</v>
      </c>
    </row>
    <row r="486" spans="1:17" x14ac:dyDescent="0.3">
      <c r="A486" t="str">
        <f t="shared" ca="1" si="7"/>
        <v>ORD-2013-Ger-5245</v>
      </c>
      <c r="B486" t="s">
        <v>17</v>
      </c>
      <c r="C486" t="s">
        <v>22</v>
      </c>
      <c r="D486" t="s">
        <v>42</v>
      </c>
      <c r="E486" t="s">
        <v>48</v>
      </c>
      <c r="F486">
        <v>1870</v>
      </c>
      <c r="G486">
        <v>250</v>
      </c>
      <c r="H486">
        <v>350</v>
      </c>
      <c r="I486">
        <v>654500</v>
      </c>
      <c r="J486">
        <v>65450</v>
      </c>
      <c r="K486">
        <v>589050</v>
      </c>
      <c r="L486">
        <v>486200</v>
      </c>
      <c r="M486">
        <v>102850</v>
      </c>
      <c r="N486" s="1">
        <v>41609</v>
      </c>
      <c r="O486">
        <v>12</v>
      </c>
      <c r="P486" t="s">
        <v>27</v>
      </c>
      <c r="Q486">
        <v>2013</v>
      </c>
    </row>
    <row r="487" spans="1:17" x14ac:dyDescent="0.3">
      <c r="A487" t="str">
        <f t="shared" ca="1" si="7"/>
        <v>ORD-2014-Uni-9003</v>
      </c>
      <c r="B487" t="s">
        <v>31</v>
      </c>
      <c r="C487" t="s">
        <v>37</v>
      </c>
      <c r="D487" t="s">
        <v>44</v>
      </c>
      <c r="E487" t="s">
        <v>48</v>
      </c>
      <c r="F487">
        <v>579</v>
      </c>
      <c r="G487">
        <v>260</v>
      </c>
      <c r="H487">
        <v>125</v>
      </c>
      <c r="I487">
        <v>72375</v>
      </c>
      <c r="J487">
        <v>7237.5</v>
      </c>
      <c r="K487">
        <v>65137.5</v>
      </c>
      <c r="L487">
        <v>640</v>
      </c>
      <c r="M487">
        <f>K487-L487</f>
        <v>64497.5</v>
      </c>
      <c r="N487" s="1">
        <v>41640</v>
      </c>
      <c r="O487">
        <v>1</v>
      </c>
      <c r="P487" t="s">
        <v>21</v>
      </c>
      <c r="Q487">
        <v>2014</v>
      </c>
    </row>
    <row r="488" spans="1:17" x14ac:dyDescent="0.3">
      <c r="A488" t="str">
        <f t="shared" ca="1" si="7"/>
        <v>ORD-2014-Ca0-1126</v>
      </c>
      <c r="B488" t="s">
        <v>17</v>
      </c>
      <c r="C488" t="s">
        <v>18</v>
      </c>
      <c r="D488" t="s">
        <v>44</v>
      </c>
      <c r="E488" t="s">
        <v>48</v>
      </c>
      <c r="F488">
        <v>2240</v>
      </c>
      <c r="G488">
        <v>260</v>
      </c>
      <c r="H488">
        <v>350</v>
      </c>
      <c r="I488">
        <v>784000</v>
      </c>
      <c r="J488">
        <v>78400</v>
      </c>
      <c r="K488">
        <v>705600</v>
      </c>
      <c r="L488">
        <v>582400</v>
      </c>
      <c r="M488">
        <v>123200</v>
      </c>
      <c r="N488" s="1">
        <v>41671</v>
      </c>
      <c r="O488">
        <v>2</v>
      </c>
      <c r="P488" t="s">
        <v>39</v>
      </c>
      <c r="Q488">
        <v>2014</v>
      </c>
    </row>
    <row r="489" spans="1:17" x14ac:dyDescent="0.3">
      <c r="A489" t="str">
        <f t="shared" ca="1" si="7"/>
        <v>ORD-2014-Uni-8899</v>
      </c>
      <c r="B489" t="s">
        <v>33</v>
      </c>
      <c r="C489" t="s">
        <v>37</v>
      </c>
      <c r="D489" t="s">
        <v>44</v>
      </c>
      <c r="E489" t="s">
        <v>48</v>
      </c>
      <c r="F489">
        <v>2993</v>
      </c>
      <c r="G489">
        <v>260</v>
      </c>
      <c r="H489">
        <v>300</v>
      </c>
      <c r="I489">
        <v>897900</v>
      </c>
      <c r="J489">
        <v>89790</v>
      </c>
      <c r="K489">
        <v>808110</v>
      </c>
      <c r="L489">
        <v>748250</v>
      </c>
      <c r="M489">
        <v>59860</v>
      </c>
      <c r="N489" s="1">
        <v>41699</v>
      </c>
      <c r="O489">
        <v>3</v>
      </c>
      <c r="P489" t="s">
        <v>29</v>
      </c>
      <c r="Q489">
        <v>2014</v>
      </c>
    </row>
    <row r="490" spans="1:17" x14ac:dyDescent="0.3">
      <c r="A490" t="str">
        <f t="shared" ca="1" si="7"/>
        <v>ORD-2014-Ca0-9185</v>
      </c>
      <c r="B490" t="s">
        <v>30</v>
      </c>
      <c r="C490" t="s">
        <v>18</v>
      </c>
      <c r="D490" t="s">
        <v>44</v>
      </c>
      <c r="E490" t="s">
        <v>48</v>
      </c>
      <c r="F490">
        <v>3520.5</v>
      </c>
      <c r="G490">
        <v>260</v>
      </c>
      <c r="H490">
        <v>12</v>
      </c>
      <c r="I490">
        <v>42246</v>
      </c>
      <c r="J490">
        <v>4224.6000000000004</v>
      </c>
      <c r="K490">
        <v>38021.4</v>
      </c>
      <c r="L490">
        <v>10561.5</v>
      </c>
      <c r="M490">
        <v>27459.9</v>
      </c>
      <c r="N490" s="1">
        <v>41730</v>
      </c>
      <c r="O490">
        <v>4</v>
      </c>
      <c r="P490" t="s">
        <v>43</v>
      </c>
      <c r="Q490">
        <v>2014</v>
      </c>
    </row>
    <row r="491" spans="1:17" x14ac:dyDescent="0.3">
      <c r="A491" t="str">
        <f t="shared" ca="1" si="7"/>
        <v>ORD-2014-Mex-3571</v>
      </c>
      <c r="B491" t="s">
        <v>17</v>
      </c>
      <c r="C491" t="s">
        <v>26</v>
      </c>
      <c r="D491" t="s">
        <v>44</v>
      </c>
      <c r="E491" t="s">
        <v>48</v>
      </c>
      <c r="F491">
        <v>2039</v>
      </c>
      <c r="G491">
        <v>260</v>
      </c>
      <c r="H491">
        <v>20</v>
      </c>
      <c r="I491">
        <v>40780</v>
      </c>
      <c r="J491">
        <v>4078</v>
      </c>
      <c r="K491">
        <v>36702</v>
      </c>
      <c r="L491">
        <v>20390</v>
      </c>
      <c r="M491">
        <v>16312</v>
      </c>
      <c r="N491" s="1">
        <v>41760</v>
      </c>
      <c r="O491">
        <v>5</v>
      </c>
      <c r="P491" t="s">
        <v>46</v>
      </c>
      <c r="Q491">
        <v>2014</v>
      </c>
    </row>
    <row r="492" spans="1:17" x14ac:dyDescent="0.3">
      <c r="A492" t="str">
        <f t="shared" ca="1" si="7"/>
        <v>ORD-2014-Ger-1419</v>
      </c>
      <c r="B492" t="s">
        <v>30</v>
      </c>
      <c r="C492" t="s">
        <v>22</v>
      </c>
      <c r="D492" t="s">
        <v>44</v>
      </c>
      <c r="E492" t="s">
        <v>48</v>
      </c>
      <c r="F492">
        <v>2574</v>
      </c>
      <c r="G492">
        <v>260</v>
      </c>
      <c r="H492">
        <v>12</v>
      </c>
      <c r="I492">
        <v>30888</v>
      </c>
      <c r="J492">
        <v>3088.8</v>
      </c>
      <c r="K492">
        <v>27799.200000000001</v>
      </c>
      <c r="L492">
        <v>7722</v>
      </c>
      <c r="M492">
        <v>20077.2</v>
      </c>
      <c r="N492" s="1">
        <v>41852</v>
      </c>
      <c r="O492">
        <v>8</v>
      </c>
      <c r="P492" t="s">
        <v>34</v>
      </c>
      <c r="Q492">
        <v>2014</v>
      </c>
    </row>
    <row r="493" spans="1:17" x14ac:dyDescent="0.3">
      <c r="A493" t="str">
        <f t="shared" ca="1" si="7"/>
        <v>ORD-2014-Ca0-9472</v>
      </c>
      <c r="B493" t="s">
        <v>17</v>
      </c>
      <c r="C493" t="s">
        <v>18</v>
      </c>
      <c r="D493" t="s">
        <v>44</v>
      </c>
      <c r="E493" t="s">
        <v>48</v>
      </c>
      <c r="F493">
        <v>707</v>
      </c>
      <c r="G493">
        <v>260</v>
      </c>
      <c r="H493">
        <v>350</v>
      </c>
      <c r="I493">
        <v>247450</v>
      </c>
      <c r="J493">
        <v>24745</v>
      </c>
      <c r="K493">
        <v>222705</v>
      </c>
      <c r="L493">
        <v>183820</v>
      </c>
      <c r="M493">
        <v>38885</v>
      </c>
      <c r="N493" s="1">
        <v>41883</v>
      </c>
      <c r="O493">
        <v>9</v>
      </c>
      <c r="P493" t="s">
        <v>35</v>
      </c>
      <c r="Q493">
        <v>2014</v>
      </c>
    </row>
    <row r="494" spans="1:17" x14ac:dyDescent="0.3">
      <c r="A494" t="str">
        <f t="shared" ca="1" si="7"/>
        <v>ORD-2014-Fra-7755</v>
      </c>
      <c r="B494" t="s">
        <v>23</v>
      </c>
      <c r="C494" t="s">
        <v>24</v>
      </c>
      <c r="D494" t="s">
        <v>44</v>
      </c>
      <c r="E494" t="s">
        <v>48</v>
      </c>
      <c r="F494">
        <v>2072</v>
      </c>
      <c r="G494">
        <v>260</v>
      </c>
      <c r="H494">
        <v>15</v>
      </c>
      <c r="I494">
        <v>31080</v>
      </c>
      <c r="J494">
        <v>3108</v>
      </c>
      <c r="K494">
        <v>27972</v>
      </c>
      <c r="L494">
        <v>20720</v>
      </c>
      <c r="M494">
        <v>7252</v>
      </c>
      <c r="N494" s="1">
        <v>41974</v>
      </c>
      <c r="O494">
        <v>12</v>
      </c>
      <c r="P494" t="s">
        <v>27</v>
      </c>
      <c r="Q494">
        <v>2014</v>
      </c>
    </row>
    <row r="495" spans="1:17" x14ac:dyDescent="0.3">
      <c r="A495" t="str">
        <f t="shared" ca="1" si="7"/>
        <v>ORD-2014-Fra-6057</v>
      </c>
      <c r="B495" t="s">
        <v>33</v>
      </c>
      <c r="C495" t="s">
        <v>24</v>
      </c>
      <c r="D495" t="s">
        <v>44</v>
      </c>
      <c r="E495" t="s">
        <v>48</v>
      </c>
      <c r="F495">
        <v>853</v>
      </c>
      <c r="G495">
        <v>260</v>
      </c>
      <c r="H495">
        <v>300</v>
      </c>
      <c r="I495">
        <v>255900</v>
      </c>
      <c r="J495">
        <v>25590</v>
      </c>
      <c r="K495">
        <v>230310</v>
      </c>
      <c r="L495">
        <v>213250</v>
      </c>
      <c r="M495">
        <v>17060</v>
      </c>
      <c r="N495" s="1">
        <v>41974</v>
      </c>
      <c r="O495">
        <v>12</v>
      </c>
      <c r="P495" t="s">
        <v>27</v>
      </c>
      <c r="Q495">
        <v>2014</v>
      </c>
    </row>
    <row r="496" spans="1:17" x14ac:dyDescent="0.3">
      <c r="A496" t="str">
        <f t="shared" ca="1" si="7"/>
        <v>ORD-2013-Fra-2865</v>
      </c>
      <c r="B496" t="s">
        <v>30</v>
      </c>
      <c r="C496" t="s">
        <v>24</v>
      </c>
      <c r="D496" t="s">
        <v>19</v>
      </c>
      <c r="E496" t="s">
        <v>48</v>
      </c>
      <c r="F496">
        <v>1198</v>
      </c>
      <c r="G496">
        <v>3</v>
      </c>
      <c r="H496">
        <v>12</v>
      </c>
      <c r="I496">
        <v>14376</v>
      </c>
      <c r="J496">
        <v>1581.36</v>
      </c>
      <c r="K496">
        <v>12794.64</v>
      </c>
      <c r="L496">
        <v>3594</v>
      </c>
      <c r="M496">
        <v>9200.64</v>
      </c>
      <c r="N496" s="1">
        <v>41548</v>
      </c>
      <c r="O496">
        <v>10</v>
      </c>
      <c r="P496" t="s">
        <v>36</v>
      </c>
      <c r="Q496">
        <v>2013</v>
      </c>
    </row>
    <row r="497" spans="1:17" x14ac:dyDescent="0.3">
      <c r="A497" t="str">
        <f t="shared" ca="1" si="7"/>
        <v>ORD-2014-Fra-3746</v>
      </c>
      <c r="B497" t="s">
        <v>17</v>
      </c>
      <c r="C497" t="s">
        <v>24</v>
      </c>
      <c r="D497" t="s">
        <v>38</v>
      </c>
      <c r="E497" t="s">
        <v>48</v>
      </c>
      <c r="F497">
        <v>2532</v>
      </c>
      <c r="G497">
        <v>10</v>
      </c>
      <c r="H497">
        <v>7</v>
      </c>
      <c r="I497">
        <v>17724</v>
      </c>
      <c r="J497">
        <v>1949.64</v>
      </c>
      <c r="K497">
        <v>15774.36</v>
      </c>
      <c r="L497">
        <v>12660</v>
      </c>
      <c r="M497">
        <v>3114.36</v>
      </c>
      <c r="N497" s="1">
        <v>41730</v>
      </c>
      <c r="O497">
        <v>4</v>
      </c>
      <c r="P497" t="s">
        <v>43</v>
      </c>
      <c r="Q497">
        <v>2014</v>
      </c>
    </row>
    <row r="498" spans="1:17" x14ac:dyDescent="0.3">
      <c r="A498" t="str">
        <f t="shared" ca="1" si="7"/>
        <v>ORD-2013-Fra-2972</v>
      </c>
      <c r="B498" t="s">
        <v>30</v>
      </c>
      <c r="C498" t="s">
        <v>24</v>
      </c>
      <c r="D498" t="s">
        <v>38</v>
      </c>
      <c r="E498" t="s">
        <v>48</v>
      </c>
      <c r="F498">
        <v>1198</v>
      </c>
      <c r="G498">
        <v>10</v>
      </c>
      <c r="H498">
        <v>12</v>
      </c>
      <c r="I498">
        <v>14376</v>
      </c>
      <c r="J498">
        <v>1581.36</v>
      </c>
      <c r="K498">
        <v>12794.64</v>
      </c>
      <c r="L498">
        <v>3594</v>
      </c>
      <c r="M498">
        <v>9200.64</v>
      </c>
      <c r="N498" s="1">
        <v>41548</v>
      </c>
      <c r="O498">
        <v>10</v>
      </c>
      <c r="P498" t="s">
        <v>36</v>
      </c>
      <c r="Q498">
        <v>2013</v>
      </c>
    </row>
    <row r="499" spans="1:17" x14ac:dyDescent="0.3">
      <c r="A499" t="str">
        <f t="shared" ca="1" si="7"/>
        <v>ORD-2014-Ca0-9353</v>
      </c>
      <c r="B499" t="s">
        <v>23</v>
      </c>
      <c r="C499" t="s">
        <v>18</v>
      </c>
      <c r="D499" t="s">
        <v>41</v>
      </c>
      <c r="E499" t="s">
        <v>48</v>
      </c>
      <c r="F499">
        <v>384</v>
      </c>
      <c r="G499">
        <v>120</v>
      </c>
      <c r="H499">
        <v>15</v>
      </c>
      <c r="I499">
        <v>5760</v>
      </c>
      <c r="J499">
        <v>633.6</v>
      </c>
      <c r="K499">
        <v>5126.3999999999996</v>
      </c>
      <c r="L499">
        <v>3840</v>
      </c>
      <c r="M499">
        <v>1286.4000000000001</v>
      </c>
      <c r="N499" s="1">
        <v>41640</v>
      </c>
      <c r="O499">
        <v>1</v>
      </c>
      <c r="P499" t="s">
        <v>21</v>
      </c>
      <c r="Q499">
        <v>2014</v>
      </c>
    </row>
    <row r="500" spans="1:17" x14ac:dyDescent="0.3">
      <c r="A500" t="str">
        <f t="shared" ca="1" si="7"/>
        <v>ORD-2014-Ger-2938</v>
      </c>
      <c r="B500" t="s">
        <v>30</v>
      </c>
      <c r="C500" t="s">
        <v>22</v>
      </c>
      <c r="D500" t="s">
        <v>41</v>
      </c>
      <c r="E500" t="s">
        <v>48</v>
      </c>
      <c r="F500">
        <v>472</v>
      </c>
      <c r="G500">
        <v>120</v>
      </c>
      <c r="H500">
        <v>12</v>
      </c>
      <c r="I500">
        <v>5664</v>
      </c>
      <c r="J500">
        <v>623.04</v>
      </c>
      <c r="K500">
        <v>5040.96</v>
      </c>
      <c r="L500">
        <v>1416</v>
      </c>
      <c r="M500">
        <v>3624.96</v>
      </c>
      <c r="N500" s="1">
        <v>41913</v>
      </c>
      <c r="O500">
        <v>10</v>
      </c>
      <c r="P500" t="s">
        <v>36</v>
      </c>
      <c r="Q500">
        <v>2014</v>
      </c>
    </row>
    <row r="501" spans="1:17" x14ac:dyDescent="0.3">
      <c r="A501" t="str">
        <f t="shared" ca="1" si="7"/>
        <v>ORD-2014-Uni-4982</v>
      </c>
      <c r="B501" t="s">
        <v>17</v>
      </c>
      <c r="C501" t="s">
        <v>37</v>
      </c>
      <c r="D501" t="s">
        <v>42</v>
      </c>
      <c r="E501" t="s">
        <v>48</v>
      </c>
      <c r="F501">
        <v>1579</v>
      </c>
      <c r="G501">
        <v>250</v>
      </c>
      <c r="H501">
        <v>7</v>
      </c>
      <c r="I501">
        <v>11053</v>
      </c>
      <c r="J501">
        <v>1215.83</v>
      </c>
      <c r="K501">
        <v>9837.17</v>
      </c>
      <c r="L501">
        <v>7895</v>
      </c>
      <c r="M501">
        <v>1942.17</v>
      </c>
      <c r="N501" s="1">
        <v>41699</v>
      </c>
      <c r="O501">
        <v>3</v>
      </c>
      <c r="P501" t="s">
        <v>29</v>
      </c>
      <c r="Q501">
        <v>2014</v>
      </c>
    </row>
    <row r="502" spans="1:17" x14ac:dyDescent="0.3">
      <c r="A502" t="str">
        <f t="shared" ca="1" si="7"/>
        <v>ORD-2013-Mex-6393</v>
      </c>
      <c r="B502" t="s">
        <v>30</v>
      </c>
      <c r="C502" t="s">
        <v>26</v>
      </c>
      <c r="D502" t="s">
        <v>42</v>
      </c>
      <c r="E502" t="s">
        <v>48</v>
      </c>
      <c r="F502">
        <v>1005</v>
      </c>
      <c r="G502">
        <v>250</v>
      </c>
      <c r="H502">
        <v>12</v>
      </c>
      <c r="I502">
        <v>12060</v>
      </c>
      <c r="J502">
        <v>1326.6</v>
      </c>
      <c r="K502">
        <v>10733.4</v>
      </c>
      <c r="L502">
        <v>3015</v>
      </c>
      <c r="M502">
        <v>7718.4</v>
      </c>
      <c r="N502" s="1">
        <v>41518</v>
      </c>
      <c r="O502">
        <v>9</v>
      </c>
      <c r="P502" t="s">
        <v>35</v>
      </c>
      <c r="Q502">
        <v>2013</v>
      </c>
    </row>
    <row r="503" spans="1:17" x14ac:dyDescent="0.3">
      <c r="A503" t="str">
        <f t="shared" ca="1" si="7"/>
        <v>ORD-2014-Uni-4648</v>
      </c>
      <c r="B503" t="s">
        <v>23</v>
      </c>
      <c r="C503" t="s">
        <v>37</v>
      </c>
      <c r="D503" t="s">
        <v>44</v>
      </c>
      <c r="E503" t="s">
        <v>48</v>
      </c>
      <c r="F503">
        <v>3199.5</v>
      </c>
      <c r="G503">
        <v>260</v>
      </c>
      <c r="H503">
        <v>15</v>
      </c>
      <c r="I503">
        <v>47992.5</v>
      </c>
      <c r="J503">
        <v>5279.18</v>
      </c>
      <c r="K503">
        <v>42713.33</v>
      </c>
      <c r="L503">
        <v>31995</v>
      </c>
      <c r="M503">
        <v>10718.33</v>
      </c>
      <c r="N503" s="1">
        <v>41821</v>
      </c>
      <c r="O503">
        <v>7</v>
      </c>
      <c r="P503" t="s">
        <v>32</v>
      </c>
      <c r="Q503">
        <v>2014</v>
      </c>
    </row>
    <row r="504" spans="1:17" x14ac:dyDescent="0.3">
      <c r="A504" t="str">
        <f t="shared" ca="1" si="7"/>
        <v>ORD-2014-Ger-6260</v>
      </c>
      <c r="B504" t="s">
        <v>30</v>
      </c>
      <c r="C504" t="s">
        <v>22</v>
      </c>
      <c r="D504" t="s">
        <v>44</v>
      </c>
      <c r="E504" t="s">
        <v>48</v>
      </c>
      <c r="F504">
        <v>472</v>
      </c>
      <c r="G504">
        <v>260</v>
      </c>
      <c r="H504">
        <v>12</v>
      </c>
      <c r="I504">
        <v>5664</v>
      </c>
      <c r="J504">
        <v>623.04</v>
      </c>
      <c r="K504">
        <v>5040.96</v>
      </c>
      <c r="L504">
        <v>1416</v>
      </c>
      <c r="M504">
        <v>3624.96</v>
      </c>
      <c r="N504" s="1">
        <v>41913</v>
      </c>
      <c r="O504">
        <v>10</v>
      </c>
      <c r="P504" t="s">
        <v>36</v>
      </c>
      <c r="Q504">
        <v>2014</v>
      </c>
    </row>
    <row r="505" spans="1:17" x14ac:dyDescent="0.3">
      <c r="A505" t="str">
        <f t="shared" ca="1" si="7"/>
        <v>ORD-2014-Ca0-9206</v>
      </c>
      <c r="B505" t="s">
        <v>30</v>
      </c>
      <c r="C505" t="s">
        <v>18</v>
      </c>
      <c r="D505" t="s">
        <v>19</v>
      </c>
      <c r="E505" t="s">
        <v>48</v>
      </c>
      <c r="F505">
        <v>1937</v>
      </c>
      <c r="G505">
        <v>3</v>
      </c>
      <c r="H505">
        <v>12</v>
      </c>
      <c r="I505">
        <v>23244</v>
      </c>
      <c r="J505">
        <v>2556.84</v>
      </c>
      <c r="K505">
        <v>20687.16</v>
      </c>
      <c r="L505">
        <v>5811</v>
      </c>
      <c r="M505">
        <v>14876.16</v>
      </c>
      <c r="N505" s="1">
        <v>41671</v>
      </c>
      <c r="O505">
        <v>2</v>
      </c>
      <c r="P505" t="s">
        <v>39</v>
      </c>
      <c r="Q505">
        <v>2014</v>
      </c>
    </row>
    <row r="506" spans="1:17" x14ac:dyDescent="0.3">
      <c r="A506" t="str">
        <f t="shared" ca="1" si="7"/>
        <v>ORD-2014-Ger-1880</v>
      </c>
      <c r="B506" t="s">
        <v>17</v>
      </c>
      <c r="C506" t="s">
        <v>22</v>
      </c>
      <c r="D506" t="s">
        <v>19</v>
      </c>
      <c r="E506" t="s">
        <v>48</v>
      </c>
      <c r="F506">
        <v>792</v>
      </c>
      <c r="G506">
        <v>3</v>
      </c>
      <c r="H506">
        <v>350</v>
      </c>
      <c r="I506">
        <v>277200</v>
      </c>
      <c r="J506">
        <v>30492</v>
      </c>
      <c r="K506">
        <v>246708</v>
      </c>
      <c r="L506">
        <v>205920</v>
      </c>
      <c r="M506">
        <v>40788</v>
      </c>
      <c r="N506" s="1">
        <v>41699</v>
      </c>
      <c r="O506">
        <v>3</v>
      </c>
      <c r="P506" t="s">
        <v>29</v>
      </c>
      <c r="Q506">
        <v>2014</v>
      </c>
    </row>
    <row r="507" spans="1:17" x14ac:dyDescent="0.3">
      <c r="A507" t="str">
        <f t="shared" ca="1" si="7"/>
        <v>ORD-2014-Ger-5221</v>
      </c>
      <c r="B507" t="s">
        <v>33</v>
      </c>
      <c r="C507" t="s">
        <v>22</v>
      </c>
      <c r="D507" t="s">
        <v>19</v>
      </c>
      <c r="E507" t="s">
        <v>48</v>
      </c>
      <c r="F507">
        <v>2811</v>
      </c>
      <c r="G507">
        <v>3</v>
      </c>
      <c r="H507">
        <v>300</v>
      </c>
      <c r="I507">
        <v>843300</v>
      </c>
      <c r="J507">
        <v>92763</v>
      </c>
      <c r="K507">
        <v>750537</v>
      </c>
      <c r="L507">
        <v>702750</v>
      </c>
      <c r="M507">
        <v>47787</v>
      </c>
      <c r="N507" s="1">
        <v>41821</v>
      </c>
      <c r="O507">
        <v>7</v>
      </c>
      <c r="P507" t="s">
        <v>32</v>
      </c>
      <c r="Q507">
        <v>2014</v>
      </c>
    </row>
    <row r="508" spans="1:17" x14ac:dyDescent="0.3">
      <c r="A508" t="str">
        <f t="shared" ca="1" si="7"/>
        <v>ORD-2014-Fra-1619</v>
      </c>
      <c r="B508" t="s">
        <v>31</v>
      </c>
      <c r="C508" t="s">
        <v>24</v>
      </c>
      <c r="D508" t="s">
        <v>19</v>
      </c>
      <c r="E508" t="s">
        <v>48</v>
      </c>
      <c r="F508">
        <v>2441</v>
      </c>
      <c r="G508">
        <v>3</v>
      </c>
      <c r="H508">
        <v>125</v>
      </c>
      <c r="I508">
        <v>305125</v>
      </c>
      <c r="J508">
        <v>33563.75</v>
      </c>
      <c r="K508">
        <v>271561.25</v>
      </c>
      <c r="L508">
        <v>292920</v>
      </c>
      <c r="M508">
        <f>K508-L508</f>
        <v>-21358.75</v>
      </c>
      <c r="N508" s="1">
        <v>41913</v>
      </c>
      <c r="O508">
        <v>10</v>
      </c>
      <c r="P508" t="s">
        <v>36</v>
      </c>
      <c r="Q508">
        <v>2014</v>
      </c>
    </row>
    <row r="509" spans="1:17" x14ac:dyDescent="0.3">
      <c r="A509" t="str">
        <f t="shared" ca="1" si="7"/>
        <v>ORD-2013-Ca0-7337</v>
      </c>
      <c r="B509" t="s">
        <v>23</v>
      </c>
      <c r="C509" t="s">
        <v>18</v>
      </c>
      <c r="D509" t="s">
        <v>19</v>
      </c>
      <c r="E509" t="s">
        <v>48</v>
      </c>
      <c r="F509">
        <v>1560</v>
      </c>
      <c r="G509">
        <v>3</v>
      </c>
      <c r="H509">
        <v>15</v>
      </c>
      <c r="I509">
        <v>23400</v>
      </c>
      <c r="J509">
        <v>2574</v>
      </c>
      <c r="K509">
        <v>20826</v>
      </c>
      <c r="L509">
        <v>15600</v>
      </c>
      <c r="M509">
        <v>5226</v>
      </c>
      <c r="N509" s="1">
        <v>41579</v>
      </c>
      <c r="O509">
        <v>11</v>
      </c>
      <c r="P509" t="s">
        <v>40</v>
      </c>
      <c r="Q509">
        <v>2013</v>
      </c>
    </row>
    <row r="510" spans="1:17" x14ac:dyDescent="0.3">
      <c r="A510" t="str">
        <f t="shared" ca="1" si="7"/>
        <v>ORD-2013-Mex-8931</v>
      </c>
      <c r="B510" t="s">
        <v>17</v>
      </c>
      <c r="C510" t="s">
        <v>26</v>
      </c>
      <c r="D510" t="s">
        <v>19</v>
      </c>
      <c r="E510" t="s">
        <v>48</v>
      </c>
      <c r="F510">
        <v>2706</v>
      </c>
      <c r="G510">
        <v>3</v>
      </c>
      <c r="H510">
        <v>7</v>
      </c>
      <c r="I510">
        <v>18942</v>
      </c>
      <c r="J510">
        <v>2083.62</v>
      </c>
      <c r="K510">
        <v>16858.38</v>
      </c>
      <c r="L510">
        <v>13530</v>
      </c>
      <c r="M510">
        <v>3328.38</v>
      </c>
      <c r="N510" s="1">
        <v>41579</v>
      </c>
      <c r="O510">
        <v>11</v>
      </c>
      <c r="P510" t="s">
        <v>40</v>
      </c>
      <c r="Q510">
        <v>2013</v>
      </c>
    </row>
    <row r="511" spans="1:17" x14ac:dyDescent="0.3">
      <c r="A511" t="str">
        <f t="shared" ca="1" si="7"/>
        <v>ORD-2014-Ger-1576</v>
      </c>
      <c r="B511" t="s">
        <v>17</v>
      </c>
      <c r="C511" t="s">
        <v>22</v>
      </c>
      <c r="D511" t="s">
        <v>28</v>
      </c>
      <c r="E511" t="s">
        <v>48</v>
      </c>
      <c r="F511">
        <v>766</v>
      </c>
      <c r="G511">
        <v>5</v>
      </c>
      <c r="H511">
        <v>350</v>
      </c>
      <c r="I511">
        <v>268100</v>
      </c>
      <c r="J511">
        <v>29491</v>
      </c>
      <c r="K511">
        <v>238609</v>
      </c>
      <c r="L511">
        <v>199160</v>
      </c>
      <c r="M511">
        <v>39449</v>
      </c>
      <c r="N511" s="1">
        <v>41640</v>
      </c>
      <c r="O511">
        <v>1</v>
      </c>
      <c r="P511" t="s">
        <v>21</v>
      </c>
      <c r="Q511">
        <v>2014</v>
      </c>
    </row>
    <row r="512" spans="1:17" x14ac:dyDescent="0.3">
      <c r="A512" t="str">
        <f t="shared" ca="1" si="7"/>
        <v>ORD-2013-Ger-9295</v>
      </c>
      <c r="B512" t="s">
        <v>17</v>
      </c>
      <c r="C512" t="s">
        <v>22</v>
      </c>
      <c r="D512" t="s">
        <v>28</v>
      </c>
      <c r="E512" t="s">
        <v>48</v>
      </c>
      <c r="F512">
        <v>2992</v>
      </c>
      <c r="G512">
        <v>5</v>
      </c>
      <c r="H512">
        <v>20</v>
      </c>
      <c r="I512">
        <v>59840</v>
      </c>
      <c r="J512">
        <v>6582.4</v>
      </c>
      <c r="K512">
        <v>53257.599999999999</v>
      </c>
      <c r="L512">
        <v>29920</v>
      </c>
      <c r="M512">
        <v>23337.599999999999</v>
      </c>
      <c r="N512" s="1">
        <v>41548</v>
      </c>
      <c r="O512">
        <v>10</v>
      </c>
      <c r="P512" t="s">
        <v>36</v>
      </c>
      <c r="Q512">
        <v>2013</v>
      </c>
    </row>
    <row r="513" spans="1:17" x14ac:dyDescent="0.3">
      <c r="A513" t="str">
        <f t="shared" ca="1" si="7"/>
        <v>ORD-2014-Mex-1489</v>
      </c>
      <c r="B513" t="s">
        <v>23</v>
      </c>
      <c r="C513" t="s">
        <v>26</v>
      </c>
      <c r="D513" t="s">
        <v>28</v>
      </c>
      <c r="E513" t="s">
        <v>48</v>
      </c>
      <c r="F513">
        <v>2157</v>
      </c>
      <c r="G513">
        <v>5</v>
      </c>
      <c r="H513">
        <v>15</v>
      </c>
      <c r="I513">
        <v>32355</v>
      </c>
      <c r="J513">
        <v>3559.05</v>
      </c>
      <c r="K513">
        <v>28795.95</v>
      </c>
      <c r="L513">
        <v>21570</v>
      </c>
      <c r="M513">
        <v>7225.95</v>
      </c>
      <c r="N513" s="1">
        <v>41974</v>
      </c>
      <c r="O513">
        <v>12</v>
      </c>
      <c r="P513" t="s">
        <v>27</v>
      </c>
      <c r="Q513">
        <v>2014</v>
      </c>
    </row>
    <row r="514" spans="1:17" x14ac:dyDescent="0.3">
      <c r="A514" t="str">
        <f t="shared" ca="1" si="7"/>
        <v>ORD-2014-Ca0-4492</v>
      </c>
      <c r="B514" t="s">
        <v>33</v>
      </c>
      <c r="C514" t="s">
        <v>18</v>
      </c>
      <c r="D514" t="s">
        <v>38</v>
      </c>
      <c r="E514" t="s">
        <v>48</v>
      </c>
      <c r="F514">
        <v>873</v>
      </c>
      <c r="G514">
        <v>10</v>
      </c>
      <c r="H514">
        <v>300</v>
      </c>
      <c r="I514">
        <v>261900</v>
      </c>
      <c r="J514">
        <v>28809</v>
      </c>
      <c r="K514">
        <v>233091</v>
      </c>
      <c r="L514">
        <v>218250</v>
      </c>
      <c r="M514">
        <v>14841</v>
      </c>
      <c r="N514" s="1">
        <v>41640</v>
      </c>
      <c r="O514">
        <v>1</v>
      </c>
      <c r="P514" t="s">
        <v>21</v>
      </c>
      <c r="Q514">
        <v>2014</v>
      </c>
    </row>
    <row r="515" spans="1:17" x14ac:dyDescent="0.3">
      <c r="A515" t="str">
        <f t="shared" ref="A515:A578" ca="1" si="8">"ORD-" &amp; YEAR(N515) &amp; "-"  &amp; LEFT(C515,3) &amp; "-" &amp; RANDBETWEEN(1000,9999)</f>
        <v>ORD-2014-Mex-3509</v>
      </c>
      <c r="B515" t="s">
        <v>17</v>
      </c>
      <c r="C515" t="s">
        <v>26</v>
      </c>
      <c r="D515" t="s">
        <v>38</v>
      </c>
      <c r="E515" t="s">
        <v>48</v>
      </c>
      <c r="F515">
        <v>1122</v>
      </c>
      <c r="G515">
        <v>10</v>
      </c>
      <c r="H515">
        <v>20</v>
      </c>
      <c r="I515">
        <v>22440</v>
      </c>
      <c r="J515">
        <v>2468.4</v>
      </c>
      <c r="K515">
        <v>19971.599999999999</v>
      </c>
      <c r="L515">
        <v>11220</v>
      </c>
      <c r="M515">
        <v>8751.6</v>
      </c>
      <c r="N515" s="1">
        <v>41699</v>
      </c>
      <c r="O515">
        <v>3</v>
      </c>
      <c r="P515" t="s">
        <v>29</v>
      </c>
      <c r="Q515">
        <v>2014</v>
      </c>
    </row>
    <row r="516" spans="1:17" x14ac:dyDescent="0.3">
      <c r="A516" t="str">
        <f t="shared" ca="1" si="8"/>
        <v>ORD-2014-Ca0-2600</v>
      </c>
      <c r="B516" t="s">
        <v>17</v>
      </c>
      <c r="C516" t="s">
        <v>18</v>
      </c>
      <c r="D516" t="s">
        <v>38</v>
      </c>
      <c r="E516" t="s">
        <v>48</v>
      </c>
      <c r="F516">
        <v>2104.5</v>
      </c>
      <c r="G516">
        <v>10</v>
      </c>
      <c r="H516">
        <v>350</v>
      </c>
      <c r="I516">
        <v>736575</v>
      </c>
      <c r="J516">
        <v>81023.25</v>
      </c>
      <c r="K516">
        <v>655551.75</v>
      </c>
      <c r="L516">
        <v>547170</v>
      </c>
      <c r="M516">
        <v>108381.75</v>
      </c>
      <c r="N516" s="1">
        <v>41821</v>
      </c>
      <c r="O516">
        <v>7</v>
      </c>
      <c r="P516" t="s">
        <v>32</v>
      </c>
      <c r="Q516">
        <v>2014</v>
      </c>
    </row>
    <row r="517" spans="1:17" x14ac:dyDescent="0.3">
      <c r="A517" t="str">
        <f t="shared" ca="1" si="8"/>
        <v>ORD-2014-Ca0-8970</v>
      </c>
      <c r="B517" t="s">
        <v>30</v>
      </c>
      <c r="C517" t="s">
        <v>18</v>
      </c>
      <c r="D517" t="s">
        <v>38</v>
      </c>
      <c r="E517" t="s">
        <v>48</v>
      </c>
      <c r="F517">
        <v>4026</v>
      </c>
      <c r="G517">
        <v>10</v>
      </c>
      <c r="H517">
        <v>12</v>
      </c>
      <c r="I517">
        <v>48312</v>
      </c>
      <c r="J517">
        <v>5314.32</v>
      </c>
      <c r="K517">
        <v>42997.68</v>
      </c>
      <c r="L517">
        <v>12078</v>
      </c>
      <c r="M517">
        <v>30919.68</v>
      </c>
      <c r="N517" s="1">
        <v>41821</v>
      </c>
      <c r="O517">
        <v>7</v>
      </c>
      <c r="P517" t="s">
        <v>32</v>
      </c>
      <c r="Q517">
        <v>2014</v>
      </c>
    </row>
    <row r="518" spans="1:17" x14ac:dyDescent="0.3">
      <c r="A518" t="str">
        <f t="shared" ca="1" si="8"/>
        <v>ORD-2014-Fra-4787</v>
      </c>
      <c r="B518" t="s">
        <v>30</v>
      </c>
      <c r="C518" t="s">
        <v>24</v>
      </c>
      <c r="D518" t="s">
        <v>38</v>
      </c>
      <c r="E518" t="s">
        <v>48</v>
      </c>
      <c r="F518">
        <v>2425.5</v>
      </c>
      <c r="G518">
        <v>10</v>
      </c>
      <c r="H518">
        <v>12</v>
      </c>
      <c r="I518">
        <v>29106</v>
      </c>
      <c r="J518">
        <v>3201.66</v>
      </c>
      <c r="K518">
        <v>25904.34</v>
      </c>
      <c r="L518">
        <v>7276.5</v>
      </c>
      <c r="M518">
        <v>18627.84</v>
      </c>
      <c r="N518" s="1">
        <v>41821</v>
      </c>
      <c r="O518">
        <v>7</v>
      </c>
      <c r="P518" t="s">
        <v>32</v>
      </c>
      <c r="Q518">
        <v>2014</v>
      </c>
    </row>
    <row r="519" spans="1:17" x14ac:dyDescent="0.3">
      <c r="A519" t="str">
        <f t="shared" ca="1" si="8"/>
        <v>ORD-2014-Ca0-9629</v>
      </c>
      <c r="B519" t="s">
        <v>17</v>
      </c>
      <c r="C519" t="s">
        <v>18</v>
      </c>
      <c r="D519" t="s">
        <v>38</v>
      </c>
      <c r="E519" t="s">
        <v>48</v>
      </c>
      <c r="F519">
        <v>2394</v>
      </c>
      <c r="G519">
        <v>10</v>
      </c>
      <c r="H519">
        <v>20</v>
      </c>
      <c r="I519">
        <v>47880</v>
      </c>
      <c r="J519">
        <v>5266.8</v>
      </c>
      <c r="K519">
        <v>42613.2</v>
      </c>
      <c r="L519">
        <v>23940</v>
      </c>
      <c r="M519">
        <v>18673.2</v>
      </c>
      <c r="N519" s="1">
        <v>41852</v>
      </c>
      <c r="O519">
        <v>8</v>
      </c>
      <c r="P519" t="s">
        <v>34</v>
      </c>
      <c r="Q519">
        <v>2014</v>
      </c>
    </row>
    <row r="520" spans="1:17" x14ac:dyDescent="0.3">
      <c r="A520" t="str">
        <f t="shared" ca="1" si="8"/>
        <v>ORD-2014-Mex-8589</v>
      </c>
      <c r="B520" t="s">
        <v>23</v>
      </c>
      <c r="C520" t="s">
        <v>26</v>
      </c>
      <c r="D520" t="s">
        <v>38</v>
      </c>
      <c r="E520" t="s">
        <v>48</v>
      </c>
      <c r="F520">
        <v>1984</v>
      </c>
      <c r="G520">
        <v>10</v>
      </c>
      <c r="H520">
        <v>15</v>
      </c>
      <c r="I520">
        <v>29760</v>
      </c>
      <c r="J520">
        <v>3273.6</v>
      </c>
      <c r="K520">
        <v>26486.400000000001</v>
      </c>
      <c r="L520">
        <v>19840</v>
      </c>
      <c r="M520">
        <v>6646.4</v>
      </c>
      <c r="N520" s="1">
        <v>41852</v>
      </c>
      <c r="O520">
        <v>8</v>
      </c>
      <c r="P520" t="s">
        <v>34</v>
      </c>
      <c r="Q520">
        <v>2014</v>
      </c>
    </row>
    <row r="521" spans="1:17" x14ac:dyDescent="0.3">
      <c r="A521" t="str">
        <f t="shared" ca="1" si="8"/>
        <v>ORD-2014-Fra-4059</v>
      </c>
      <c r="B521" t="s">
        <v>31</v>
      </c>
      <c r="C521" t="s">
        <v>24</v>
      </c>
      <c r="D521" t="s">
        <v>38</v>
      </c>
      <c r="E521" t="s">
        <v>48</v>
      </c>
      <c r="F521">
        <v>2441</v>
      </c>
      <c r="G521">
        <v>10</v>
      </c>
      <c r="H521">
        <v>125</v>
      </c>
      <c r="I521">
        <v>305125</v>
      </c>
      <c r="J521">
        <v>33563.75</v>
      </c>
      <c r="K521">
        <v>271561.25</v>
      </c>
      <c r="L521">
        <v>292920</v>
      </c>
      <c r="M521">
        <f>K521-L521</f>
        <v>-21358.75</v>
      </c>
      <c r="N521" s="1">
        <v>41913</v>
      </c>
      <c r="O521">
        <v>10</v>
      </c>
      <c r="P521" t="s">
        <v>36</v>
      </c>
      <c r="Q521">
        <v>2014</v>
      </c>
    </row>
    <row r="522" spans="1:17" x14ac:dyDescent="0.3">
      <c r="A522" t="str">
        <f t="shared" ca="1" si="8"/>
        <v>ORD-2013-Ger-5565</v>
      </c>
      <c r="B522" t="s">
        <v>17</v>
      </c>
      <c r="C522" t="s">
        <v>22</v>
      </c>
      <c r="D522" t="s">
        <v>38</v>
      </c>
      <c r="E522" t="s">
        <v>48</v>
      </c>
      <c r="F522">
        <v>2992</v>
      </c>
      <c r="G522">
        <v>10</v>
      </c>
      <c r="H522">
        <v>20</v>
      </c>
      <c r="I522">
        <v>59840</v>
      </c>
      <c r="J522">
        <v>6582.4</v>
      </c>
      <c r="K522">
        <v>53257.599999999999</v>
      </c>
      <c r="L522">
        <v>29920</v>
      </c>
      <c r="M522">
        <v>23337.599999999999</v>
      </c>
      <c r="N522" s="1">
        <v>41548</v>
      </c>
      <c r="O522">
        <v>10</v>
      </c>
      <c r="P522" t="s">
        <v>36</v>
      </c>
      <c r="Q522">
        <v>2013</v>
      </c>
    </row>
    <row r="523" spans="1:17" x14ac:dyDescent="0.3">
      <c r="A523" t="str">
        <f t="shared" ca="1" si="8"/>
        <v>ORD-2014-Ca0-6107</v>
      </c>
      <c r="B523" t="s">
        <v>33</v>
      </c>
      <c r="C523" t="s">
        <v>18</v>
      </c>
      <c r="D523" t="s">
        <v>38</v>
      </c>
      <c r="E523" t="s">
        <v>48</v>
      </c>
      <c r="F523">
        <v>1366</v>
      </c>
      <c r="G523">
        <v>10</v>
      </c>
      <c r="H523">
        <v>300</v>
      </c>
      <c r="I523">
        <v>409800</v>
      </c>
      <c r="J523">
        <v>45078</v>
      </c>
      <c r="K523">
        <v>364722</v>
      </c>
      <c r="L523">
        <v>341500</v>
      </c>
      <c r="M523">
        <v>23222</v>
      </c>
      <c r="N523" s="1">
        <v>41944</v>
      </c>
      <c r="O523">
        <v>11</v>
      </c>
      <c r="P523" t="s">
        <v>40</v>
      </c>
      <c r="Q523">
        <v>2014</v>
      </c>
    </row>
    <row r="524" spans="1:17" x14ac:dyDescent="0.3">
      <c r="A524" t="str">
        <f t="shared" ca="1" si="8"/>
        <v>ORD-2013-Fra-8430</v>
      </c>
      <c r="B524" t="s">
        <v>17</v>
      </c>
      <c r="C524" t="s">
        <v>24</v>
      </c>
      <c r="D524" t="s">
        <v>41</v>
      </c>
      <c r="E524" t="s">
        <v>48</v>
      </c>
      <c r="F524">
        <v>2805</v>
      </c>
      <c r="G524">
        <v>120</v>
      </c>
      <c r="H524">
        <v>20</v>
      </c>
      <c r="I524">
        <v>56100</v>
      </c>
      <c r="J524">
        <v>6171</v>
      </c>
      <c r="K524">
        <v>49929</v>
      </c>
      <c r="L524">
        <v>28050</v>
      </c>
      <c r="M524">
        <v>21879</v>
      </c>
      <c r="N524" s="1">
        <v>41518</v>
      </c>
      <c r="O524">
        <v>9</v>
      </c>
      <c r="P524" t="s">
        <v>35</v>
      </c>
      <c r="Q524">
        <v>2013</v>
      </c>
    </row>
    <row r="525" spans="1:17" x14ac:dyDescent="0.3">
      <c r="A525" t="str">
        <f t="shared" ca="1" si="8"/>
        <v>ORD-2013-Mex-5828</v>
      </c>
      <c r="B525" t="s">
        <v>23</v>
      </c>
      <c r="C525" t="s">
        <v>26</v>
      </c>
      <c r="D525" t="s">
        <v>41</v>
      </c>
      <c r="E525" t="s">
        <v>48</v>
      </c>
      <c r="F525">
        <v>655</v>
      </c>
      <c r="G525">
        <v>120</v>
      </c>
      <c r="H525">
        <v>15</v>
      </c>
      <c r="I525">
        <v>9825</v>
      </c>
      <c r="J525">
        <v>1080.75</v>
      </c>
      <c r="K525">
        <v>8744.25</v>
      </c>
      <c r="L525">
        <v>6550</v>
      </c>
      <c r="M525">
        <v>2194.25</v>
      </c>
      <c r="N525" s="1">
        <v>41518</v>
      </c>
      <c r="O525">
        <v>9</v>
      </c>
      <c r="P525" t="s">
        <v>35</v>
      </c>
      <c r="Q525">
        <v>2013</v>
      </c>
    </row>
    <row r="526" spans="1:17" x14ac:dyDescent="0.3">
      <c r="A526" t="str">
        <f t="shared" ca="1" si="8"/>
        <v>ORD-2013-Mex-7847</v>
      </c>
      <c r="B526" t="s">
        <v>17</v>
      </c>
      <c r="C526" t="s">
        <v>26</v>
      </c>
      <c r="D526" t="s">
        <v>41</v>
      </c>
      <c r="E526" t="s">
        <v>48</v>
      </c>
      <c r="F526">
        <v>344</v>
      </c>
      <c r="G526">
        <v>120</v>
      </c>
      <c r="H526">
        <v>350</v>
      </c>
      <c r="I526">
        <v>120400</v>
      </c>
      <c r="J526">
        <v>13244</v>
      </c>
      <c r="K526">
        <v>107156</v>
      </c>
      <c r="L526">
        <v>89440</v>
      </c>
      <c r="M526">
        <v>17716</v>
      </c>
      <c r="N526" s="1">
        <v>41548</v>
      </c>
      <c r="O526">
        <v>10</v>
      </c>
      <c r="P526" t="s">
        <v>36</v>
      </c>
      <c r="Q526">
        <v>2013</v>
      </c>
    </row>
    <row r="527" spans="1:17" x14ac:dyDescent="0.3">
      <c r="A527" t="str">
        <f t="shared" ca="1" si="8"/>
        <v>ORD-2014-Ca0-1510</v>
      </c>
      <c r="B527" t="s">
        <v>17</v>
      </c>
      <c r="C527" t="s">
        <v>18</v>
      </c>
      <c r="D527" t="s">
        <v>41</v>
      </c>
      <c r="E527" t="s">
        <v>48</v>
      </c>
      <c r="F527">
        <v>1808</v>
      </c>
      <c r="G527">
        <v>120</v>
      </c>
      <c r="H527">
        <v>7</v>
      </c>
      <c r="I527">
        <v>12656</v>
      </c>
      <c r="J527">
        <v>1392.16</v>
      </c>
      <c r="K527">
        <v>11263.84</v>
      </c>
      <c r="L527">
        <v>9040</v>
      </c>
      <c r="M527">
        <v>2223.84</v>
      </c>
      <c r="N527" s="1">
        <v>41944</v>
      </c>
      <c r="O527">
        <v>11</v>
      </c>
      <c r="P527" t="s">
        <v>40</v>
      </c>
      <c r="Q527">
        <v>2014</v>
      </c>
    </row>
    <row r="528" spans="1:17" x14ac:dyDescent="0.3">
      <c r="A528" t="str">
        <f t="shared" ca="1" si="8"/>
        <v>ORD-2014-Fra-1783</v>
      </c>
      <c r="B528" t="s">
        <v>30</v>
      </c>
      <c r="C528" t="s">
        <v>24</v>
      </c>
      <c r="D528" t="s">
        <v>42</v>
      </c>
      <c r="E528" t="s">
        <v>48</v>
      </c>
      <c r="F528">
        <v>1734</v>
      </c>
      <c r="G528">
        <v>250</v>
      </c>
      <c r="H528">
        <v>12</v>
      </c>
      <c r="I528">
        <v>20808</v>
      </c>
      <c r="J528">
        <v>2288.88</v>
      </c>
      <c r="K528">
        <v>18519.12</v>
      </c>
      <c r="L528">
        <v>5202</v>
      </c>
      <c r="M528">
        <v>13317.12</v>
      </c>
      <c r="N528" s="1">
        <v>41640</v>
      </c>
      <c r="O528">
        <v>1</v>
      </c>
      <c r="P528" t="s">
        <v>21</v>
      </c>
      <c r="Q528">
        <v>2014</v>
      </c>
    </row>
    <row r="529" spans="1:17" x14ac:dyDescent="0.3">
      <c r="A529" t="str">
        <f t="shared" ca="1" si="8"/>
        <v>ORD-2014-Mex-7459</v>
      </c>
      <c r="B529" t="s">
        <v>31</v>
      </c>
      <c r="C529" t="s">
        <v>26</v>
      </c>
      <c r="D529" t="s">
        <v>42</v>
      </c>
      <c r="E529" t="s">
        <v>48</v>
      </c>
      <c r="F529">
        <v>554</v>
      </c>
      <c r="G529">
        <v>250</v>
      </c>
      <c r="H529">
        <v>125</v>
      </c>
      <c r="I529">
        <v>69250</v>
      </c>
      <c r="J529">
        <v>7617.5</v>
      </c>
      <c r="K529">
        <v>61632.5</v>
      </c>
      <c r="L529">
        <v>66480</v>
      </c>
      <c r="M529">
        <f>K529-L529</f>
        <v>-4847.5</v>
      </c>
      <c r="N529" s="1">
        <v>41640</v>
      </c>
      <c r="O529">
        <v>1</v>
      </c>
      <c r="P529" t="s">
        <v>21</v>
      </c>
      <c r="Q529">
        <v>2014</v>
      </c>
    </row>
    <row r="530" spans="1:17" x14ac:dyDescent="0.3">
      <c r="A530" t="str">
        <f t="shared" ca="1" si="8"/>
        <v>ORD-2013-Ca0-4309</v>
      </c>
      <c r="B530" t="s">
        <v>17</v>
      </c>
      <c r="C530" t="s">
        <v>18</v>
      </c>
      <c r="D530" t="s">
        <v>42</v>
      </c>
      <c r="E530" t="s">
        <v>48</v>
      </c>
      <c r="F530">
        <v>2935</v>
      </c>
      <c r="G530">
        <v>250</v>
      </c>
      <c r="H530">
        <v>20</v>
      </c>
      <c r="I530">
        <v>58700</v>
      </c>
      <c r="J530">
        <v>6457</v>
      </c>
      <c r="K530">
        <v>52243</v>
      </c>
      <c r="L530">
        <v>29350</v>
      </c>
      <c r="M530">
        <v>22893</v>
      </c>
      <c r="N530" s="1">
        <v>41579</v>
      </c>
      <c r="O530">
        <v>11</v>
      </c>
      <c r="P530" t="s">
        <v>40</v>
      </c>
      <c r="Q530">
        <v>2013</v>
      </c>
    </row>
    <row r="531" spans="1:17" x14ac:dyDescent="0.3">
      <c r="A531" t="str">
        <f t="shared" ca="1" si="8"/>
        <v>ORD-2014-Ger-3984</v>
      </c>
      <c r="B531" t="s">
        <v>31</v>
      </c>
      <c r="C531" t="s">
        <v>22</v>
      </c>
      <c r="D531" t="s">
        <v>44</v>
      </c>
      <c r="E531" t="s">
        <v>48</v>
      </c>
      <c r="F531">
        <v>3165</v>
      </c>
      <c r="G531">
        <v>260</v>
      </c>
      <c r="H531">
        <v>125</v>
      </c>
      <c r="I531">
        <v>395625</v>
      </c>
      <c r="J531">
        <v>43518.75</v>
      </c>
      <c r="K531">
        <v>352106.25</v>
      </c>
      <c r="L531">
        <v>37980</v>
      </c>
      <c r="M531">
        <f>K531-L531</f>
        <v>314126.25</v>
      </c>
      <c r="N531" s="1">
        <v>41640</v>
      </c>
      <c r="O531">
        <v>1</v>
      </c>
      <c r="P531" t="s">
        <v>21</v>
      </c>
      <c r="Q531">
        <v>2014</v>
      </c>
    </row>
    <row r="532" spans="1:17" x14ac:dyDescent="0.3">
      <c r="A532" t="str">
        <f t="shared" ca="1" si="8"/>
        <v>ORD-2014-Mex-3285</v>
      </c>
      <c r="B532" t="s">
        <v>17</v>
      </c>
      <c r="C532" t="s">
        <v>26</v>
      </c>
      <c r="D532" t="s">
        <v>44</v>
      </c>
      <c r="E532" t="s">
        <v>48</v>
      </c>
      <c r="F532">
        <v>2629</v>
      </c>
      <c r="G532">
        <v>260</v>
      </c>
      <c r="H532">
        <v>20</v>
      </c>
      <c r="I532">
        <v>52580</v>
      </c>
      <c r="J532">
        <v>5783.8</v>
      </c>
      <c r="K532">
        <v>46796.2</v>
      </c>
      <c r="L532">
        <v>26290</v>
      </c>
      <c r="M532">
        <v>20506.2</v>
      </c>
      <c r="N532" s="1">
        <v>41640</v>
      </c>
      <c r="O532">
        <v>1</v>
      </c>
      <c r="P532" t="s">
        <v>21</v>
      </c>
      <c r="Q532">
        <v>2014</v>
      </c>
    </row>
    <row r="533" spans="1:17" x14ac:dyDescent="0.3">
      <c r="A533" t="str">
        <f t="shared" ca="1" si="8"/>
        <v>ORD-2014-Fra-3205</v>
      </c>
      <c r="B533" t="s">
        <v>31</v>
      </c>
      <c r="C533" t="s">
        <v>24</v>
      </c>
      <c r="D533" t="s">
        <v>44</v>
      </c>
      <c r="E533" t="s">
        <v>48</v>
      </c>
      <c r="F533">
        <v>1433</v>
      </c>
      <c r="G533">
        <v>260</v>
      </c>
      <c r="H533">
        <v>125</v>
      </c>
      <c r="I533">
        <v>179125</v>
      </c>
      <c r="J533">
        <v>19703.75</v>
      </c>
      <c r="K533">
        <v>159421.25</v>
      </c>
      <c r="L533">
        <v>17190</v>
      </c>
      <c r="M533">
        <f>K533-L533</f>
        <v>142231.25</v>
      </c>
      <c r="N533" s="1">
        <v>41760</v>
      </c>
      <c r="O533">
        <v>5</v>
      </c>
      <c r="P533" t="s">
        <v>46</v>
      </c>
      <c r="Q533">
        <v>2014</v>
      </c>
    </row>
    <row r="534" spans="1:17" x14ac:dyDescent="0.3">
      <c r="A534" t="str">
        <f t="shared" ca="1" si="8"/>
        <v>ORD-2013-Mex-6583</v>
      </c>
      <c r="B534" t="s">
        <v>31</v>
      </c>
      <c r="C534" t="s">
        <v>26</v>
      </c>
      <c r="D534" t="s">
        <v>44</v>
      </c>
      <c r="E534" t="s">
        <v>48</v>
      </c>
      <c r="F534">
        <v>947</v>
      </c>
      <c r="G534">
        <v>260</v>
      </c>
      <c r="H534">
        <v>125</v>
      </c>
      <c r="I534">
        <v>118375</v>
      </c>
      <c r="J534">
        <v>13021.25</v>
      </c>
      <c r="K534">
        <v>105353.75</v>
      </c>
      <c r="L534">
        <v>113640</v>
      </c>
      <c r="M534">
        <f>K534-L534</f>
        <v>-8286.25</v>
      </c>
      <c r="N534" s="1">
        <v>41518</v>
      </c>
      <c r="O534">
        <v>9</v>
      </c>
      <c r="P534" t="s">
        <v>35</v>
      </c>
      <c r="Q534">
        <v>2013</v>
      </c>
    </row>
    <row r="535" spans="1:17" x14ac:dyDescent="0.3">
      <c r="A535" t="str">
        <f t="shared" ca="1" si="8"/>
        <v>ORD-2013-Mex-4777</v>
      </c>
      <c r="B535" t="s">
        <v>17</v>
      </c>
      <c r="C535" t="s">
        <v>26</v>
      </c>
      <c r="D535" t="s">
        <v>44</v>
      </c>
      <c r="E535" t="s">
        <v>48</v>
      </c>
      <c r="F535">
        <v>344</v>
      </c>
      <c r="G535">
        <v>260</v>
      </c>
      <c r="H535">
        <v>350</v>
      </c>
      <c r="I535">
        <v>120400</v>
      </c>
      <c r="J535">
        <v>13244</v>
      </c>
      <c r="K535">
        <v>107156</v>
      </c>
      <c r="L535">
        <v>89440</v>
      </c>
      <c r="M535">
        <v>17716</v>
      </c>
      <c r="N535" s="1">
        <v>41548</v>
      </c>
      <c r="O535">
        <v>10</v>
      </c>
      <c r="P535" t="s">
        <v>36</v>
      </c>
      <c r="Q535">
        <v>2013</v>
      </c>
    </row>
    <row r="536" spans="1:17" x14ac:dyDescent="0.3">
      <c r="A536" t="str">
        <f t="shared" ca="1" si="8"/>
        <v>ORD-2014-Mex-3098</v>
      </c>
      <c r="B536" t="s">
        <v>23</v>
      </c>
      <c r="C536" t="s">
        <v>26</v>
      </c>
      <c r="D536" t="s">
        <v>44</v>
      </c>
      <c r="E536" t="s">
        <v>48</v>
      </c>
      <c r="F536">
        <v>2157</v>
      </c>
      <c r="G536">
        <v>260</v>
      </c>
      <c r="H536">
        <v>15</v>
      </c>
      <c r="I536">
        <v>32355</v>
      </c>
      <c r="J536">
        <v>3559.05</v>
      </c>
      <c r="K536">
        <v>28795.95</v>
      </c>
      <c r="L536">
        <v>21570</v>
      </c>
      <c r="M536">
        <v>7225.95</v>
      </c>
      <c r="N536" s="1">
        <v>41974</v>
      </c>
      <c r="O536">
        <v>12</v>
      </c>
      <c r="P536" t="s">
        <v>27</v>
      </c>
      <c r="Q536">
        <v>2014</v>
      </c>
    </row>
    <row r="537" spans="1:17" x14ac:dyDescent="0.3">
      <c r="A537" t="str">
        <f t="shared" ca="1" si="8"/>
        <v>ORD-2013-Uni-4137</v>
      </c>
      <c r="B537" t="s">
        <v>17</v>
      </c>
      <c r="C537" t="s">
        <v>37</v>
      </c>
      <c r="D537" t="s">
        <v>38</v>
      </c>
      <c r="E537" t="s">
        <v>48</v>
      </c>
      <c r="F537">
        <v>380</v>
      </c>
      <c r="G537">
        <v>10</v>
      </c>
      <c r="H537">
        <v>7</v>
      </c>
      <c r="I537">
        <v>2660</v>
      </c>
      <c r="J537">
        <v>292.60000000000002</v>
      </c>
      <c r="K537">
        <v>2367.4</v>
      </c>
      <c r="L537">
        <v>1900</v>
      </c>
      <c r="M537">
        <v>467.4</v>
      </c>
      <c r="N537" s="1">
        <v>41518</v>
      </c>
      <c r="O537">
        <v>9</v>
      </c>
      <c r="P537" t="s">
        <v>35</v>
      </c>
      <c r="Q537">
        <v>2013</v>
      </c>
    </row>
    <row r="538" spans="1:17" x14ac:dyDescent="0.3">
      <c r="A538" t="str">
        <f t="shared" ca="1" si="8"/>
        <v>ORD-2014-Mex-5502</v>
      </c>
      <c r="B538" t="s">
        <v>17</v>
      </c>
      <c r="C538" t="s">
        <v>26</v>
      </c>
      <c r="D538" t="s">
        <v>19</v>
      </c>
      <c r="E538" t="s">
        <v>48</v>
      </c>
      <c r="F538">
        <v>886</v>
      </c>
      <c r="G538">
        <v>3</v>
      </c>
      <c r="H538">
        <v>350</v>
      </c>
      <c r="I538">
        <v>310100</v>
      </c>
      <c r="J538">
        <v>37212</v>
      </c>
      <c r="K538">
        <v>272888</v>
      </c>
      <c r="L538">
        <v>230360</v>
      </c>
      <c r="M538">
        <v>42528</v>
      </c>
      <c r="N538" s="1">
        <v>41791</v>
      </c>
      <c r="O538">
        <v>6</v>
      </c>
      <c r="P538" t="s">
        <v>25</v>
      </c>
      <c r="Q538">
        <v>2014</v>
      </c>
    </row>
    <row r="539" spans="1:17" x14ac:dyDescent="0.3">
      <c r="A539" t="str">
        <f t="shared" ca="1" si="8"/>
        <v>ORD-2013-Ca0-1552</v>
      </c>
      <c r="B539" t="s">
        <v>31</v>
      </c>
      <c r="C539" t="s">
        <v>18</v>
      </c>
      <c r="D539" t="s">
        <v>19</v>
      </c>
      <c r="E539" t="s">
        <v>48</v>
      </c>
      <c r="F539">
        <v>2416</v>
      </c>
      <c r="G539">
        <v>3</v>
      </c>
      <c r="H539">
        <v>125</v>
      </c>
      <c r="I539">
        <v>302000</v>
      </c>
      <c r="J539">
        <v>36240</v>
      </c>
      <c r="K539">
        <v>265760</v>
      </c>
      <c r="L539">
        <v>289920</v>
      </c>
      <c r="M539">
        <f>K539-L539</f>
        <v>-24160</v>
      </c>
      <c r="N539" s="1">
        <v>41518</v>
      </c>
      <c r="O539">
        <v>9</v>
      </c>
      <c r="P539" t="s">
        <v>35</v>
      </c>
      <c r="Q539">
        <v>2013</v>
      </c>
    </row>
    <row r="540" spans="1:17" x14ac:dyDescent="0.3">
      <c r="A540" t="str">
        <f t="shared" ca="1" si="8"/>
        <v>ORD-2014-Mex-9610</v>
      </c>
      <c r="B540" t="s">
        <v>31</v>
      </c>
      <c r="C540" t="s">
        <v>26</v>
      </c>
      <c r="D540" t="s">
        <v>19</v>
      </c>
      <c r="E540" t="s">
        <v>48</v>
      </c>
      <c r="F540">
        <v>2156</v>
      </c>
      <c r="G540">
        <v>3</v>
      </c>
      <c r="H540">
        <v>125</v>
      </c>
      <c r="I540">
        <v>269500</v>
      </c>
      <c r="J540">
        <v>32340</v>
      </c>
      <c r="K540">
        <v>237160</v>
      </c>
      <c r="L540">
        <v>258720</v>
      </c>
      <c r="M540">
        <f>K540-L540</f>
        <v>-21560</v>
      </c>
      <c r="N540" s="1">
        <v>41913</v>
      </c>
      <c r="O540">
        <v>10</v>
      </c>
      <c r="P540" t="s">
        <v>36</v>
      </c>
      <c r="Q540">
        <v>2014</v>
      </c>
    </row>
    <row r="541" spans="1:17" x14ac:dyDescent="0.3">
      <c r="A541" t="str">
        <f t="shared" ca="1" si="8"/>
        <v>ORD-2014-Ca0-3058</v>
      </c>
      <c r="B541" t="s">
        <v>23</v>
      </c>
      <c r="C541" t="s">
        <v>18</v>
      </c>
      <c r="D541" t="s">
        <v>19</v>
      </c>
      <c r="E541" t="s">
        <v>48</v>
      </c>
      <c r="F541">
        <v>2689</v>
      </c>
      <c r="G541">
        <v>3</v>
      </c>
      <c r="H541">
        <v>15</v>
      </c>
      <c r="I541">
        <v>40335</v>
      </c>
      <c r="J541">
        <v>4840.2</v>
      </c>
      <c r="K541">
        <v>35494.800000000003</v>
      </c>
      <c r="L541">
        <v>26890</v>
      </c>
      <c r="M541">
        <v>8604.7999999999993</v>
      </c>
      <c r="N541" s="1">
        <v>41944</v>
      </c>
      <c r="O541">
        <v>11</v>
      </c>
      <c r="P541" t="s">
        <v>40</v>
      </c>
      <c r="Q541">
        <v>2014</v>
      </c>
    </row>
    <row r="542" spans="1:17" x14ac:dyDescent="0.3">
      <c r="A542" t="str">
        <f t="shared" ca="1" si="8"/>
        <v>ORD-2014-Uni-1714</v>
      </c>
      <c r="B542" t="s">
        <v>23</v>
      </c>
      <c r="C542" t="s">
        <v>37</v>
      </c>
      <c r="D542" t="s">
        <v>28</v>
      </c>
      <c r="E542" t="s">
        <v>48</v>
      </c>
      <c r="F542">
        <v>677</v>
      </c>
      <c r="G542">
        <v>5</v>
      </c>
      <c r="H542">
        <v>15</v>
      </c>
      <c r="I542">
        <v>10155</v>
      </c>
      <c r="J542">
        <v>1218.5999999999999</v>
      </c>
      <c r="K542">
        <v>8936.4</v>
      </c>
      <c r="L542">
        <v>6770</v>
      </c>
      <c r="M542">
        <v>2166.4</v>
      </c>
      <c r="N542" s="1">
        <v>41699</v>
      </c>
      <c r="O542">
        <v>3</v>
      </c>
      <c r="P542" t="s">
        <v>29</v>
      </c>
      <c r="Q542">
        <v>2014</v>
      </c>
    </row>
    <row r="543" spans="1:17" x14ac:dyDescent="0.3">
      <c r="A543" t="str">
        <f t="shared" ca="1" si="8"/>
        <v>ORD-2014-Fra-7953</v>
      </c>
      <c r="B543" t="s">
        <v>33</v>
      </c>
      <c r="C543" t="s">
        <v>24</v>
      </c>
      <c r="D543" t="s">
        <v>28</v>
      </c>
      <c r="E543" t="s">
        <v>48</v>
      </c>
      <c r="F543">
        <v>1773</v>
      </c>
      <c r="G543">
        <v>5</v>
      </c>
      <c r="H543">
        <v>300</v>
      </c>
      <c r="I543">
        <v>531900</v>
      </c>
      <c r="J543">
        <v>63828</v>
      </c>
      <c r="K543">
        <v>468072</v>
      </c>
      <c r="L543">
        <v>443250</v>
      </c>
      <c r="M543">
        <v>24822</v>
      </c>
      <c r="N543" s="1">
        <v>41730</v>
      </c>
      <c r="O543">
        <v>4</v>
      </c>
      <c r="P543" t="s">
        <v>43</v>
      </c>
      <c r="Q543">
        <v>2014</v>
      </c>
    </row>
    <row r="544" spans="1:17" x14ac:dyDescent="0.3">
      <c r="A544" t="str">
        <f t="shared" ca="1" si="8"/>
        <v>ORD-2014-Mex-5701</v>
      </c>
      <c r="B544" t="s">
        <v>17</v>
      </c>
      <c r="C544" t="s">
        <v>26</v>
      </c>
      <c r="D544" t="s">
        <v>28</v>
      </c>
      <c r="E544" t="s">
        <v>48</v>
      </c>
      <c r="F544">
        <v>2420</v>
      </c>
      <c r="G544">
        <v>5</v>
      </c>
      <c r="H544">
        <v>7</v>
      </c>
      <c r="I544">
        <v>16940</v>
      </c>
      <c r="J544">
        <v>2032.8</v>
      </c>
      <c r="K544">
        <v>14907.2</v>
      </c>
      <c r="L544">
        <v>12100</v>
      </c>
      <c r="M544">
        <v>2807.2</v>
      </c>
      <c r="N544" s="1">
        <v>41883</v>
      </c>
      <c r="O544">
        <v>9</v>
      </c>
      <c r="P544" t="s">
        <v>35</v>
      </c>
      <c r="Q544">
        <v>2014</v>
      </c>
    </row>
    <row r="545" spans="1:17" x14ac:dyDescent="0.3">
      <c r="A545" t="str">
        <f t="shared" ca="1" si="8"/>
        <v>ORD-2014-Ca0-8853</v>
      </c>
      <c r="B545" t="s">
        <v>17</v>
      </c>
      <c r="C545" t="s">
        <v>18</v>
      </c>
      <c r="D545" t="s">
        <v>28</v>
      </c>
      <c r="E545" t="s">
        <v>48</v>
      </c>
      <c r="F545">
        <v>2734</v>
      </c>
      <c r="G545">
        <v>5</v>
      </c>
      <c r="H545">
        <v>7</v>
      </c>
      <c r="I545">
        <v>19138</v>
      </c>
      <c r="J545">
        <v>2296.56</v>
      </c>
      <c r="K545">
        <v>16841.439999999999</v>
      </c>
      <c r="L545">
        <v>13670</v>
      </c>
      <c r="M545">
        <v>3171.44</v>
      </c>
      <c r="N545" s="1">
        <v>41913</v>
      </c>
      <c r="O545">
        <v>10</v>
      </c>
      <c r="P545" t="s">
        <v>36</v>
      </c>
      <c r="Q545">
        <v>2014</v>
      </c>
    </row>
    <row r="546" spans="1:17" x14ac:dyDescent="0.3">
      <c r="A546" t="str">
        <f t="shared" ca="1" si="8"/>
        <v>ORD-2013-Mex-3118</v>
      </c>
      <c r="B546" t="s">
        <v>17</v>
      </c>
      <c r="C546" t="s">
        <v>26</v>
      </c>
      <c r="D546" t="s">
        <v>28</v>
      </c>
      <c r="E546" t="s">
        <v>48</v>
      </c>
      <c r="F546">
        <v>1715</v>
      </c>
      <c r="G546">
        <v>5</v>
      </c>
      <c r="H546">
        <v>20</v>
      </c>
      <c r="I546">
        <v>34300</v>
      </c>
      <c r="J546">
        <v>4116</v>
      </c>
      <c r="K546">
        <v>30184</v>
      </c>
      <c r="L546">
        <v>17150</v>
      </c>
      <c r="M546">
        <v>13034</v>
      </c>
      <c r="N546" s="1">
        <v>41548</v>
      </c>
      <c r="O546">
        <v>10</v>
      </c>
      <c r="P546" t="s">
        <v>36</v>
      </c>
      <c r="Q546">
        <v>2013</v>
      </c>
    </row>
    <row r="547" spans="1:17" x14ac:dyDescent="0.3">
      <c r="A547" t="str">
        <f t="shared" ca="1" si="8"/>
        <v>ORD-2013-Fra-7869</v>
      </c>
      <c r="B547" t="s">
        <v>33</v>
      </c>
      <c r="C547" t="s">
        <v>24</v>
      </c>
      <c r="D547" t="s">
        <v>28</v>
      </c>
      <c r="E547" t="s">
        <v>48</v>
      </c>
      <c r="F547">
        <v>1186</v>
      </c>
      <c r="G547">
        <v>5</v>
      </c>
      <c r="H547">
        <v>300</v>
      </c>
      <c r="I547">
        <v>355800</v>
      </c>
      <c r="J547">
        <v>42696</v>
      </c>
      <c r="K547">
        <v>313104</v>
      </c>
      <c r="L547">
        <v>296500</v>
      </c>
      <c r="M547">
        <v>16604</v>
      </c>
      <c r="N547" s="1">
        <v>41609</v>
      </c>
      <c r="O547">
        <v>12</v>
      </c>
      <c r="P547" t="s">
        <v>27</v>
      </c>
      <c r="Q547">
        <v>2013</v>
      </c>
    </row>
    <row r="548" spans="1:17" x14ac:dyDescent="0.3">
      <c r="A548" t="str">
        <f t="shared" ca="1" si="8"/>
        <v>ORD-2014-Uni-5210</v>
      </c>
      <c r="B548" t="s">
        <v>33</v>
      </c>
      <c r="C548" t="s">
        <v>37</v>
      </c>
      <c r="D548" t="s">
        <v>38</v>
      </c>
      <c r="E548" t="s">
        <v>48</v>
      </c>
      <c r="F548">
        <v>3495</v>
      </c>
      <c r="G548">
        <v>10</v>
      </c>
      <c r="H548">
        <v>300</v>
      </c>
      <c r="I548">
        <v>1048500</v>
      </c>
      <c r="J548">
        <v>125820</v>
      </c>
      <c r="K548">
        <v>922680</v>
      </c>
      <c r="L548">
        <v>873750</v>
      </c>
      <c r="M548">
        <v>48930</v>
      </c>
      <c r="N548" s="1">
        <v>41640</v>
      </c>
      <c r="O548">
        <v>1</v>
      </c>
      <c r="P548" t="s">
        <v>21</v>
      </c>
      <c r="Q548">
        <v>2014</v>
      </c>
    </row>
    <row r="549" spans="1:17" x14ac:dyDescent="0.3">
      <c r="A549" t="str">
        <f t="shared" ca="1" si="8"/>
        <v>ORD-2014-Mex-2301</v>
      </c>
      <c r="B549" t="s">
        <v>17</v>
      </c>
      <c r="C549" t="s">
        <v>26</v>
      </c>
      <c r="D549" t="s">
        <v>38</v>
      </c>
      <c r="E549" t="s">
        <v>48</v>
      </c>
      <c r="F549">
        <v>886</v>
      </c>
      <c r="G549">
        <v>10</v>
      </c>
      <c r="H549">
        <v>350</v>
      </c>
      <c r="I549">
        <v>310100</v>
      </c>
      <c r="J549">
        <v>37212</v>
      </c>
      <c r="K549">
        <v>272888</v>
      </c>
      <c r="L549">
        <v>230360</v>
      </c>
      <c r="M549">
        <v>42528</v>
      </c>
      <c r="N549" s="1">
        <v>41791</v>
      </c>
      <c r="O549">
        <v>6</v>
      </c>
      <c r="P549" t="s">
        <v>25</v>
      </c>
      <c r="Q549">
        <v>2014</v>
      </c>
    </row>
    <row r="550" spans="1:17" x14ac:dyDescent="0.3">
      <c r="A550" t="str">
        <f t="shared" ca="1" si="8"/>
        <v>ORD-2014-Mex-2687</v>
      </c>
      <c r="B550" t="s">
        <v>31</v>
      </c>
      <c r="C550" t="s">
        <v>26</v>
      </c>
      <c r="D550" t="s">
        <v>38</v>
      </c>
      <c r="E550" t="s">
        <v>48</v>
      </c>
      <c r="F550">
        <v>2156</v>
      </c>
      <c r="G550">
        <v>10</v>
      </c>
      <c r="H550">
        <v>125</v>
      </c>
      <c r="I550">
        <v>269500</v>
      </c>
      <c r="J550">
        <v>32340</v>
      </c>
      <c r="K550">
        <v>237160</v>
      </c>
      <c r="L550">
        <v>258720</v>
      </c>
      <c r="M550">
        <f>K550-L550</f>
        <v>-21560</v>
      </c>
      <c r="N550" s="1">
        <v>41913</v>
      </c>
      <c r="O550">
        <v>10</v>
      </c>
      <c r="P550" t="s">
        <v>36</v>
      </c>
      <c r="Q550">
        <v>2014</v>
      </c>
    </row>
    <row r="551" spans="1:17" x14ac:dyDescent="0.3">
      <c r="A551" t="str">
        <f t="shared" ca="1" si="8"/>
        <v>ORD-2014-Mex-5192</v>
      </c>
      <c r="B551" t="s">
        <v>17</v>
      </c>
      <c r="C551" t="s">
        <v>26</v>
      </c>
      <c r="D551" t="s">
        <v>38</v>
      </c>
      <c r="E551" t="s">
        <v>48</v>
      </c>
      <c r="F551">
        <v>905</v>
      </c>
      <c r="G551">
        <v>10</v>
      </c>
      <c r="H551">
        <v>20</v>
      </c>
      <c r="I551">
        <v>18100</v>
      </c>
      <c r="J551">
        <v>2172</v>
      </c>
      <c r="K551">
        <v>15928</v>
      </c>
      <c r="L551">
        <v>9050</v>
      </c>
      <c r="M551">
        <v>6878</v>
      </c>
      <c r="N551" s="1">
        <v>41913</v>
      </c>
      <c r="O551">
        <v>10</v>
      </c>
      <c r="P551" t="s">
        <v>36</v>
      </c>
      <c r="Q551">
        <v>2014</v>
      </c>
    </row>
    <row r="552" spans="1:17" x14ac:dyDescent="0.3">
      <c r="A552" t="str">
        <f t="shared" ca="1" si="8"/>
        <v>ORD-2013-Mex-5768</v>
      </c>
      <c r="B552" t="s">
        <v>17</v>
      </c>
      <c r="C552" t="s">
        <v>26</v>
      </c>
      <c r="D552" t="s">
        <v>38</v>
      </c>
      <c r="E552" t="s">
        <v>48</v>
      </c>
      <c r="F552">
        <v>1715</v>
      </c>
      <c r="G552">
        <v>10</v>
      </c>
      <c r="H552">
        <v>20</v>
      </c>
      <c r="I552">
        <v>34300</v>
      </c>
      <c r="J552">
        <v>4116</v>
      </c>
      <c r="K552">
        <v>30184</v>
      </c>
      <c r="L552">
        <v>17150</v>
      </c>
      <c r="M552">
        <v>13034</v>
      </c>
      <c r="N552" s="1">
        <v>41548</v>
      </c>
      <c r="O552">
        <v>10</v>
      </c>
      <c r="P552" t="s">
        <v>36</v>
      </c>
      <c r="Q552">
        <v>2013</v>
      </c>
    </row>
    <row r="553" spans="1:17" x14ac:dyDescent="0.3">
      <c r="A553" t="str">
        <f t="shared" ca="1" si="8"/>
        <v>ORD-2014-Fra-6838</v>
      </c>
      <c r="B553" t="s">
        <v>17</v>
      </c>
      <c r="C553" t="s">
        <v>24</v>
      </c>
      <c r="D553" t="s">
        <v>38</v>
      </c>
      <c r="E553" t="s">
        <v>48</v>
      </c>
      <c r="F553">
        <v>1594</v>
      </c>
      <c r="G553">
        <v>10</v>
      </c>
      <c r="H553">
        <v>350</v>
      </c>
      <c r="I553">
        <v>557900</v>
      </c>
      <c r="J553">
        <v>66948</v>
      </c>
      <c r="K553">
        <v>490952</v>
      </c>
      <c r="L553">
        <v>414440</v>
      </c>
      <c r="M553">
        <v>76512</v>
      </c>
      <c r="N553" s="1">
        <v>41944</v>
      </c>
      <c r="O553">
        <v>11</v>
      </c>
      <c r="P553" t="s">
        <v>40</v>
      </c>
      <c r="Q553">
        <v>2014</v>
      </c>
    </row>
    <row r="554" spans="1:17" x14ac:dyDescent="0.3">
      <c r="A554" t="str">
        <f t="shared" ca="1" si="8"/>
        <v>ORD-2014-Ger-1163</v>
      </c>
      <c r="B554" t="s">
        <v>33</v>
      </c>
      <c r="C554" t="s">
        <v>22</v>
      </c>
      <c r="D554" t="s">
        <v>38</v>
      </c>
      <c r="E554" t="s">
        <v>48</v>
      </c>
      <c r="F554">
        <v>1359</v>
      </c>
      <c r="G554">
        <v>10</v>
      </c>
      <c r="H554">
        <v>300</v>
      </c>
      <c r="I554">
        <v>407700</v>
      </c>
      <c r="J554">
        <v>48924</v>
      </c>
      <c r="K554">
        <v>358776</v>
      </c>
      <c r="L554">
        <v>339750</v>
      </c>
      <c r="M554">
        <v>19026</v>
      </c>
      <c r="N554" s="1">
        <v>41944</v>
      </c>
      <c r="O554">
        <v>11</v>
      </c>
      <c r="P554" t="s">
        <v>40</v>
      </c>
      <c r="Q554">
        <v>2014</v>
      </c>
    </row>
    <row r="555" spans="1:17" x14ac:dyDescent="0.3">
      <c r="A555" t="str">
        <f t="shared" ca="1" si="8"/>
        <v>ORD-2014-Mex-5567</v>
      </c>
      <c r="B555" t="s">
        <v>33</v>
      </c>
      <c r="C555" t="s">
        <v>26</v>
      </c>
      <c r="D555" t="s">
        <v>38</v>
      </c>
      <c r="E555" t="s">
        <v>48</v>
      </c>
      <c r="F555">
        <v>2150</v>
      </c>
      <c r="G555">
        <v>10</v>
      </c>
      <c r="H555">
        <v>300</v>
      </c>
      <c r="I555">
        <v>645000</v>
      </c>
      <c r="J555">
        <v>77400</v>
      </c>
      <c r="K555">
        <v>567600</v>
      </c>
      <c r="L555">
        <v>537500</v>
      </c>
      <c r="M555">
        <v>30100</v>
      </c>
      <c r="N555" s="1">
        <v>41944</v>
      </c>
      <c r="O555">
        <v>11</v>
      </c>
      <c r="P555" t="s">
        <v>40</v>
      </c>
      <c r="Q555">
        <v>2014</v>
      </c>
    </row>
    <row r="556" spans="1:17" x14ac:dyDescent="0.3">
      <c r="A556" t="str">
        <f t="shared" ca="1" si="8"/>
        <v>ORD-2014-Mex-6774</v>
      </c>
      <c r="B556" t="s">
        <v>17</v>
      </c>
      <c r="C556" t="s">
        <v>26</v>
      </c>
      <c r="D556" t="s">
        <v>38</v>
      </c>
      <c r="E556" t="s">
        <v>48</v>
      </c>
      <c r="F556">
        <v>1197</v>
      </c>
      <c r="G556">
        <v>10</v>
      </c>
      <c r="H556">
        <v>350</v>
      </c>
      <c r="I556">
        <v>418950</v>
      </c>
      <c r="J556">
        <v>50274</v>
      </c>
      <c r="K556">
        <v>368676</v>
      </c>
      <c r="L556">
        <v>311220</v>
      </c>
      <c r="M556">
        <v>57456</v>
      </c>
      <c r="N556" s="1">
        <v>41944</v>
      </c>
      <c r="O556">
        <v>11</v>
      </c>
      <c r="P556" t="s">
        <v>40</v>
      </c>
      <c r="Q556">
        <v>2014</v>
      </c>
    </row>
    <row r="557" spans="1:17" x14ac:dyDescent="0.3">
      <c r="A557" t="str">
        <f t="shared" ca="1" si="8"/>
        <v>ORD-2013-Mex-7863</v>
      </c>
      <c r="B557" t="s">
        <v>23</v>
      </c>
      <c r="C557" t="s">
        <v>26</v>
      </c>
      <c r="D557" t="s">
        <v>38</v>
      </c>
      <c r="E557" t="s">
        <v>48</v>
      </c>
      <c r="F557">
        <v>380</v>
      </c>
      <c r="G557">
        <v>10</v>
      </c>
      <c r="H557">
        <v>15</v>
      </c>
      <c r="I557">
        <v>5700</v>
      </c>
      <c r="J557">
        <v>684</v>
      </c>
      <c r="K557">
        <v>5016</v>
      </c>
      <c r="L557">
        <v>3800</v>
      </c>
      <c r="M557">
        <v>1216</v>
      </c>
      <c r="N557" s="1">
        <v>41609</v>
      </c>
      <c r="O557">
        <v>12</v>
      </c>
      <c r="P557" t="s">
        <v>27</v>
      </c>
      <c r="Q557">
        <v>2013</v>
      </c>
    </row>
    <row r="558" spans="1:17" x14ac:dyDescent="0.3">
      <c r="A558" t="str">
        <f t="shared" ca="1" si="8"/>
        <v>ORD-2014-Mex-1817</v>
      </c>
      <c r="B558" t="s">
        <v>17</v>
      </c>
      <c r="C558" t="s">
        <v>26</v>
      </c>
      <c r="D558" t="s">
        <v>38</v>
      </c>
      <c r="E558" t="s">
        <v>48</v>
      </c>
      <c r="F558">
        <v>1233</v>
      </c>
      <c r="G558">
        <v>10</v>
      </c>
      <c r="H558">
        <v>20</v>
      </c>
      <c r="I558">
        <v>24660</v>
      </c>
      <c r="J558">
        <v>2959.2</v>
      </c>
      <c r="K558">
        <v>21700.799999999999</v>
      </c>
      <c r="L558">
        <v>12330</v>
      </c>
      <c r="M558">
        <v>9370.7999999999993</v>
      </c>
      <c r="N558" s="1">
        <v>41974</v>
      </c>
      <c r="O558">
        <v>12</v>
      </c>
      <c r="P558" t="s">
        <v>27</v>
      </c>
      <c r="Q558">
        <v>2014</v>
      </c>
    </row>
    <row r="559" spans="1:17" x14ac:dyDescent="0.3">
      <c r="A559" t="str">
        <f t="shared" ca="1" si="8"/>
        <v>ORD-2014-Mex-7121</v>
      </c>
      <c r="B559" t="s">
        <v>17</v>
      </c>
      <c r="C559" t="s">
        <v>26</v>
      </c>
      <c r="D559" t="s">
        <v>41</v>
      </c>
      <c r="E559" t="s">
        <v>48</v>
      </c>
      <c r="F559">
        <v>1395</v>
      </c>
      <c r="G559">
        <v>120</v>
      </c>
      <c r="H559">
        <v>350</v>
      </c>
      <c r="I559">
        <v>488250</v>
      </c>
      <c r="J559">
        <v>58590</v>
      </c>
      <c r="K559">
        <v>429660</v>
      </c>
      <c r="L559">
        <v>362700</v>
      </c>
      <c r="M559">
        <v>66960</v>
      </c>
      <c r="N559" s="1">
        <v>41821</v>
      </c>
      <c r="O559">
        <v>7</v>
      </c>
      <c r="P559" t="s">
        <v>32</v>
      </c>
      <c r="Q559">
        <v>2014</v>
      </c>
    </row>
    <row r="560" spans="1:17" x14ac:dyDescent="0.3">
      <c r="A560" t="str">
        <f t="shared" ca="1" si="8"/>
        <v>ORD-2014-Uni-5983</v>
      </c>
      <c r="B560" t="s">
        <v>17</v>
      </c>
      <c r="C560" t="s">
        <v>37</v>
      </c>
      <c r="D560" t="s">
        <v>41</v>
      </c>
      <c r="E560" t="s">
        <v>48</v>
      </c>
      <c r="F560">
        <v>986</v>
      </c>
      <c r="G560">
        <v>120</v>
      </c>
      <c r="H560">
        <v>350</v>
      </c>
      <c r="I560">
        <v>345100</v>
      </c>
      <c r="J560">
        <v>41412</v>
      </c>
      <c r="K560">
        <v>303688</v>
      </c>
      <c r="L560">
        <v>256360</v>
      </c>
      <c r="M560">
        <v>47328</v>
      </c>
      <c r="N560" s="1">
        <v>41913</v>
      </c>
      <c r="O560">
        <v>10</v>
      </c>
      <c r="P560" t="s">
        <v>36</v>
      </c>
      <c r="Q560">
        <v>2014</v>
      </c>
    </row>
    <row r="561" spans="1:17" x14ac:dyDescent="0.3">
      <c r="A561" t="str">
        <f t="shared" ca="1" si="8"/>
        <v>ORD-2014-Mex-9108</v>
      </c>
      <c r="B561" t="s">
        <v>17</v>
      </c>
      <c r="C561" t="s">
        <v>26</v>
      </c>
      <c r="D561" t="s">
        <v>41</v>
      </c>
      <c r="E561" t="s">
        <v>48</v>
      </c>
      <c r="F561">
        <v>905</v>
      </c>
      <c r="G561">
        <v>120</v>
      </c>
      <c r="H561">
        <v>20</v>
      </c>
      <c r="I561">
        <v>18100</v>
      </c>
      <c r="J561">
        <v>2172</v>
      </c>
      <c r="K561">
        <v>15928</v>
      </c>
      <c r="L561">
        <v>9050</v>
      </c>
      <c r="M561">
        <v>6878</v>
      </c>
      <c r="N561" s="1">
        <v>41913</v>
      </c>
      <c r="O561">
        <v>10</v>
      </c>
      <c r="P561" t="s">
        <v>36</v>
      </c>
      <c r="Q561">
        <v>2014</v>
      </c>
    </row>
    <row r="562" spans="1:17" x14ac:dyDescent="0.3">
      <c r="A562" t="str">
        <f t="shared" ca="1" si="8"/>
        <v>ORD-2014-Ca0-6672</v>
      </c>
      <c r="B562" t="s">
        <v>30</v>
      </c>
      <c r="C562" t="s">
        <v>18</v>
      </c>
      <c r="D562" t="s">
        <v>42</v>
      </c>
      <c r="E562" t="s">
        <v>48</v>
      </c>
      <c r="F562">
        <v>2109</v>
      </c>
      <c r="G562">
        <v>250</v>
      </c>
      <c r="H562">
        <v>12</v>
      </c>
      <c r="I562">
        <v>25308</v>
      </c>
      <c r="J562">
        <v>3036.96</v>
      </c>
      <c r="K562">
        <v>22271.040000000001</v>
      </c>
      <c r="L562">
        <v>6327</v>
      </c>
      <c r="M562">
        <v>15944.04</v>
      </c>
      <c r="N562" s="1">
        <v>41760</v>
      </c>
      <c r="O562">
        <v>5</v>
      </c>
      <c r="P562" t="s">
        <v>46</v>
      </c>
      <c r="Q562">
        <v>2014</v>
      </c>
    </row>
    <row r="563" spans="1:17" x14ac:dyDescent="0.3">
      <c r="A563" t="str">
        <f t="shared" ca="1" si="8"/>
        <v>ORD-2014-Fra-2051</v>
      </c>
      <c r="B563" t="s">
        <v>23</v>
      </c>
      <c r="C563" t="s">
        <v>24</v>
      </c>
      <c r="D563" t="s">
        <v>42</v>
      </c>
      <c r="E563" t="s">
        <v>48</v>
      </c>
      <c r="F563">
        <v>3874.5</v>
      </c>
      <c r="G563">
        <v>250</v>
      </c>
      <c r="H563">
        <v>15</v>
      </c>
      <c r="I563">
        <v>58117.5</v>
      </c>
      <c r="J563">
        <v>6974.1</v>
      </c>
      <c r="K563">
        <v>51143.4</v>
      </c>
      <c r="L563">
        <v>38745</v>
      </c>
      <c r="M563">
        <v>12398.4</v>
      </c>
      <c r="N563" s="1">
        <v>41821</v>
      </c>
      <c r="O563">
        <v>7</v>
      </c>
      <c r="P563" t="s">
        <v>32</v>
      </c>
      <c r="Q563">
        <v>2014</v>
      </c>
    </row>
    <row r="564" spans="1:17" x14ac:dyDescent="0.3">
      <c r="A564" t="str">
        <f t="shared" ca="1" si="8"/>
        <v>ORD-2013-Ca0-7353</v>
      </c>
      <c r="B564" t="s">
        <v>17</v>
      </c>
      <c r="C564" t="s">
        <v>18</v>
      </c>
      <c r="D564" t="s">
        <v>42</v>
      </c>
      <c r="E564" t="s">
        <v>48</v>
      </c>
      <c r="F564">
        <v>623</v>
      </c>
      <c r="G564">
        <v>250</v>
      </c>
      <c r="H564">
        <v>350</v>
      </c>
      <c r="I564">
        <v>218050</v>
      </c>
      <c r="J564">
        <v>26166</v>
      </c>
      <c r="K564">
        <v>191884</v>
      </c>
      <c r="L564">
        <v>161980</v>
      </c>
      <c r="M564">
        <v>29904</v>
      </c>
      <c r="N564" s="1">
        <v>41518</v>
      </c>
      <c r="O564">
        <v>9</v>
      </c>
      <c r="P564" t="s">
        <v>35</v>
      </c>
      <c r="Q564">
        <v>2013</v>
      </c>
    </row>
    <row r="565" spans="1:17" x14ac:dyDescent="0.3">
      <c r="A565" t="str">
        <f t="shared" ca="1" si="8"/>
        <v>ORD-2014-Uni-3998</v>
      </c>
      <c r="B565" t="s">
        <v>17</v>
      </c>
      <c r="C565" t="s">
        <v>37</v>
      </c>
      <c r="D565" t="s">
        <v>42</v>
      </c>
      <c r="E565" t="s">
        <v>48</v>
      </c>
      <c r="F565">
        <v>986</v>
      </c>
      <c r="G565">
        <v>250</v>
      </c>
      <c r="H565">
        <v>350</v>
      </c>
      <c r="I565">
        <v>345100</v>
      </c>
      <c r="J565">
        <v>41412</v>
      </c>
      <c r="K565">
        <v>303688</v>
      </c>
      <c r="L565">
        <v>256360</v>
      </c>
      <c r="M565">
        <v>47328</v>
      </c>
      <c r="N565" s="1">
        <v>41913</v>
      </c>
      <c r="O565">
        <v>10</v>
      </c>
      <c r="P565" t="s">
        <v>36</v>
      </c>
      <c r="Q565">
        <v>2014</v>
      </c>
    </row>
    <row r="566" spans="1:17" x14ac:dyDescent="0.3">
      <c r="A566" t="str">
        <f t="shared" ca="1" si="8"/>
        <v>ORD-2014-Uni-6081</v>
      </c>
      <c r="B566" t="s">
        <v>31</v>
      </c>
      <c r="C566" t="s">
        <v>37</v>
      </c>
      <c r="D566" t="s">
        <v>42</v>
      </c>
      <c r="E566" t="s">
        <v>48</v>
      </c>
      <c r="F566">
        <v>2387</v>
      </c>
      <c r="G566">
        <v>250</v>
      </c>
      <c r="H566">
        <v>125</v>
      </c>
      <c r="I566">
        <v>298375</v>
      </c>
      <c r="J566">
        <v>35805</v>
      </c>
      <c r="K566">
        <v>262570</v>
      </c>
      <c r="L566">
        <v>286440</v>
      </c>
      <c r="M566">
        <f>K566-L566</f>
        <v>-23870</v>
      </c>
      <c r="N566" s="1">
        <v>41944</v>
      </c>
      <c r="O566">
        <v>11</v>
      </c>
      <c r="P566" t="s">
        <v>40</v>
      </c>
      <c r="Q566">
        <v>2014</v>
      </c>
    </row>
    <row r="567" spans="1:17" x14ac:dyDescent="0.3">
      <c r="A567" t="str">
        <f t="shared" ca="1" si="8"/>
        <v>ORD-2014-Mex-4180</v>
      </c>
      <c r="B567" t="s">
        <v>17</v>
      </c>
      <c r="C567" t="s">
        <v>26</v>
      </c>
      <c r="D567" t="s">
        <v>42</v>
      </c>
      <c r="E567" t="s">
        <v>48</v>
      </c>
      <c r="F567">
        <v>1233</v>
      </c>
      <c r="G567">
        <v>250</v>
      </c>
      <c r="H567">
        <v>20</v>
      </c>
      <c r="I567">
        <v>24660</v>
      </c>
      <c r="J567">
        <v>2959.2</v>
      </c>
      <c r="K567">
        <v>21700.799999999999</v>
      </c>
      <c r="L567">
        <v>12330</v>
      </c>
      <c r="M567">
        <v>9370.7999999999993</v>
      </c>
      <c r="N567" s="1">
        <v>41974</v>
      </c>
      <c r="O567">
        <v>12</v>
      </c>
      <c r="P567" t="s">
        <v>27</v>
      </c>
      <c r="Q567">
        <v>2014</v>
      </c>
    </row>
    <row r="568" spans="1:17" x14ac:dyDescent="0.3">
      <c r="A568" t="str">
        <f t="shared" ca="1" si="8"/>
        <v>ORD-2014-Uni-4543</v>
      </c>
      <c r="B568" t="s">
        <v>17</v>
      </c>
      <c r="C568" t="s">
        <v>37</v>
      </c>
      <c r="D568" t="s">
        <v>44</v>
      </c>
      <c r="E568" t="s">
        <v>48</v>
      </c>
      <c r="F568">
        <v>270</v>
      </c>
      <c r="G568">
        <v>260</v>
      </c>
      <c r="H568">
        <v>350</v>
      </c>
      <c r="I568">
        <v>94500</v>
      </c>
      <c r="J568">
        <v>11340</v>
      </c>
      <c r="K568">
        <v>83160</v>
      </c>
      <c r="L568">
        <v>70200</v>
      </c>
      <c r="M568">
        <v>12960</v>
      </c>
      <c r="N568" s="1">
        <v>41671</v>
      </c>
      <c r="O568">
        <v>2</v>
      </c>
      <c r="P568" t="s">
        <v>39</v>
      </c>
      <c r="Q568">
        <v>2014</v>
      </c>
    </row>
    <row r="569" spans="1:17" x14ac:dyDescent="0.3">
      <c r="A569" t="str">
        <f t="shared" ca="1" si="8"/>
        <v>ORD-2014-Fra-6064</v>
      </c>
      <c r="B569" t="s">
        <v>17</v>
      </c>
      <c r="C569" t="s">
        <v>24</v>
      </c>
      <c r="D569" t="s">
        <v>44</v>
      </c>
      <c r="E569" t="s">
        <v>48</v>
      </c>
      <c r="F569">
        <v>3421.5</v>
      </c>
      <c r="G569">
        <v>260</v>
      </c>
      <c r="H569">
        <v>7</v>
      </c>
      <c r="I569">
        <v>23950.5</v>
      </c>
      <c r="J569">
        <v>2874.06</v>
      </c>
      <c r="K569">
        <v>21076.44</v>
      </c>
      <c r="L569">
        <v>17107.5</v>
      </c>
      <c r="M569">
        <v>3968.94</v>
      </c>
      <c r="N569" s="1">
        <v>41821</v>
      </c>
      <c r="O569">
        <v>7</v>
      </c>
      <c r="P569" t="s">
        <v>32</v>
      </c>
      <c r="Q569">
        <v>2014</v>
      </c>
    </row>
    <row r="570" spans="1:17" x14ac:dyDescent="0.3">
      <c r="A570" t="str">
        <f t="shared" ca="1" si="8"/>
        <v>ORD-2014-Ca0-7782</v>
      </c>
      <c r="B570" t="s">
        <v>17</v>
      </c>
      <c r="C570" t="s">
        <v>18</v>
      </c>
      <c r="D570" t="s">
        <v>44</v>
      </c>
      <c r="E570" t="s">
        <v>48</v>
      </c>
      <c r="F570">
        <v>2734</v>
      </c>
      <c r="G570">
        <v>260</v>
      </c>
      <c r="H570">
        <v>7</v>
      </c>
      <c r="I570">
        <v>19138</v>
      </c>
      <c r="J570">
        <v>2296.56</v>
      </c>
      <c r="K570">
        <v>16841.439999999999</v>
      </c>
      <c r="L570">
        <v>13670</v>
      </c>
      <c r="M570">
        <v>3171.44</v>
      </c>
      <c r="N570" s="1">
        <v>41913</v>
      </c>
      <c r="O570">
        <v>10</v>
      </c>
      <c r="P570" t="s">
        <v>36</v>
      </c>
      <c r="Q570">
        <v>2014</v>
      </c>
    </row>
    <row r="571" spans="1:17" x14ac:dyDescent="0.3">
      <c r="A571" t="str">
        <f t="shared" ca="1" si="8"/>
        <v>ORD-2013-Uni-4709</v>
      </c>
      <c r="B571" t="s">
        <v>23</v>
      </c>
      <c r="C571" t="s">
        <v>37</v>
      </c>
      <c r="D571" t="s">
        <v>44</v>
      </c>
      <c r="E571" t="s">
        <v>48</v>
      </c>
      <c r="F571">
        <v>2548</v>
      </c>
      <c r="G571">
        <v>260</v>
      </c>
      <c r="H571">
        <v>15</v>
      </c>
      <c r="I571">
        <v>38220</v>
      </c>
      <c r="J571">
        <v>4586.3999999999996</v>
      </c>
      <c r="K571">
        <v>33633.599999999999</v>
      </c>
      <c r="L571">
        <v>25480</v>
      </c>
      <c r="M571">
        <v>8153.6</v>
      </c>
      <c r="N571" s="1">
        <v>41579</v>
      </c>
      <c r="O571">
        <v>11</v>
      </c>
      <c r="P571" t="s">
        <v>40</v>
      </c>
      <c r="Q571">
        <v>2013</v>
      </c>
    </row>
    <row r="572" spans="1:17" x14ac:dyDescent="0.3">
      <c r="A572" t="str">
        <f t="shared" ca="1" si="8"/>
        <v>ORD-2014-Fra-3002</v>
      </c>
      <c r="B572" t="s">
        <v>17</v>
      </c>
      <c r="C572" t="s">
        <v>24</v>
      </c>
      <c r="D572" t="s">
        <v>19</v>
      </c>
      <c r="E572" t="s">
        <v>48</v>
      </c>
      <c r="F572">
        <v>2521.5</v>
      </c>
      <c r="G572">
        <v>3</v>
      </c>
      <c r="H572">
        <v>20</v>
      </c>
      <c r="I572">
        <v>50430</v>
      </c>
      <c r="J572">
        <v>6051.6</v>
      </c>
      <c r="K572">
        <v>44378.400000000001</v>
      </c>
      <c r="L572">
        <v>25215</v>
      </c>
      <c r="M572">
        <v>19163.400000000001</v>
      </c>
      <c r="N572" s="1">
        <v>41640</v>
      </c>
      <c r="O572">
        <v>1</v>
      </c>
      <c r="P572" t="s">
        <v>21</v>
      </c>
      <c r="Q572">
        <v>2014</v>
      </c>
    </row>
    <row r="573" spans="1:17" x14ac:dyDescent="0.3">
      <c r="A573" t="str">
        <f t="shared" ca="1" si="8"/>
        <v>ORD-2014-Mex-9235</v>
      </c>
      <c r="B573" t="s">
        <v>30</v>
      </c>
      <c r="C573" t="s">
        <v>26</v>
      </c>
      <c r="D573" t="s">
        <v>28</v>
      </c>
      <c r="E573" t="s">
        <v>48</v>
      </c>
      <c r="F573">
        <v>2661</v>
      </c>
      <c r="G573">
        <v>5</v>
      </c>
      <c r="H573">
        <v>12</v>
      </c>
      <c r="I573">
        <v>31932</v>
      </c>
      <c r="J573">
        <v>3831.84</v>
      </c>
      <c r="K573">
        <v>28100.16</v>
      </c>
      <c r="L573">
        <v>7983</v>
      </c>
      <c r="M573">
        <v>20117.16</v>
      </c>
      <c r="N573" s="1">
        <v>41760</v>
      </c>
      <c r="O573">
        <v>5</v>
      </c>
      <c r="P573" t="s">
        <v>46</v>
      </c>
      <c r="Q573">
        <v>2014</v>
      </c>
    </row>
    <row r="574" spans="1:17" x14ac:dyDescent="0.3">
      <c r="A574" t="str">
        <f t="shared" ca="1" si="8"/>
        <v>ORD-2014-Ger-3093</v>
      </c>
      <c r="B574" t="s">
        <v>17</v>
      </c>
      <c r="C574" t="s">
        <v>22</v>
      </c>
      <c r="D574" t="s">
        <v>38</v>
      </c>
      <c r="E574" t="s">
        <v>48</v>
      </c>
      <c r="F574">
        <v>1531</v>
      </c>
      <c r="G574">
        <v>10</v>
      </c>
      <c r="H574">
        <v>20</v>
      </c>
      <c r="I574">
        <v>30620</v>
      </c>
      <c r="J574">
        <v>3674.4</v>
      </c>
      <c r="K574">
        <v>26945.599999999999</v>
      </c>
      <c r="L574">
        <v>15310</v>
      </c>
      <c r="M574">
        <v>11635.6</v>
      </c>
      <c r="N574" s="1">
        <v>41974</v>
      </c>
      <c r="O574">
        <v>12</v>
      </c>
      <c r="P574" t="s">
        <v>27</v>
      </c>
      <c r="Q574">
        <v>2014</v>
      </c>
    </row>
    <row r="575" spans="1:17" x14ac:dyDescent="0.3">
      <c r="A575" t="str">
        <f t="shared" ca="1" si="8"/>
        <v>ORD-2014-Fra-9249</v>
      </c>
      <c r="B575" t="s">
        <v>17</v>
      </c>
      <c r="C575" t="s">
        <v>24</v>
      </c>
      <c r="D575" t="s">
        <v>42</v>
      </c>
      <c r="E575" t="s">
        <v>48</v>
      </c>
      <c r="F575">
        <v>1491</v>
      </c>
      <c r="G575">
        <v>250</v>
      </c>
      <c r="H575">
        <v>7</v>
      </c>
      <c r="I575">
        <v>10437</v>
      </c>
      <c r="J575">
        <v>1252.44</v>
      </c>
      <c r="K575">
        <v>9184.56</v>
      </c>
      <c r="L575">
        <v>7455</v>
      </c>
      <c r="M575">
        <v>1729.56</v>
      </c>
      <c r="N575" s="1">
        <v>41699</v>
      </c>
      <c r="O575">
        <v>3</v>
      </c>
      <c r="P575" t="s">
        <v>29</v>
      </c>
      <c r="Q575">
        <v>2014</v>
      </c>
    </row>
    <row r="576" spans="1:17" x14ac:dyDescent="0.3">
      <c r="A576" t="str">
        <f t="shared" ca="1" si="8"/>
        <v>ORD-2014-Ger-8589</v>
      </c>
      <c r="B576" t="s">
        <v>17</v>
      </c>
      <c r="C576" t="s">
        <v>22</v>
      </c>
      <c r="D576" t="s">
        <v>42</v>
      </c>
      <c r="E576" t="s">
        <v>48</v>
      </c>
      <c r="F576">
        <v>1531</v>
      </c>
      <c r="G576">
        <v>250</v>
      </c>
      <c r="H576">
        <v>20</v>
      </c>
      <c r="I576">
        <v>30620</v>
      </c>
      <c r="J576">
        <v>3674.4</v>
      </c>
      <c r="K576">
        <v>26945.599999999999</v>
      </c>
      <c r="L576">
        <v>15310</v>
      </c>
      <c r="M576">
        <v>11635.6</v>
      </c>
      <c r="N576" s="1">
        <v>41974</v>
      </c>
      <c r="O576">
        <v>12</v>
      </c>
      <c r="P576" t="s">
        <v>27</v>
      </c>
      <c r="Q576">
        <v>2014</v>
      </c>
    </row>
    <row r="577" spans="1:17" x14ac:dyDescent="0.3">
      <c r="A577" t="str">
        <f t="shared" ca="1" si="8"/>
        <v>ORD-2013-Ca0-2108</v>
      </c>
      <c r="B577" t="s">
        <v>30</v>
      </c>
      <c r="C577" t="s">
        <v>18</v>
      </c>
      <c r="D577" t="s">
        <v>44</v>
      </c>
      <c r="E577" t="s">
        <v>48</v>
      </c>
      <c r="F577">
        <v>2761</v>
      </c>
      <c r="G577">
        <v>260</v>
      </c>
      <c r="H577">
        <v>12</v>
      </c>
      <c r="I577">
        <v>33132</v>
      </c>
      <c r="J577">
        <v>3975.84</v>
      </c>
      <c r="K577">
        <v>29156.16</v>
      </c>
      <c r="L577">
        <v>8283</v>
      </c>
      <c r="M577">
        <v>20873.16</v>
      </c>
      <c r="N577" s="1">
        <v>41518</v>
      </c>
      <c r="O577">
        <v>9</v>
      </c>
      <c r="P577" t="s">
        <v>35</v>
      </c>
      <c r="Q577">
        <v>2013</v>
      </c>
    </row>
    <row r="578" spans="1:17" x14ac:dyDescent="0.3">
      <c r="A578" t="str">
        <f t="shared" ca="1" si="8"/>
        <v>ORD-2014-Uni-3938</v>
      </c>
      <c r="B578" t="s">
        <v>23</v>
      </c>
      <c r="C578" t="s">
        <v>37</v>
      </c>
      <c r="D578" t="s">
        <v>19</v>
      </c>
      <c r="E578" t="s">
        <v>48</v>
      </c>
      <c r="F578">
        <v>2567</v>
      </c>
      <c r="G578">
        <v>3</v>
      </c>
      <c r="H578">
        <v>15</v>
      </c>
      <c r="I578">
        <v>38505</v>
      </c>
      <c r="J578">
        <v>5005.6499999999996</v>
      </c>
      <c r="K578">
        <v>33499.35</v>
      </c>
      <c r="L578">
        <v>25670</v>
      </c>
      <c r="M578">
        <v>7829.35</v>
      </c>
      <c r="N578" s="1">
        <v>41791</v>
      </c>
      <c r="O578">
        <v>6</v>
      </c>
      <c r="P578" t="s">
        <v>25</v>
      </c>
      <c r="Q578">
        <v>2014</v>
      </c>
    </row>
    <row r="579" spans="1:17" x14ac:dyDescent="0.3">
      <c r="A579" t="str">
        <f t="shared" ref="A579:A642" ca="1" si="9">"ORD-" &amp; YEAR(N579) &amp; "-"  &amp; LEFT(C579,3) &amp; "-" &amp; RANDBETWEEN(1000,9999)</f>
        <v>ORD-2014-Uni-2550</v>
      </c>
      <c r="B579" t="s">
        <v>23</v>
      </c>
      <c r="C579" t="s">
        <v>37</v>
      </c>
      <c r="D579" t="s">
        <v>42</v>
      </c>
      <c r="E579" t="s">
        <v>48</v>
      </c>
      <c r="F579">
        <v>2567</v>
      </c>
      <c r="G579">
        <v>250</v>
      </c>
      <c r="H579">
        <v>15</v>
      </c>
      <c r="I579">
        <v>38505</v>
      </c>
      <c r="J579">
        <v>5005.6499999999996</v>
      </c>
      <c r="K579">
        <v>33499.35</v>
      </c>
      <c r="L579">
        <v>25670</v>
      </c>
      <c r="M579">
        <v>7829.35</v>
      </c>
      <c r="N579" s="1">
        <v>41791</v>
      </c>
      <c r="O579">
        <v>6</v>
      </c>
      <c r="P579" t="s">
        <v>25</v>
      </c>
      <c r="Q579">
        <v>2014</v>
      </c>
    </row>
    <row r="580" spans="1:17" x14ac:dyDescent="0.3">
      <c r="A580" t="str">
        <f t="shared" ca="1" si="9"/>
        <v>ORD-2014-Ca0-8410</v>
      </c>
      <c r="B580" t="s">
        <v>17</v>
      </c>
      <c r="C580" t="s">
        <v>18</v>
      </c>
      <c r="D580" t="s">
        <v>19</v>
      </c>
      <c r="E580" t="s">
        <v>48</v>
      </c>
      <c r="F580">
        <v>923</v>
      </c>
      <c r="G580">
        <v>3</v>
      </c>
      <c r="H580">
        <v>350</v>
      </c>
      <c r="I580">
        <v>323050</v>
      </c>
      <c r="J580">
        <v>41996.5</v>
      </c>
      <c r="K580">
        <v>281053.5</v>
      </c>
      <c r="L580">
        <v>239980</v>
      </c>
      <c r="M580">
        <v>41073.5</v>
      </c>
      <c r="N580" s="1">
        <v>41699</v>
      </c>
      <c r="O580">
        <v>3</v>
      </c>
      <c r="P580" t="s">
        <v>29</v>
      </c>
      <c r="Q580">
        <v>2014</v>
      </c>
    </row>
    <row r="581" spans="1:17" x14ac:dyDescent="0.3">
      <c r="A581" t="str">
        <f t="shared" ca="1" si="9"/>
        <v>ORD-2014-Fra-5670</v>
      </c>
      <c r="B581" t="s">
        <v>17</v>
      </c>
      <c r="C581" t="s">
        <v>24</v>
      </c>
      <c r="D581" t="s">
        <v>19</v>
      </c>
      <c r="E581" t="s">
        <v>48</v>
      </c>
      <c r="F581">
        <v>1790</v>
      </c>
      <c r="G581">
        <v>3</v>
      </c>
      <c r="H581">
        <v>350</v>
      </c>
      <c r="I581">
        <v>626500</v>
      </c>
      <c r="J581">
        <v>81445</v>
      </c>
      <c r="K581">
        <v>545055</v>
      </c>
      <c r="L581">
        <v>465400</v>
      </c>
      <c r="M581">
        <v>79655</v>
      </c>
      <c r="N581" s="1">
        <v>41699</v>
      </c>
      <c r="O581">
        <v>3</v>
      </c>
      <c r="P581" t="s">
        <v>29</v>
      </c>
      <c r="Q581">
        <v>2014</v>
      </c>
    </row>
    <row r="582" spans="1:17" x14ac:dyDescent="0.3">
      <c r="A582" t="str">
        <f t="shared" ca="1" si="9"/>
        <v>ORD-2013-Ger-3638</v>
      </c>
      <c r="B582" t="s">
        <v>17</v>
      </c>
      <c r="C582" t="s">
        <v>22</v>
      </c>
      <c r="D582" t="s">
        <v>19</v>
      </c>
      <c r="E582" t="s">
        <v>48</v>
      </c>
      <c r="F582">
        <v>442</v>
      </c>
      <c r="G582">
        <v>3</v>
      </c>
      <c r="H582">
        <v>20</v>
      </c>
      <c r="I582">
        <v>8840</v>
      </c>
      <c r="J582">
        <v>1149.2</v>
      </c>
      <c r="K582">
        <v>7690.8</v>
      </c>
      <c r="L582">
        <v>4420</v>
      </c>
      <c r="M582">
        <v>3270.8</v>
      </c>
      <c r="N582" s="1">
        <v>41518</v>
      </c>
      <c r="O582">
        <v>9</v>
      </c>
      <c r="P582" t="s">
        <v>35</v>
      </c>
      <c r="Q582">
        <v>2013</v>
      </c>
    </row>
    <row r="583" spans="1:17" x14ac:dyDescent="0.3">
      <c r="A583" t="str">
        <f t="shared" ca="1" si="9"/>
        <v>ORD-2014-Uni-5498</v>
      </c>
      <c r="B583" t="s">
        <v>17</v>
      </c>
      <c r="C583" t="s">
        <v>37</v>
      </c>
      <c r="D583" t="s">
        <v>28</v>
      </c>
      <c r="E583" t="s">
        <v>48</v>
      </c>
      <c r="F583">
        <v>982.5</v>
      </c>
      <c r="G583">
        <v>5</v>
      </c>
      <c r="H583">
        <v>350</v>
      </c>
      <c r="I583">
        <v>343875</v>
      </c>
      <c r="J583">
        <v>44703.75</v>
      </c>
      <c r="K583">
        <v>299171.25</v>
      </c>
      <c r="L583">
        <v>255450</v>
      </c>
      <c r="M583">
        <v>43721.25</v>
      </c>
      <c r="N583" s="1">
        <v>41640</v>
      </c>
      <c r="O583">
        <v>1</v>
      </c>
      <c r="P583" t="s">
        <v>21</v>
      </c>
      <c r="Q583">
        <v>2014</v>
      </c>
    </row>
    <row r="584" spans="1:17" x14ac:dyDescent="0.3">
      <c r="A584" t="str">
        <f t="shared" ca="1" si="9"/>
        <v>ORD-2014-Uni-1128</v>
      </c>
      <c r="B584" t="s">
        <v>17</v>
      </c>
      <c r="C584" t="s">
        <v>37</v>
      </c>
      <c r="D584" t="s">
        <v>28</v>
      </c>
      <c r="E584" t="s">
        <v>48</v>
      </c>
      <c r="F584">
        <v>1298</v>
      </c>
      <c r="G584">
        <v>5</v>
      </c>
      <c r="H584">
        <v>7</v>
      </c>
      <c r="I584">
        <v>9086</v>
      </c>
      <c r="J584">
        <v>1181.18</v>
      </c>
      <c r="K584">
        <v>7904.82</v>
      </c>
      <c r="L584">
        <v>6490</v>
      </c>
      <c r="M584">
        <v>1414.82</v>
      </c>
      <c r="N584" s="1">
        <v>41671</v>
      </c>
      <c r="O584">
        <v>2</v>
      </c>
      <c r="P584" t="s">
        <v>39</v>
      </c>
      <c r="Q584">
        <v>2014</v>
      </c>
    </row>
    <row r="585" spans="1:17" x14ac:dyDescent="0.3">
      <c r="A585" t="str">
        <f t="shared" ca="1" si="9"/>
        <v>ORD-2014-Mex-1460</v>
      </c>
      <c r="B585" t="s">
        <v>30</v>
      </c>
      <c r="C585" t="s">
        <v>26</v>
      </c>
      <c r="D585" t="s">
        <v>28</v>
      </c>
      <c r="E585" t="s">
        <v>48</v>
      </c>
      <c r="F585">
        <v>604</v>
      </c>
      <c r="G585">
        <v>5</v>
      </c>
      <c r="H585">
        <v>12</v>
      </c>
      <c r="I585">
        <v>7248</v>
      </c>
      <c r="J585">
        <v>942.24</v>
      </c>
      <c r="K585">
        <v>6305.76</v>
      </c>
      <c r="L585">
        <v>1812</v>
      </c>
      <c r="M585">
        <v>4493.76</v>
      </c>
      <c r="N585" s="1">
        <v>41791</v>
      </c>
      <c r="O585">
        <v>6</v>
      </c>
      <c r="P585" t="s">
        <v>25</v>
      </c>
      <c r="Q585">
        <v>2014</v>
      </c>
    </row>
    <row r="586" spans="1:17" x14ac:dyDescent="0.3">
      <c r="A586" t="str">
        <f t="shared" ca="1" si="9"/>
        <v>ORD-2014-Mex-1545</v>
      </c>
      <c r="B586" t="s">
        <v>17</v>
      </c>
      <c r="C586" t="s">
        <v>26</v>
      </c>
      <c r="D586" t="s">
        <v>28</v>
      </c>
      <c r="E586" t="s">
        <v>48</v>
      </c>
      <c r="F586">
        <v>2255</v>
      </c>
      <c r="G586">
        <v>5</v>
      </c>
      <c r="H586">
        <v>20</v>
      </c>
      <c r="I586">
        <v>45100</v>
      </c>
      <c r="J586">
        <v>5863</v>
      </c>
      <c r="K586">
        <v>39237</v>
      </c>
      <c r="L586">
        <v>22550</v>
      </c>
      <c r="M586">
        <v>16687</v>
      </c>
      <c r="N586" s="1">
        <v>41821</v>
      </c>
      <c r="O586">
        <v>7</v>
      </c>
      <c r="P586" t="s">
        <v>32</v>
      </c>
      <c r="Q586">
        <v>2014</v>
      </c>
    </row>
    <row r="587" spans="1:17" x14ac:dyDescent="0.3">
      <c r="A587" t="str">
        <f t="shared" ca="1" si="9"/>
        <v>ORD-2014-Ca0-9383</v>
      </c>
      <c r="B587" t="s">
        <v>17</v>
      </c>
      <c r="C587" t="s">
        <v>18</v>
      </c>
      <c r="D587" t="s">
        <v>28</v>
      </c>
      <c r="E587" t="s">
        <v>48</v>
      </c>
      <c r="F587">
        <v>1249</v>
      </c>
      <c r="G587">
        <v>5</v>
      </c>
      <c r="H587">
        <v>20</v>
      </c>
      <c r="I587">
        <v>24980</v>
      </c>
      <c r="J587">
        <v>3247.4</v>
      </c>
      <c r="K587">
        <v>21732.6</v>
      </c>
      <c r="L587">
        <v>12490</v>
      </c>
      <c r="M587">
        <v>9242.6</v>
      </c>
      <c r="N587" s="1">
        <v>41913</v>
      </c>
      <c r="O587">
        <v>10</v>
      </c>
      <c r="P587" t="s">
        <v>36</v>
      </c>
      <c r="Q587">
        <v>2014</v>
      </c>
    </row>
    <row r="588" spans="1:17" x14ac:dyDescent="0.3">
      <c r="A588" t="str">
        <f t="shared" ca="1" si="9"/>
        <v>ORD-2014-Uni-7435</v>
      </c>
      <c r="B588" t="s">
        <v>17</v>
      </c>
      <c r="C588" t="s">
        <v>37</v>
      </c>
      <c r="D588" t="s">
        <v>38</v>
      </c>
      <c r="E588" t="s">
        <v>48</v>
      </c>
      <c r="F588">
        <v>1438.5</v>
      </c>
      <c r="G588">
        <v>10</v>
      </c>
      <c r="H588">
        <v>7</v>
      </c>
      <c r="I588">
        <v>10069.5</v>
      </c>
      <c r="J588">
        <v>1309.04</v>
      </c>
      <c r="K588">
        <v>8760.4699999999993</v>
      </c>
      <c r="L588">
        <v>7192.5</v>
      </c>
      <c r="M588">
        <v>1567.97</v>
      </c>
      <c r="N588" s="1">
        <v>41640</v>
      </c>
      <c r="O588">
        <v>1</v>
      </c>
      <c r="P588" t="s">
        <v>21</v>
      </c>
      <c r="Q588">
        <v>2014</v>
      </c>
    </row>
    <row r="589" spans="1:17" x14ac:dyDescent="0.3">
      <c r="A589" t="str">
        <f t="shared" ca="1" si="9"/>
        <v>ORD-2014-Ger-7291</v>
      </c>
      <c r="B589" t="s">
        <v>33</v>
      </c>
      <c r="C589" t="s">
        <v>22</v>
      </c>
      <c r="D589" t="s">
        <v>38</v>
      </c>
      <c r="E589" t="s">
        <v>48</v>
      </c>
      <c r="F589">
        <v>807</v>
      </c>
      <c r="G589">
        <v>10</v>
      </c>
      <c r="H589">
        <v>300</v>
      </c>
      <c r="I589">
        <v>242100</v>
      </c>
      <c r="J589">
        <v>31473</v>
      </c>
      <c r="K589">
        <v>210627</v>
      </c>
      <c r="L589">
        <v>201750</v>
      </c>
      <c r="M589">
        <v>8877</v>
      </c>
      <c r="N589" s="1">
        <v>41640</v>
      </c>
      <c r="O589">
        <v>1</v>
      </c>
      <c r="P589" t="s">
        <v>21</v>
      </c>
      <c r="Q589">
        <v>2014</v>
      </c>
    </row>
    <row r="590" spans="1:17" x14ac:dyDescent="0.3">
      <c r="A590" t="str">
        <f t="shared" ca="1" si="9"/>
        <v>ORD-2014-Uni-2342</v>
      </c>
      <c r="B590" t="s">
        <v>17</v>
      </c>
      <c r="C590" t="s">
        <v>37</v>
      </c>
      <c r="D590" t="s">
        <v>38</v>
      </c>
      <c r="E590" t="s">
        <v>48</v>
      </c>
      <c r="F590">
        <v>2641</v>
      </c>
      <c r="G590">
        <v>10</v>
      </c>
      <c r="H590">
        <v>20</v>
      </c>
      <c r="I590">
        <v>52820</v>
      </c>
      <c r="J590">
        <v>6866.6</v>
      </c>
      <c r="K590">
        <v>45953.4</v>
      </c>
      <c r="L590">
        <v>26410</v>
      </c>
      <c r="M590">
        <v>19543.400000000001</v>
      </c>
      <c r="N590" s="1">
        <v>41671</v>
      </c>
      <c r="O590">
        <v>2</v>
      </c>
      <c r="P590" t="s">
        <v>39</v>
      </c>
      <c r="Q590">
        <v>2014</v>
      </c>
    </row>
    <row r="591" spans="1:17" x14ac:dyDescent="0.3">
      <c r="A591" t="str">
        <f t="shared" ca="1" si="9"/>
        <v>ORD-2014-Ger-9936</v>
      </c>
      <c r="B591" t="s">
        <v>17</v>
      </c>
      <c r="C591" t="s">
        <v>22</v>
      </c>
      <c r="D591" t="s">
        <v>38</v>
      </c>
      <c r="E591" t="s">
        <v>48</v>
      </c>
      <c r="F591">
        <v>2708</v>
      </c>
      <c r="G591">
        <v>10</v>
      </c>
      <c r="H591">
        <v>20</v>
      </c>
      <c r="I591">
        <v>54160</v>
      </c>
      <c r="J591">
        <v>7040.8</v>
      </c>
      <c r="K591">
        <v>47119.199999999997</v>
      </c>
      <c r="L591">
        <v>27080</v>
      </c>
      <c r="M591">
        <v>20039.2</v>
      </c>
      <c r="N591" s="1">
        <v>41671</v>
      </c>
      <c r="O591">
        <v>2</v>
      </c>
      <c r="P591" t="s">
        <v>39</v>
      </c>
      <c r="Q591">
        <v>2014</v>
      </c>
    </row>
    <row r="592" spans="1:17" x14ac:dyDescent="0.3">
      <c r="A592" t="str">
        <f t="shared" ca="1" si="9"/>
        <v>ORD-2014-Ca0-9090</v>
      </c>
      <c r="B592" t="s">
        <v>17</v>
      </c>
      <c r="C592" t="s">
        <v>18</v>
      </c>
      <c r="D592" t="s">
        <v>38</v>
      </c>
      <c r="E592" t="s">
        <v>48</v>
      </c>
      <c r="F592">
        <v>2632</v>
      </c>
      <c r="G592">
        <v>10</v>
      </c>
      <c r="H592">
        <v>350</v>
      </c>
      <c r="I592">
        <v>921200</v>
      </c>
      <c r="J592">
        <v>119756</v>
      </c>
      <c r="K592">
        <v>801444</v>
      </c>
      <c r="L592">
        <v>684320</v>
      </c>
      <c r="M592">
        <v>117124</v>
      </c>
      <c r="N592" s="1">
        <v>41791</v>
      </c>
      <c r="O592">
        <v>6</v>
      </c>
      <c r="P592" t="s">
        <v>25</v>
      </c>
      <c r="Q592">
        <v>2014</v>
      </c>
    </row>
    <row r="593" spans="1:17" x14ac:dyDescent="0.3">
      <c r="A593" t="str">
        <f t="shared" ca="1" si="9"/>
        <v>ORD-2014-Ca0-4987</v>
      </c>
      <c r="B593" t="s">
        <v>31</v>
      </c>
      <c r="C593" t="s">
        <v>18</v>
      </c>
      <c r="D593" t="s">
        <v>38</v>
      </c>
      <c r="E593" t="s">
        <v>48</v>
      </c>
      <c r="F593">
        <v>1583</v>
      </c>
      <c r="G593">
        <v>10</v>
      </c>
      <c r="H593">
        <v>125</v>
      </c>
      <c r="I593">
        <v>197875</v>
      </c>
      <c r="J593">
        <v>25723.75</v>
      </c>
      <c r="K593">
        <v>172151.25</v>
      </c>
      <c r="L593">
        <v>189960</v>
      </c>
      <c r="M593">
        <f>K593-L593</f>
        <v>-17808.75</v>
      </c>
      <c r="N593" s="1">
        <v>41791</v>
      </c>
      <c r="O593">
        <v>6</v>
      </c>
      <c r="P593" t="s">
        <v>25</v>
      </c>
      <c r="Q593">
        <v>2014</v>
      </c>
    </row>
    <row r="594" spans="1:17" x14ac:dyDescent="0.3">
      <c r="A594" t="str">
        <f t="shared" ca="1" si="9"/>
        <v>ORD-2014-Mex-2432</v>
      </c>
      <c r="B594" t="s">
        <v>30</v>
      </c>
      <c r="C594" t="s">
        <v>26</v>
      </c>
      <c r="D594" t="s">
        <v>38</v>
      </c>
      <c r="E594" t="s">
        <v>48</v>
      </c>
      <c r="F594">
        <v>571</v>
      </c>
      <c r="G594">
        <v>10</v>
      </c>
      <c r="H594">
        <v>12</v>
      </c>
      <c r="I594">
        <v>6852</v>
      </c>
      <c r="J594">
        <v>890.76</v>
      </c>
      <c r="K594">
        <v>5961.24</v>
      </c>
      <c r="L594">
        <v>1713</v>
      </c>
      <c r="M594">
        <v>4248.24</v>
      </c>
      <c r="N594" s="1">
        <v>41821</v>
      </c>
      <c r="O594">
        <v>7</v>
      </c>
      <c r="P594" t="s">
        <v>32</v>
      </c>
      <c r="Q594">
        <v>2014</v>
      </c>
    </row>
    <row r="595" spans="1:17" x14ac:dyDescent="0.3">
      <c r="A595" t="str">
        <f t="shared" ca="1" si="9"/>
        <v>ORD-2014-Fra-2811</v>
      </c>
      <c r="B595" t="s">
        <v>17</v>
      </c>
      <c r="C595" t="s">
        <v>24</v>
      </c>
      <c r="D595" t="s">
        <v>38</v>
      </c>
      <c r="E595" t="s">
        <v>48</v>
      </c>
      <c r="F595">
        <v>2696</v>
      </c>
      <c r="G595">
        <v>10</v>
      </c>
      <c r="H595">
        <v>7</v>
      </c>
      <c r="I595">
        <v>18872</v>
      </c>
      <c r="J595">
        <v>2453.36</v>
      </c>
      <c r="K595">
        <v>16418.64</v>
      </c>
      <c r="L595">
        <v>13480</v>
      </c>
      <c r="M595">
        <v>2938.64</v>
      </c>
      <c r="N595" s="1">
        <v>41852</v>
      </c>
      <c r="O595">
        <v>8</v>
      </c>
      <c r="P595" t="s">
        <v>34</v>
      </c>
      <c r="Q595">
        <v>2014</v>
      </c>
    </row>
    <row r="596" spans="1:17" x14ac:dyDescent="0.3">
      <c r="A596" t="str">
        <f t="shared" ca="1" si="9"/>
        <v>ORD-2014-Ca0-5256</v>
      </c>
      <c r="B596" t="s">
        <v>23</v>
      </c>
      <c r="C596" t="s">
        <v>18</v>
      </c>
      <c r="D596" t="s">
        <v>38</v>
      </c>
      <c r="E596" t="s">
        <v>48</v>
      </c>
      <c r="F596">
        <v>1565</v>
      </c>
      <c r="G596">
        <v>10</v>
      </c>
      <c r="H596">
        <v>15</v>
      </c>
      <c r="I596">
        <v>23475</v>
      </c>
      <c r="J596">
        <v>3051.75</v>
      </c>
      <c r="K596">
        <v>20423.25</v>
      </c>
      <c r="L596">
        <v>15650</v>
      </c>
      <c r="M596">
        <v>4773.25</v>
      </c>
      <c r="N596" s="1">
        <v>41913</v>
      </c>
      <c r="O596">
        <v>10</v>
      </c>
      <c r="P596" t="s">
        <v>36</v>
      </c>
      <c r="Q596">
        <v>2014</v>
      </c>
    </row>
    <row r="597" spans="1:17" x14ac:dyDescent="0.3">
      <c r="A597" t="str">
        <f t="shared" ca="1" si="9"/>
        <v>ORD-2014-Ca0-8018</v>
      </c>
      <c r="B597" t="s">
        <v>17</v>
      </c>
      <c r="C597" t="s">
        <v>18</v>
      </c>
      <c r="D597" t="s">
        <v>38</v>
      </c>
      <c r="E597" t="s">
        <v>48</v>
      </c>
      <c r="F597">
        <v>1249</v>
      </c>
      <c r="G597">
        <v>10</v>
      </c>
      <c r="H597">
        <v>20</v>
      </c>
      <c r="I597">
        <v>24980</v>
      </c>
      <c r="J597">
        <v>3247.4</v>
      </c>
      <c r="K597">
        <v>21732.6</v>
      </c>
      <c r="L597">
        <v>12490</v>
      </c>
      <c r="M597">
        <v>9242.6</v>
      </c>
      <c r="N597" s="1">
        <v>41913</v>
      </c>
      <c r="O597">
        <v>10</v>
      </c>
      <c r="P597" t="s">
        <v>36</v>
      </c>
      <c r="Q597">
        <v>2014</v>
      </c>
    </row>
    <row r="598" spans="1:17" x14ac:dyDescent="0.3">
      <c r="A598" t="str">
        <f t="shared" ca="1" si="9"/>
        <v>ORD-2014-Ger-9054</v>
      </c>
      <c r="B598" t="s">
        <v>17</v>
      </c>
      <c r="C598" t="s">
        <v>22</v>
      </c>
      <c r="D598" t="s">
        <v>38</v>
      </c>
      <c r="E598" t="s">
        <v>48</v>
      </c>
      <c r="F598">
        <v>357</v>
      </c>
      <c r="G598">
        <v>10</v>
      </c>
      <c r="H598">
        <v>350</v>
      </c>
      <c r="I598">
        <v>124950</v>
      </c>
      <c r="J598">
        <v>16243.5</v>
      </c>
      <c r="K598">
        <v>108706.5</v>
      </c>
      <c r="L598">
        <v>92820</v>
      </c>
      <c r="M598">
        <v>15886.5</v>
      </c>
      <c r="N598" s="1">
        <v>41944</v>
      </c>
      <c r="O598">
        <v>11</v>
      </c>
      <c r="P598" t="s">
        <v>40</v>
      </c>
      <c r="Q598">
        <v>2014</v>
      </c>
    </row>
    <row r="599" spans="1:17" x14ac:dyDescent="0.3">
      <c r="A599" t="str">
        <f t="shared" ca="1" si="9"/>
        <v>ORD-2014-Ger-3845</v>
      </c>
      <c r="B599" t="s">
        <v>30</v>
      </c>
      <c r="C599" t="s">
        <v>22</v>
      </c>
      <c r="D599" t="s">
        <v>38</v>
      </c>
      <c r="E599" t="s">
        <v>48</v>
      </c>
      <c r="F599">
        <v>1013</v>
      </c>
      <c r="G599">
        <v>10</v>
      </c>
      <c r="H599">
        <v>12</v>
      </c>
      <c r="I599">
        <v>12156</v>
      </c>
      <c r="J599">
        <v>1580.28</v>
      </c>
      <c r="K599">
        <v>10575.72</v>
      </c>
      <c r="L599">
        <v>3039</v>
      </c>
      <c r="M599">
        <v>7536.72</v>
      </c>
      <c r="N599" s="1">
        <v>41974</v>
      </c>
      <c r="O599">
        <v>12</v>
      </c>
      <c r="P599" t="s">
        <v>27</v>
      </c>
      <c r="Q599">
        <v>2014</v>
      </c>
    </row>
    <row r="600" spans="1:17" x14ac:dyDescent="0.3">
      <c r="A600" t="str">
        <f t="shared" ca="1" si="9"/>
        <v>ORD-2014-Fra-7738</v>
      </c>
      <c r="B600" t="s">
        <v>23</v>
      </c>
      <c r="C600" t="s">
        <v>24</v>
      </c>
      <c r="D600" t="s">
        <v>41</v>
      </c>
      <c r="E600" t="s">
        <v>48</v>
      </c>
      <c r="F600">
        <v>3997.5</v>
      </c>
      <c r="G600">
        <v>120</v>
      </c>
      <c r="H600">
        <v>15</v>
      </c>
      <c r="I600">
        <v>59962.5</v>
      </c>
      <c r="J600">
        <v>7795.13</v>
      </c>
      <c r="K600">
        <v>52167.38</v>
      </c>
      <c r="L600">
        <v>39975</v>
      </c>
      <c r="M600">
        <v>12192.38</v>
      </c>
      <c r="N600" s="1">
        <v>41640</v>
      </c>
      <c r="O600">
        <v>1</v>
      </c>
      <c r="P600" t="s">
        <v>21</v>
      </c>
      <c r="Q600">
        <v>2014</v>
      </c>
    </row>
    <row r="601" spans="1:17" x14ac:dyDescent="0.3">
      <c r="A601" t="str">
        <f t="shared" ca="1" si="9"/>
        <v>ORD-2014-Ca0-8602</v>
      </c>
      <c r="B601" t="s">
        <v>17</v>
      </c>
      <c r="C601" t="s">
        <v>18</v>
      </c>
      <c r="D601" t="s">
        <v>41</v>
      </c>
      <c r="E601" t="s">
        <v>48</v>
      </c>
      <c r="F601">
        <v>2632</v>
      </c>
      <c r="G601">
        <v>120</v>
      </c>
      <c r="H601">
        <v>350</v>
      </c>
      <c r="I601">
        <v>921200</v>
      </c>
      <c r="J601">
        <v>119756</v>
      </c>
      <c r="K601">
        <v>801444</v>
      </c>
      <c r="L601">
        <v>684320</v>
      </c>
      <c r="M601">
        <v>117124</v>
      </c>
      <c r="N601" s="1">
        <v>41791</v>
      </c>
      <c r="O601">
        <v>6</v>
      </c>
      <c r="P601" t="s">
        <v>25</v>
      </c>
      <c r="Q601">
        <v>2014</v>
      </c>
    </row>
    <row r="602" spans="1:17" x14ac:dyDescent="0.3">
      <c r="A602" t="str">
        <f t="shared" ca="1" si="9"/>
        <v>ORD-2014-Fra-5262</v>
      </c>
      <c r="B602" t="s">
        <v>17</v>
      </c>
      <c r="C602" t="s">
        <v>24</v>
      </c>
      <c r="D602" t="s">
        <v>41</v>
      </c>
      <c r="E602" t="s">
        <v>48</v>
      </c>
      <c r="F602">
        <v>1190</v>
      </c>
      <c r="G602">
        <v>120</v>
      </c>
      <c r="H602">
        <v>7</v>
      </c>
      <c r="I602">
        <v>8330</v>
      </c>
      <c r="J602">
        <v>1082.9000000000001</v>
      </c>
      <c r="K602">
        <v>7247.1</v>
      </c>
      <c r="L602">
        <v>5950</v>
      </c>
      <c r="M602">
        <v>1297.0999999999999</v>
      </c>
      <c r="N602" s="1">
        <v>41791</v>
      </c>
      <c r="O602">
        <v>6</v>
      </c>
      <c r="P602" t="s">
        <v>25</v>
      </c>
      <c r="Q602">
        <v>2014</v>
      </c>
    </row>
    <row r="603" spans="1:17" x14ac:dyDescent="0.3">
      <c r="A603" t="str">
        <f t="shared" ca="1" si="9"/>
        <v>ORD-2014-Mex-3016</v>
      </c>
      <c r="B603" t="s">
        <v>30</v>
      </c>
      <c r="C603" t="s">
        <v>26</v>
      </c>
      <c r="D603" t="s">
        <v>41</v>
      </c>
      <c r="E603" t="s">
        <v>48</v>
      </c>
      <c r="F603">
        <v>604</v>
      </c>
      <c r="G603">
        <v>120</v>
      </c>
      <c r="H603">
        <v>12</v>
      </c>
      <c r="I603">
        <v>7248</v>
      </c>
      <c r="J603">
        <v>942.24</v>
      </c>
      <c r="K603">
        <v>6305.76</v>
      </c>
      <c r="L603">
        <v>1812</v>
      </c>
      <c r="M603">
        <v>4493.76</v>
      </c>
      <c r="N603" s="1">
        <v>41791</v>
      </c>
      <c r="O603">
        <v>6</v>
      </c>
      <c r="P603" t="s">
        <v>25</v>
      </c>
      <c r="Q603">
        <v>2014</v>
      </c>
    </row>
    <row r="604" spans="1:17" x14ac:dyDescent="0.3">
      <c r="A604" t="str">
        <f t="shared" ca="1" si="9"/>
        <v>ORD-2013-Ger-8279</v>
      </c>
      <c r="B604" t="s">
        <v>23</v>
      </c>
      <c r="C604" t="s">
        <v>22</v>
      </c>
      <c r="D604" t="s">
        <v>41</v>
      </c>
      <c r="E604" t="s">
        <v>48</v>
      </c>
      <c r="F604">
        <v>660</v>
      </c>
      <c r="G604">
        <v>120</v>
      </c>
      <c r="H604">
        <v>15</v>
      </c>
      <c r="I604">
        <v>9900</v>
      </c>
      <c r="J604">
        <v>1287</v>
      </c>
      <c r="K604">
        <v>8613</v>
      </c>
      <c r="L604">
        <v>6600</v>
      </c>
      <c r="M604">
        <v>2013</v>
      </c>
      <c r="N604" s="1">
        <v>41518</v>
      </c>
      <c r="O604">
        <v>9</v>
      </c>
      <c r="P604" t="s">
        <v>35</v>
      </c>
      <c r="Q604">
        <v>2013</v>
      </c>
    </row>
    <row r="605" spans="1:17" x14ac:dyDescent="0.3">
      <c r="A605" t="str">
        <f t="shared" ca="1" si="9"/>
        <v>ORD-2014-Mex-4626</v>
      </c>
      <c r="B605" t="s">
        <v>30</v>
      </c>
      <c r="C605" t="s">
        <v>26</v>
      </c>
      <c r="D605" t="s">
        <v>41</v>
      </c>
      <c r="E605" t="s">
        <v>48</v>
      </c>
      <c r="F605">
        <v>410</v>
      </c>
      <c r="G605">
        <v>120</v>
      </c>
      <c r="H605">
        <v>12</v>
      </c>
      <c r="I605">
        <v>4920</v>
      </c>
      <c r="J605">
        <v>639.6</v>
      </c>
      <c r="K605">
        <v>4280.3999999999996</v>
      </c>
      <c r="L605">
        <v>1230</v>
      </c>
      <c r="M605">
        <v>3050.4</v>
      </c>
      <c r="N605" s="1">
        <v>41913</v>
      </c>
      <c r="O605">
        <v>10</v>
      </c>
      <c r="P605" t="s">
        <v>36</v>
      </c>
      <c r="Q605">
        <v>2014</v>
      </c>
    </row>
    <row r="606" spans="1:17" x14ac:dyDescent="0.3">
      <c r="A606" t="str">
        <f t="shared" ca="1" si="9"/>
        <v>ORD-2013-Mex-8748</v>
      </c>
      <c r="B606" t="s">
        <v>33</v>
      </c>
      <c r="C606" t="s">
        <v>26</v>
      </c>
      <c r="D606" t="s">
        <v>41</v>
      </c>
      <c r="E606" t="s">
        <v>48</v>
      </c>
      <c r="F606">
        <v>2605</v>
      </c>
      <c r="G606">
        <v>120</v>
      </c>
      <c r="H606">
        <v>300</v>
      </c>
      <c r="I606">
        <v>781500</v>
      </c>
      <c r="J606">
        <v>101595</v>
      </c>
      <c r="K606">
        <v>679905</v>
      </c>
      <c r="L606">
        <v>651250</v>
      </c>
      <c r="M606">
        <v>28655</v>
      </c>
      <c r="N606" s="1">
        <v>41579</v>
      </c>
      <c r="O606">
        <v>11</v>
      </c>
      <c r="P606" t="s">
        <v>40</v>
      </c>
      <c r="Q606">
        <v>2013</v>
      </c>
    </row>
    <row r="607" spans="1:17" x14ac:dyDescent="0.3">
      <c r="A607" t="str">
        <f t="shared" ca="1" si="9"/>
        <v>ORD-2014-Ger-2664</v>
      </c>
      <c r="B607" t="s">
        <v>30</v>
      </c>
      <c r="C607" t="s">
        <v>22</v>
      </c>
      <c r="D607" t="s">
        <v>41</v>
      </c>
      <c r="E607" t="s">
        <v>48</v>
      </c>
      <c r="F607">
        <v>1013</v>
      </c>
      <c r="G607">
        <v>120</v>
      </c>
      <c r="H607">
        <v>12</v>
      </c>
      <c r="I607">
        <v>12156</v>
      </c>
      <c r="J607">
        <v>1580.28</v>
      </c>
      <c r="K607">
        <v>10575.72</v>
      </c>
      <c r="L607">
        <v>3039</v>
      </c>
      <c r="M607">
        <v>7536.72</v>
      </c>
      <c r="N607" s="1">
        <v>41974</v>
      </c>
      <c r="O607">
        <v>12</v>
      </c>
      <c r="P607" t="s">
        <v>27</v>
      </c>
      <c r="Q607">
        <v>2014</v>
      </c>
    </row>
    <row r="608" spans="1:17" x14ac:dyDescent="0.3">
      <c r="A608" t="str">
        <f t="shared" ca="1" si="9"/>
        <v>ORD-2014-Ca0-2349</v>
      </c>
      <c r="B608" t="s">
        <v>31</v>
      </c>
      <c r="C608" t="s">
        <v>18</v>
      </c>
      <c r="D608" t="s">
        <v>42</v>
      </c>
      <c r="E608" t="s">
        <v>48</v>
      </c>
      <c r="F608">
        <v>1583</v>
      </c>
      <c r="G608">
        <v>250</v>
      </c>
      <c r="H608">
        <v>125</v>
      </c>
      <c r="I608">
        <v>197875</v>
      </c>
      <c r="J608">
        <v>25723.75</v>
      </c>
      <c r="K608">
        <v>172151.25</v>
      </c>
      <c r="L608">
        <v>189960</v>
      </c>
      <c r="M608">
        <f>K608-L608</f>
        <v>-17808.75</v>
      </c>
      <c r="N608" s="1">
        <v>41791</v>
      </c>
      <c r="O608">
        <v>6</v>
      </c>
      <c r="P608" t="s">
        <v>25</v>
      </c>
      <c r="Q608">
        <v>2014</v>
      </c>
    </row>
    <row r="609" spans="1:17" x14ac:dyDescent="0.3">
      <c r="A609" t="str">
        <f t="shared" ca="1" si="9"/>
        <v>ORD-2014-Ca0-7912</v>
      </c>
      <c r="B609" t="s">
        <v>23</v>
      </c>
      <c r="C609" t="s">
        <v>18</v>
      </c>
      <c r="D609" t="s">
        <v>42</v>
      </c>
      <c r="E609" t="s">
        <v>48</v>
      </c>
      <c r="F609">
        <v>1565</v>
      </c>
      <c r="G609">
        <v>250</v>
      </c>
      <c r="H609">
        <v>15</v>
      </c>
      <c r="I609">
        <v>23475</v>
      </c>
      <c r="J609">
        <v>3051.75</v>
      </c>
      <c r="K609">
        <v>20423.25</v>
      </c>
      <c r="L609">
        <v>15650</v>
      </c>
      <c r="M609">
        <v>4773.25</v>
      </c>
      <c r="N609" s="1">
        <v>41913</v>
      </c>
      <c r="O609">
        <v>10</v>
      </c>
      <c r="P609" t="s">
        <v>36</v>
      </c>
      <c r="Q609">
        <v>2014</v>
      </c>
    </row>
    <row r="610" spans="1:17" x14ac:dyDescent="0.3">
      <c r="A610" t="str">
        <f t="shared" ca="1" si="9"/>
        <v>ORD-2014-Ca0-3416</v>
      </c>
      <c r="B610" t="s">
        <v>31</v>
      </c>
      <c r="C610" t="s">
        <v>18</v>
      </c>
      <c r="D610" t="s">
        <v>44</v>
      </c>
      <c r="E610" t="s">
        <v>48</v>
      </c>
      <c r="F610">
        <v>1659</v>
      </c>
      <c r="G610">
        <v>260</v>
      </c>
      <c r="H610">
        <v>125</v>
      </c>
      <c r="I610">
        <v>207375</v>
      </c>
      <c r="J610">
        <v>26958.75</v>
      </c>
      <c r="K610">
        <v>180416.25</v>
      </c>
      <c r="L610">
        <v>199080</v>
      </c>
      <c r="M610">
        <f>K610-L610</f>
        <v>-18663.75</v>
      </c>
      <c r="N610" s="1">
        <v>41640</v>
      </c>
      <c r="O610">
        <v>1</v>
      </c>
      <c r="P610" t="s">
        <v>21</v>
      </c>
      <c r="Q610">
        <v>2014</v>
      </c>
    </row>
    <row r="611" spans="1:17" x14ac:dyDescent="0.3">
      <c r="A611" t="str">
        <f t="shared" ca="1" si="9"/>
        <v>ORD-2014-Fra-7819</v>
      </c>
      <c r="B611" t="s">
        <v>17</v>
      </c>
      <c r="C611" t="s">
        <v>24</v>
      </c>
      <c r="D611" t="s">
        <v>44</v>
      </c>
      <c r="E611" t="s">
        <v>48</v>
      </c>
      <c r="F611">
        <v>1190</v>
      </c>
      <c r="G611">
        <v>260</v>
      </c>
      <c r="H611">
        <v>7</v>
      </c>
      <c r="I611">
        <v>8330</v>
      </c>
      <c r="J611">
        <v>1082.9000000000001</v>
      </c>
      <c r="K611">
        <v>7247.1</v>
      </c>
      <c r="L611">
        <v>5950</v>
      </c>
      <c r="M611">
        <v>1297.0999999999999</v>
      </c>
      <c r="N611" s="1">
        <v>41791</v>
      </c>
      <c r="O611">
        <v>6</v>
      </c>
      <c r="P611" t="s">
        <v>25</v>
      </c>
      <c r="Q611">
        <v>2014</v>
      </c>
    </row>
    <row r="612" spans="1:17" x14ac:dyDescent="0.3">
      <c r="A612" t="str">
        <f t="shared" ca="1" si="9"/>
        <v>ORD-2014-Mex-7412</v>
      </c>
      <c r="B612" t="s">
        <v>30</v>
      </c>
      <c r="C612" t="s">
        <v>26</v>
      </c>
      <c r="D612" t="s">
        <v>44</v>
      </c>
      <c r="E612" t="s">
        <v>48</v>
      </c>
      <c r="F612">
        <v>410</v>
      </c>
      <c r="G612">
        <v>260</v>
      </c>
      <c r="H612">
        <v>12</v>
      </c>
      <c r="I612">
        <v>4920</v>
      </c>
      <c r="J612">
        <v>639.6</v>
      </c>
      <c r="K612">
        <v>4280.3999999999996</v>
      </c>
      <c r="L612">
        <v>1230</v>
      </c>
      <c r="M612">
        <v>3050.4</v>
      </c>
      <c r="N612" s="1">
        <v>41913</v>
      </c>
      <c r="O612">
        <v>10</v>
      </c>
      <c r="P612" t="s">
        <v>36</v>
      </c>
      <c r="Q612">
        <v>2014</v>
      </c>
    </row>
    <row r="613" spans="1:17" x14ac:dyDescent="0.3">
      <c r="A613" t="str">
        <f t="shared" ca="1" si="9"/>
        <v>ORD-2013-Ger-3197</v>
      </c>
      <c r="B613" t="s">
        <v>30</v>
      </c>
      <c r="C613" t="s">
        <v>22</v>
      </c>
      <c r="D613" t="s">
        <v>44</v>
      </c>
      <c r="E613" t="s">
        <v>48</v>
      </c>
      <c r="F613">
        <v>1770</v>
      </c>
      <c r="G613">
        <v>260</v>
      </c>
      <c r="H613">
        <v>12</v>
      </c>
      <c r="I613">
        <v>21240</v>
      </c>
      <c r="J613">
        <v>2761.2</v>
      </c>
      <c r="K613">
        <v>18478.8</v>
      </c>
      <c r="L613">
        <v>5310</v>
      </c>
      <c r="M613">
        <v>13168.8</v>
      </c>
      <c r="N613" s="1">
        <v>41609</v>
      </c>
      <c r="O613">
        <v>12</v>
      </c>
      <c r="P613" t="s">
        <v>27</v>
      </c>
      <c r="Q613">
        <v>2013</v>
      </c>
    </row>
    <row r="614" spans="1:17" x14ac:dyDescent="0.3">
      <c r="A614" t="str">
        <f t="shared" ca="1" si="9"/>
        <v>ORD-2014-Mex-8064</v>
      </c>
      <c r="B614" t="s">
        <v>17</v>
      </c>
      <c r="C614" t="s">
        <v>26</v>
      </c>
      <c r="D614" t="s">
        <v>19</v>
      </c>
      <c r="E614" t="s">
        <v>48</v>
      </c>
      <c r="F614">
        <v>2579</v>
      </c>
      <c r="G614">
        <v>3</v>
      </c>
      <c r="H614">
        <v>20</v>
      </c>
      <c r="I614">
        <v>51580</v>
      </c>
      <c r="J614">
        <v>7221.2</v>
      </c>
      <c r="K614">
        <v>44358.8</v>
      </c>
      <c r="L614">
        <v>25790</v>
      </c>
      <c r="M614">
        <v>18568.8</v>
      </c>
      <c r="N614" s="1">
        <v>41730</v>
      </c>
      <c r="O614">
        <v>4</v>
      </c>
      <c r="P614" t="s">
        <v>43</v>
      </c>
      <c r="Q614">
        <v>2014</v>
      </c>
    </row>
    <row r="615" spans="1:17" x14ac:dyDescent="0.3">
      <c r="A615" t="str">
        <f t="shared" ca="1" si="9"/>
        <v>ORD-2014-Uni-6016</v>
      </c>
      <c r="B615" t="s">
        <v>17</v>
      </c>
      <c r="C615" t="s">
        <v>37</v>
      </c>
      <c r="D615" t="s">
        <v>19</v>
      </c>
      <c r="E615" t="s">
        <v>48</v>
      </c>
      <c r="F615">
        <v>1743</v>
      </c>
      <c r="G615">
        <v>3</v>
      </c>
      <c r="H615">
        <v>20</v>
      </c>
      <c r="I615">
        <v>34860</v>
      </c>
      <c r="J615">
        <v>4880.3999999999996</v>
      </c>
      <c r="K615">
        <v>29979.599999999999</v>
      </c>
      <c r="L615">
        <v>17430</v>
      </c>
      <c r="M615">
        <v>12549.6</v>
      </c>
      <c r="N615" s="1">
        <v>41760</v>
      </c>
      <c r="O615">
        <v>5</v>
      </c>
      <c r="P615" t="s">
        <v>46</v>
      </c>
      <c r="Q615">
        <v>2014</v>
      </c>
    </row>
    <row r="616" spans="1:17" x14ac:dyDescent="0.3">
      <c r="A616" t="str">
        <f t="shared" ca="1" si="9"/>
        <v>ORD-2013-Uni-2315</v>
      </c>
      <c r="B616" t="s">
        <v>17</v>
      </c>
      <c r="C616" t="s">
        <v>37</v>
      </c>
      <c r="D616" t="s">
        <v>19</v>
      </c>
      <c r="E616" t="s">
        <v>48</v>
      </c>
      <c r="F616">
        <v>2996</v>
      </c>
      <c r="G616">
        <v>3</v>
      </c>
      <c r="H616">
        <v>7</v>
      </c>
      <c r="I616">
        <v>20972</v>
      </c>
      <c r="J616">
        <v>2936.08</v>
      </c>
      <c r="K616">
        <v>18035.919999999998</v>
      </c>
      <c r="L616">
        <v>14980</v>
      </c>
      <c r="M616">
        <v>3055.92</v>
      </c>
      <c r="N616" s="1">
        <v>41548</v>
      </c>
      <c r="O616">
        <v>10</v>
      </c>
      <c r="P616" t="s">
        <v>36</v>
      </c>
      <c r="Q616">
        <v>2013</v>
      </c>
    </row>
    <row r="617" spans="1:17" x14ac:dyDescent="0.3">
      <c r="A617" t="str">
        <f t="shared" ca="1" si="9"/>
        <v>ORD-2014-Ger-1949</v>
      </c>
      <c r="B617" t="s">
        <v>17</v>
      </c>
      <c r="C617" t="s">
        <v>22</v>
      </c>
      <c r="D617" t="s">
        <v>19</v>
      </c>
      <c r="E617" t="s">
        <v>48</v>
      </c>
      <c r="F617">
        <v>280</v>
      </c>
      <c r="G617">
        <v>3</v>
      </c>
      <c r="H617">
        <v>7</v>
      </c>
      <c r="I617">
        <v>1960</v>
      </c>
      <c r="J617">
        <v>274.39999999999998</v>
      </c>
      <c r="K617">
        <v>1685.6</v>
      </c>
      <c r="L617">
        <v>1400</v>
      </c>
      <c r="M617">
        <v>285.60000000000002</v>
      </c>
      <c r="N617" s="1">
        <v>41974</v>
      </c>
      <c r="O617">
        <v>12</v>
      </c>
      <c r="P617" t="s">
        <v>27</v>
      </c>
      <c r="Q617">
        <v>2014</v>
      </c>
    </row>
    <row r="618" spans="1:17" x14ac:dyDescent="0.3">
      <c r="A618" t="str">
        <f t="shared" ca="1" si="9"/>
        <v>ORD-2014-Fra-7982</v>
      </c>
      <c r="B618" t="s">
        <v>17</v>
      </c>
      <c r="C618" t="s">
        <v>24</v>
      </c>
      <c r="D618" t="s">
        <v>28</v>
      </c>
      <c r="E618" t="s">
        <v>48</v>
      </c>
      <c r="F618">
        <v>293</v>
      </c>
      <c r="G618">
        <v>5</v>
      </c>
      <c r="H618">
        <v>7</v>
      </c>
      <c r="I618">
        <v>2051</v>
      </c>
      <c r="J618">
        <v>287.14</v>
      </c>
      <c r="K618">
        <v>1763.86</v>
      </c>
      <c r="L618">
        <v>1465</v>
      </c>
      <c r="M618">
        <v>298.86</v>
      </c>
      <c r="N618" s="1">
        <v>41671</v>
      </c>
      <c r="O618">
        <v>2</v>
      </c>
      <c r="P618" t="s">
        <v>39</v>
      </c>
      <c r="Q618">
        <v>2014</v>
      </c>
    </row>
    <row r="619" spans="1:17" x14ac:dyDescent="0.3">
      <c r="A619" t="str">
        <f t="shared" ca="1" si="9"/>
        <v>ORD-2013-Uni-7958</v>
      </c>
      <c r="B619" t="s">
        <v>17</v>
      </c>
      <c r="C619" t="s">
        <v>37</v>
      </c>
      <c r="D619" t="s">
        <v>28</v>
      </c>
      <c r="E619" t="s">
        <v>48</v>
      </c>
      <c r="F619">
        <v>2996</v>
      </c>
      <c r="G619">
        <v>5</v>
      </c>
      <c r="H619">
        <v>7</v>
      </c>
      <c r="I619">
        <v>20972</v>
      </c>
      <c r="J619">
        <v>2936.08</v>
      </c>
      <c r="K619">
        <v>18035.919999999998</v>
      </c>
      <c r="L619">
        <v>14980</v>
      </c>
      <c r="M619">
        <v>3055.92</v>
      </c>
      <c r="N619" s="1">
        <v>41548</v>
      </c>
      <c r="O619">
        <v>10</v>
      </c>
      <c r="P619" t="s">
        <v>36</v>
      </c>
      <c r="Q619">
        <v>2013</v>
      </c>
    </row>
    <row r="620" spans="1:17" x14ac:dyDescent="0.3">
      <c r="A620" t="str">
        <f t="shared" ca="1" si="9"/>
        <v>ORD-2014-Ger-5883</v>
      </c>
      <c r="B620" t="s">
        <v>23</v>
      </c>
      <c r="C620" t="s">
        <v>22</v>
      </c>
      <c r="D620" t="s">
        <v>38</v>
      </c>
      <c r="E620" t="s">
        <v>48</v>
      </c>
      <c r="F620">
        <v>278</v>
      </c>
      <c r="G620">
        <v>10</v>
      </c>
      <c r="H620">
        <v>15</v>
      </c>
      <c r="I620">
        <v>4170</v>
      </c>
      <c r="J620">
        <v>583.79999999999995</v>
      </c>
      <c r="K620">
        <v>3586.2</v>
      </c>
      <c r="L620">
        <v>2780</v>
      </c>
      <c r="M620">
        <v>806.2</v>
      </c>
      <c r="N620" s="1">
        <v>41671</v>
      </c>
      <c r="O620">
        <v>2</v>
      </c>
      <c r="P620" t="s">
        <v>39</v>
      </c>
      <c r="Q620">
        <v>2014</v>
      </c>
    </row>
    <row r="621" spans="1:17" x14ac:dyDescent="0.3">
      <c r="A621" t="str">
        <f t="shared" ca="1" si="9"/>
        <v>ORD-2014-Ca0-3035</v>
      </c>
      <c r="B621" t="s">
        <v>17</v>
      </c>
      <c r="C621" t="s">
        <v>18</v>
      </c>
      <c r="D621" t="s">
        <v>38</v>
      </c>
      <c r="E621" t="s">
        <v>48</v>
      </c>
      <c r="F621">
        <v>2428</v>
      </c>
      <c r="G621">
        <v>10</v>
      </c>
      <c r="H621">
        <v>20</v>
      </c>
      <c r="I621">
        <v>48560</v>
      </c>
      <c r="J621">
        <v>6798.4</v>
      </c>
      <c r="K621">
        <v>41761.599999999999</v>
      </c>
      <c r="L621">
        <v>24280</v>
      </c>
      <c r="M621">
        <v>17481.599999999999</v>
      </c>
      <c r="N621" s="1">
        <v>41699</v>
      </c>
      <c r="O621">
        <v>3</v>
      </c>
      <c r="P621" t="s">
        <v>29</v>
      </c>
      <c r="Q621">
        <v>2014</v>
      </c>
    </row>
    <row r="622" spans="1:17" x14ac:dyDescent="0.3">
      <c r="A622" t="str">
        <f t="shared" ca="1" si="9"/>
        <v>ORD-2014-Uni-8489</v>
      </c>
      <c r="B622" t="s">
        <v>23</v>
      </c>
      <c r="C622" t="s">
        <v>37</v>
      </c>
      <c r="D622" t="s">
        <v>38</v>
      </c>
      <c r="E622" t="s">
        <v>48</v>
      </c>
      <c r="F622">
        <v>1767</v>
      </c>
      <c r="G622">
        <v>10</v>
      </c>
      <c r="H622">
        <v>15</v>
      </c>
      <c r="I622">
        <v>26505</v>
      </c>
      <c r="J622">
        <v>3710.7</v>
      </c>
      <c r="K622">
        <v>22794.3</v>
      </c>
      <c r="L622">
        <v>17670</v>
      </c>
      <c r="M622">
        <v>5124.3</v>
      </c>
      <c r="N622" s="1">
        <v>41883</v>
      </c>
      <c r="O622">
        <v>9</v>
      </c>
      <c r="P622" t="s">
        <v>35</v>
      </c>
      <c r="Q622">
        <v>2014</v>
      </c>
    </row>
    <row r="623" spans="1:17" x14ac:dyDescent="0.3">
      <c r="A623" t="str">
        <f t="shared" ca="1" si="9"/>
        <v>ORD-2014-Fra-4455</v>
      </c>
      <c r="B623" t="s">
        <v>30</v>
      </c>
      <c r="C623" t="s">
        <v>24</v>
      </c>
      <c r="D623" t="s">
        <v>38</v>
      </c>
      <c r="E623" t="s">
        <v>48</v>
      </c>
      <c r="F623">
        <v>1393</v>
      </c>
      <c r="G623">
        <v>10</v>
      </c>
      <c r="H623">
        <v>12</v>
      </c>
      <c r="I623">
        <v>16716</v>
      </c>
      <c r="J623">
        <v>2340.2399999999998</v>
      </c>
      <c r="K623">
        <v>14375.76</v>
      </c>
      <c r="L623">
        <v>4179</v>
      </c>
      <c r="M623">
        <v>10196.76</v>
      </c>
      <c r="N623" s="1">
        <v>41913</v>
      </c>
      <c r="O623">
        <v>10</v>
      </c>
      <c r="P623" t="s">
        <v>36</v>
      </c>
      <c r="Q623">
        <v>2014</v>
      </c>
    </row>
    <row r="624" spans="1:17" x14ac:dyDescent="0.3">
      <c r="A624" t="str">
        <f t="shared" ca="1" si="9"/>
        <v>ORD-2014-Ger-9623</v>
      </c>
      <c r="B624" t="s">
        <v>17</v>
      </c>
      <c r="C624" t="s">
        <v>22</v>
      </c>
      <c r="D624" t="s">
        <v>42</v>
      </c>
      <c r="E624" t="s">
        <v>48</v>
      </c>
      <c r="F624">
        <v>280</v>
      </c>
      <c r="G624">
        <v>250</v>
      </c>
      <c r="H624">
        <v>7</v>
      </c>
      <c r="I624">
        <v>1960</v>
      </c>
      <c r="J624">
        <v>274.39999999999998</v>
      </c>
      <c r="K624">
        <v>1685.6</v>
      </c>
      <c r="L624">
        <v>1400</v>
      </c>
      <c r="M624">
        <v>285.60000000000002</v>
      </c>
      <c r="N624" s="1">
        <v>41974</v>
      </c>
      <c r="O624">
        <v>12</v>
      </c>
      <c r="P624" t="s">
        <v>27</v>
      </c>
      <c r="Q624">
        <v>2014</v>
      </c>
    </row>
    <row r="625" spans="1:17" x14ac:dyDescent="0.3">
      <c r="A625" t="str">
        <f t="shared" ca="1" si="9"/>
        <v>ORD-2014-Fra-8643</v>
      </c>
      <c r="B625" t="s">
        <v>30</v>
      </c>
      <c r="C625" t="s">
        <v>24</v>
      </c>
      <c r="D625" t="s">
        <v>44</v>
      </c>
      <c r="E625" t="s">
        <v>48</v>
      </c>
      <c r="F625">
        <v>1393</v>
      </c>
      <c r="G625">
        <v>260</v>
      </c>
      <c r="H625">
        <v>12</v>
      </c>
      <c r="I625">
        <v>16716</v>
      </c>
      <c r="J625">
        <v>2340.2399999999998</v>
      </c>
      <c r="K625">
        <v>14375.76</v>
      </c>
      <c r="L625">
        <v>4179</v>
      </c>
      <c r="M625">
        <v>10196.76</v>
      </c>
      <c r="N625" s="1">
        <v>41913</v>
      </c>
      <c r="O625">
        <v>10</v>
      </c>
      <c r="P625" t="s">
        <v>36</v>
      </c>
      <c r="Q625">
        <v>2014</v>
      </c>
    </row>
    <row r="626" spans="1:17" x14ac:dyDescent="0.3">
      <c r="A626" t="str">
        <f t="shared" ca="1" si="9"/>
        <v>ORD-2013-Uni-9895</v>
      </c>
      <c r="B626" t="s">
        <v>30</v>
      </c>
      <c r="C626" t="s">
        <v>37</v>
      </c>
      <c r="D626" t="s">
        <v>44</v>
      </c>
      <c r="E626" t="s">
        <v>48</v>
      </c>
      <c r="F626">
        <v>2015</v>
      </c>
      <c r="G626">
        <v>260</v>
      </c>
      <c r="H626">
        <v>12</v>
      </c>
      <c r="I626">
        <v>24180</v>
      </c>
      <c r="J626">
        <v>3385.2</v>
      </c>
      <c r="K626">
        <v>20794.8</v>
      </c>
      <c r="L626">
        <v>6045</v>
      </c>
      <c r="M626">
        <v>14749.8</v>
      </c>
      <c r="N626" s="1">
        <v>41609</v>
      </c>
      <c r="O626">
        <v>12</v>
      </c>
      <c r="P626" t="s">
        <v>27</v>
      </c>
      <c r="Q626">
        <v>2013</v>
      </c>
    </row>
    <row r="627" spans="1:17" x14ac:dyDescent="0.3">
      <c r="A627" t="str">
        <f t="shared" ca="1" si="9"/>
        <v>ORD-2014-Mex-1375</v>
      </c>
      <c r="B627" t="s">
        <v>33</v>
      </c>
      <c r="C627" t="s">
        <v>26</v>
      </c>
      <c r="D627" t="s">
        <v>19</v>
      </c>
      <c r="E627" t="s">
        <v>48</v>
      </c>
      <c r="F627">
        <v>801</v>
      </c>
      <c r="G627">
        <v>3</v>
      </c>
      <c r="H627">
        <v>300</v>
      </c>
      <c r="I627">
        <v>240300</v>
      </c>
      <c r="J627">
        <v>33642</v>
      </c>
      <c r="K627">
        <v>206658</v>
      </c>
      <c r="L627">
        <v>200250</v>
      </c>
      <c r="M627">
        <v>6408</v>
      </c>
      <c r="N627" s="1">
        <v>41821</v>
      </c>
      <c r="O627">
        <v>7</v>
      </c>
      <c r="P627" t="s">
        <v>32</v>
      </c>
      <c r="Q627">
        <v>2014</v>
      </c>
    </row>
    <row r="628" spans="1:17" x14ac:dyDescent="0.3">
      <c r="A628" t="str">
        <f t="shared" ca="1" si="9"/>
        <v>ORD-2013-Fra-7726</v>
      </c>
      <c r="B628" t="s">
        <v>31</v>
      </c>
      <c r="C628" t="s">
        <v>24</v>
      </c>
      <c r="D628" t="s">
        <v>19</v>
      </c>
      <c r="E628" t="s">
        <v>48</v>
      </c>
      <c r="F628">
        <v>1023</v>
      </c>
      <c r="G628">
        <v>3</v>
      </c>
      <c r="H628">
        <v>125</v>
      </c>
      <c r="I628">
        <v>127875</v>
      </c>
      <c r="J628">
        <v>17902.5</v>
      </c>
      <c r="K628">
        <v>109972.5</v>
      </c>
      <c r="L628">
        <v>122760</v>
      </c>
      <c r="M628">
        <f>K628-L628</f>
        <v>-12787.5</v>
      </c>
      <c r="N628" s="1">
        <v>41518</v>
      </c>
      <c r="O628">
        <v>9</v>
      </c>
      <c r="P628" t="s">
        <v>35</v>
      </c>
      <c r="Q628">
        <v>2013</v>
      </c>
    </row>
    <row r="629" spans="1:17" x14ac:dyDescent="0.3">
      <c r="A629" t="str">
        <f t="shared" ca="1" si="9"/>
        <v>ORD-2014-Ca0-7795</v>
      </c>
      <c r="B629" t="s">
        <v>33</v>
      </c>
      <c r="C629" t="s">
        <v>18</v>
      </c>
      <c r="D629" t="s">
        <v>19</v>
      </c>
      <c r="E629" t="s">
        <v>48</v>
      </c>
      <c r="F629">
        <v>1496</v>
      </c>
      <c r="G629">
        <v>3</v>
      </c>
      <c r="H629">
        <v>300</v>
      </c>
      <c r="I629">
        <v>448800</v>
      </c>
      <c r="J629">
        <v>62832</v>
      </c>
      <c r="K629">
        <v>385968</v>
      </c>
      <c r="L629">
        <v>374000</v>
      </c>
      <c r="M629">
        <v>11968</v>
      </c>
      <c r="N629" s="1">
        <v>41913</v>
      </c>
      <c r="O629">
        <v>10</v>
      </c>
      <c r="P629" t="s">
        <v>36</v>
      </c>
      <c r="Q629">
        <v>2014</v>
      </c>
    </row>
    <row r="630" spans="1:17" x14ac:dyDescent="0.3">
      <c r="A630" t="str">
        <f t="shared" ca="1" si="9"/>
        <v>ORD-2014-Uni-9168</v>
      </c>
      <c r="B630" t="s">
        <v>33</v>
      </c>
      <c r="C630" t="s">
        <v>37</v>
      </c>
      <c r="D630" t="s">
        <v>19</v>
      </c>
      <c r="E630" t="s">
        <v>48</v>
      </c>
      <c r="F630">
        <v>1010</v>
      </c>
      <c r="G630">
        <v>3</v>
      </c>
      <c r="H630">
        <v>300</v>
      </c>
      <c r="I630">
        <v>303000</v>
      </c>
      <c r="J630">
        <v>42420</v>
      </c>
      <c r="K630">
        <v>260580</v>
      </c>
      <c r="L630">
        <v>252500</v>
      </c>
      <c r="M630">
        <v>8080</v>
      </c>
      <c r="N630" s="1">
        <v>41913</v>
      </c>
      <c r="O630">
        <v>10</v>
      </c>
      <c r="P630" t="s">
        <v>36</v>
      </c>
      <c r="Q630">
        <v>2014</v>
      </c>
    </row>
    <row r="631" spans="1:17" x14ac:dyDescent="0.3">
      <c r="A631" t="str">
        <f t="shared" ca="1" si="9"/>
        <v>ORD-2014-Ger-6107</v>
      </c>
      <c r="B631" t="s">
        <v>23</v>
      </c>
      <c r="C631" t="s">
        <v>22</v>
      </c>
      <c r="D631" t="s">
        <v>19</v>
      </c>
      <c r="E631" t="s">
        <v>48</v>
      </c>
      <c r="F631">
        <v>1513</v>
      </c>
      <c r="G631">
        <v>3</v>
      </c>
      <c r="H631">
        <v>15</v>
      </c>
      <c r="I631">
        <v>22695</v>
      </c>
      <c r="J631">
        <v>3177.3</v>
      </c>
      <c r="K631">
        <v>19517.7</v>
      </c>
      <c r="L631">
        <v>15130</v>
      </c>
      <c r="M631">
        <v>4387.7</v>
      </c>
      <c r="N631" s="1">
        <v>41944</v>
      </c>
      <c r="O631">
        <v>11</v>
      </c>
      <c r="P631" t="s">
        <v>40</v>
      </c>
      <c r="Q631">
        <v>2014</v>
      </c>
    </row>
    <row r="632" spans="1:17" x14ac:dyDescent="0.3">
      <c r="A632" t="str">
        <f t="shared" ca="1" si="9"/>
        <v>ORD-2014-Ca0-9326</v>
      </c>
      <c r="B632" t="s">
        <v>23</v>
      </c>
      <c r="C632" t="s">
        <v>18</v>
      </c>
      <c r="D632" t="s">
        <v>19</v>
      </c>
      <c r="E632" t="s">
        <v>48</v>
      </c>
      <c r="F632">
        <v>2300</v>
      </c>
      <c r="G632">
        <v>3</v>
      </c>
      <c r="H632">
        <v>15</v>
      </c>
      <c r="I632">
        <v>34500</v>
      </c>
      <c r="J632">
        <v>4830</v>
      </c>
      <c r="K632">
        <v>29670</v>
      </c>
      <c r="L632">
        <v>23000</v>
      </c>
      <c r="M632">
        <v>6670</v>
      </c>
      <c r="N632" s="1">
        <v>41974</v>
      </c>
      <c r="O632">
        <v>12</v>
      </c>
      <c r="P632" t="s">
        <v>27</v>
      </c>
      <c r="Q632">
        <v>2014</v>
      </c>
    </row>
    <row r="633" spans="1:17" x14ac:dyDescent="0.3">
      <c r="A633" t="str">
        <f t="shared" ca="1" si="9"/>
        <v>ORD-2013-Mex-4389</v>
      </c>
      <c r="B633" t="s">
        <v>31</v>
      </c>
      <c r="C633" t="s">
        <v>26</v>
      </c>
      <c r="D633" t="s">
        <v>19</v>
      </c>
      <c r="E633" t="s">
        <v>48</v>
      </c>
      <c r="F633">
        <v>2821</v>
      </c>
      <c r="G633">
        <v>3</v>
      </c>
      <c r="H633">
        <v>125</v>
      </c>
      <c r="I633">
        <v>352625</v>
      </c>
      <c r="J633">
        <v>49367.5</v>
      </c>
      <c r="K633">
        <v>303257.5</v>
      </c>
      <c r="L633">
        <v>338520</v>
      </c>
      <c r="M633">
        <f>K633-L633</f>
        <v>-35262.5</v>
      </c>
      <c r="N633" s="1">
        <v>41609</v>
      </c>
      <c r="O633">
        <v>12</v>
      </c>
      <c r="P633" t="s">
        <v>27</v>
      </c>
      <c r="Q633">
        <v>2013</v>
      </c>
    </row>
    <row r="634" spans="1:17" x14ac:dyDescent="0.3">
      <c r="A634" t="str">
        <f t="shared" ca="1" si="9"/>
        <v>ORD-2014-Ca0-8288</v>
      </c>
      <c r="B634" t="s">
        <v>17</v>
      </c>
      <c r="C634" t="s">
        <v>18</v>
      </c>
      <c r="D634" t="s">
        <v>28</v>
      </c>
      <c r="E634" t="s">
        <v>48</v>
      </c>
      <c r="F634">
        <v>2227.5</v>
      </c>
      <c r="G634">
        <v>5</v>
      </c>
      <c r="H634">
        <v>350</v>
      </c>
      <c r="I634">
        <v>779625</v>
      </c>
      <c r="J634">
        <v>109147.5</v>
      </c>
      <c r="K634">
        <v>670477.5</v>
      </c>
      <c r="L634">
        <v>579150</v>
      </c>
      <c r="M634">
        <v>91327.5</v>
      </c>
      <c r="N634" s="1">
        <v>41640</v>
      </c>
      <c r="O634">
        <v>1</v>
      </c>
      <c r="P634" t="s">
        <v>21</v>
      </c>
      <c r="Q634">
        <v>2014</v>
      </c>
    </row>
    <row r="635" spans="1:17" x14ac:dyDescent="0.3">
      <c r="A635" t="str">
        <f t="shared" ca="1" si="9"/>
        <v>ORD-2014-Ger-1673</v>
      </c>
      <c r="B635" t="s">
        <v>17</v>
      </c>
      <c r="C635" t="s">
        <v>22</v>
      </c>
      <c r="D635" t="s">
        <v>28</v>
      </c>
      <c r="E635" t="s">
        <v>48</v>
      </c>
      <c r="F635">
        <v>1199</v>
      </c>
      <c r="G635">
        <v>5</v>
      </c>
      <c r="H635">
        <v>350</v>
      </c>
      <c r="I635">
        <v>419650</v>
      </c>
      <c r="J635">
        <v>58751</v>
      </c>
      <c r="K635">
        <v>360899</v>
      </c>
      <c r="L635">
        <v>311740</v>
      </c>
      <c r="M635">
        <v>49159</v>
      </c>
      <c r="N635" s="1">
        <v>41730</v>
      </c>
      <c r="O635">
        <v>4</v>
      </c>
      <c r="P635" t="s">
        <v>43</v>
      </c>
      <c r="Q635">
        <v>2014</v>
      </c>
    </row>
    <row r="636" spans="1:17" x14ac:dyDescent="0.3">
      <c r="A636" t="str">
        <f t="shared" ca="1" si="9"/>
        <v>ORD-2014-Ca0-8143</v>
      </c>
      <c r="B636" t="s">
        <v>17</v>
      </c>
      <c r="C636" t="s">
        <v>18</v>
      </c>
      <c r="D636" t="s">
        <v>28</v>
      </c>
      <c r="E636" t="s">
        <v>48</v>
      </c>
      <c r="F636">
        <v>200</v>
      </c>
      <c r="G636">
        <v>5</v>
      </c>
      <c r="H636">
        <v>350</v>
      </c>
      <c r="I636">
        <v>70000</v>
      </c>
      <c r="J636">
        <v>9800</v>
      </c>
      <c r="K636">
        <v>60200</v>
      </c>
      <c r="L636">
        <v>52000</v>
      </c>
      <c r="M636">
        <v>8200</v>
      </c>
      <c r="N636" s="1">
        <v>41760</v>
      </c>
      <c r="O636">
        <v>5</v>
      </c>
      <c r="P636" t="s">
        <v>46</v>
      </c>
      <c r="Q636">
        <v>2014</v>
      </c>
    </row>
    <row r="637" spans="1:17" x14ac:dyDescent="0.3">
      <c r="A637" t="str">
        <f t="shared" ca="1" si="9"/>
        <v>ORD-2014-Ca0-9950</v>
      </c>
      <c r="B637" t="s">
        <v>17</v>
      </c>
      <c r="C637" t="s">
        <v>18</v>
      </c>
      <c r="D637" t="s">
        <v>28</v>
      </c>
      <c r="E637" t="s">
        <v>48</v>
      </c>
      <c r="F637">
        <v>388</v>
      </c>
      <c r="G637">
        <v>5</v>
      </c>
      <c r="H637">
        <v>7</v>
      </c>
      <c r="I637">
        <v>2716</v>
      </c>
      <c r="J637">
        <v>380.24</v>
      </c>
      <c r="K637">
        <v>2335.7600000000002</v>
      </c>
      <c r="L637">
        <v>1940</v>
      </c>
      <c r="M637">
        <v>395.76</v>
      </c>
      <c r="N637" s="1">
        <v>41883</v>
      </c>
      <c r="O637">
        <v>9</v>
      </c>
      <c r="P637" t="s">
        <v>35</v>
      </c>
      <c r="Q637">
        <v>2014</v>
      </c>
    </row>
    <row r="638" spans="1:17" x14ac:dyDescent="0.3">
      <c r="A638" t="str">
        <f t="shared" ca="1" si="9"/>
        <v>ORD-2013-Mex-7770</v>
      </c>
      <c r="B638" t="s">
        <v>17</v>
      </c>
      <c r="C638" t="s">
        <v>26</v>
      </c>
      <c r="D638" t="s">
        <v>28</v>
      </c>
      <c r="E638" t="s">
        <v>48</v>
      </c>
      <c r="F638">
        <v>1727</v>
      </c>
      <c r="G638">
        <v>5</v>
      </c>
      <c r="H638">
        <v>7</v>
      </c>
      <c r="I638">
        <v>12089</v>
      </c>
      <c r="J638">
        <v>1692.46</v>
      </c>
      <c r="K638">
        <v>10396.540000000001</v>
      </c>
      <c r="L638">
        <v>8635</v>
      </c>
      <c r="M638">
        <v>1761.54</v>
      </c>
      <c r="N638" s="1">
        <v>41548</v>
      </c>
      <c r="O638">
        <v>10</v>
      </c>
      <c r="P638" t="s">
        <v>36</v>
      </c>
      <c r="Q638">
        <v>2013</v>
      </c>
    </row>
    <row r="639" spans="1:17" x14ac:dyDescent="0.3">
      <c r="A639" t="str">
        <f t="shared" ca="1" si="9"/>
        <v>ORD-2014-Ca0-2179</v>
      </c>
      <c r="B639" t="s">
        <v>23</v>
      </c>
      <c r="C639" t="s">
        <v>18</v>
      </c>
      <c r="D639" t="s">
        <v>28</v>
      </c>
      <c r="E639" t="s">
        <v>48</v>
      </c>
      <c r="F639">
        <v>2300</v>
      </c>
      <c r="G639">
        <v>5</v>
      </c>
      <c r="H639">
        <v>15</v>
      </c>
      <c r="I639">
        <v>34500</v>
      </c>
      <c r="J639">
        <v>4830</v>
      </c>
      <c r="K639">
        <v>29670</v>
      </c>
      <c r="L639">
        <v>23000</v>
      </c>
      <c r="M639">
        <v>6670</v>
      </c>
      <c r="N639" s="1">
        <v>41974</v>
      </c>
      <c r="O639">
        <v>12</v>
      </c>
      <c r="P639" t="s">
        <v>27</v>
      </c>
      <c r="Q639">
        <v>2014</v>
      </c>
    </row>
    <row r="640" spans="1:17" x14ac:dyDescent="0.3">
      <c r="A640" t="str">
        <f t="shared" ca="1" si="9"/>
        <v>ORD-2014-Mex-7526</v>
      </c>
      <c r="B640" t="s">
        <v>17</v>
      </c>
      <c r="C640" t="s">
        <v>26</v>
      </c>
      <c r="D640" t="s">
        <v>38</v>
      </c>
      <c r="E640" t="s">
        <v>48</v>
      </c>
      <c r="F640">
        <v>260</v>
      </c>
      <c r="G640">
        <v>10</v>
      </c>
      <c r="H640">
        <v>20</v>
      </c>
      <c r="I640">
        <v>5200</v>
      </c>
      <c r="J640">
        <v>728</v>
      </c>
      <c r="K640">
        <v>4472</v>
      </c>
      <c r="L640">
        <v>2600</v>
      </c>
      <c r="M640">
        <v>1872</v>
      </c>
      <c r="N640" s="1">
        <v>41671</v>
      </c>
      <c r="O640">
        <v>2</v>
      </c>
      <c r="P640" t="s">
        <v>39</v>
      </c>
      <c r="Q640">
        <v>2014</v>
      </c>
    </row>
    <row r="641" spans="1:17" x14ac:dyDescent="0.3">
      <c r="A641" t="str">
        <f t="shared" ca="1" si="9"/>
        <v>ORD-2013-Ca0-5602</v>
      </c>
      <c r="B641" t="s">
        <v>23</v>
      </c>
      <c r="C641" t="s">
        <v>18</v>
      </c>
      <c r="D641" t="s">
        <v>38</v>
      </c>
      <c r="E641" t="s">
        <v>48</v>
      </c>
      <c r="F641">
        <v>2470</v>
      </c>
      <c r="G641">
        <v>10</v>
      </c>
      <c r="H641">
        <v>15</v>
      </c>
      <c r="I641">
        <v>37050</v>
      </c>
      <c r="J641">
        <v>5187</v>
      </c>
      <c r="K641">
        <v>31863</v>
      </c>
      <c r="L641">
        <v>24700</v>
      </c>
      <c r="M641">
        <v>7163</v>
      </c>
      <c r="N641" s="1">
        <v>41518</v>
      </c>
      <c r="O641">
        <v>9</v>
      </c>
      <c r="P641" t="s">
        <v>35</v>
      </c>
      <c r="Q641">
        <v>2013</v>
      </c>
    </row>
    <row r="642" spans="1:17" x14ac:dyDescent="0.3">
      <c r="A642" t="str">
        <f t="shared" ca="1" si="9"/>
        <v>ORD-2013-Ca0-2752</v>
      </c>
      <c r="B642" t="s">
        <v>23</v>
      </c>
      <c r="C642" t="s">
        <v>18</v>
      </c>
      <c r="D642" t="s">
        <v>38</v>
      </c>
      <c r="E642" t="s">
        <v>48</v>
      </c>
      <c r="F642">
        <v>1743</v>
      </c>
      <c r="G642">
        <v>10</v>
      </c>
      <c r="H642">
        <v>15</v>
      </c>
      <c r="I642">
        <v>26145</v>
      </c>
      <c r="J642">
        <v>3660.3</v>
      </c>
      <c r="K642">
        <v>22484.7</v>
      </c>
      <c r="L642">
        <v>17430</v>
      </c>
      <c r="M642">
        <v>5054.7</v>
      </c>
      <c r="N642" s="1">
        <v>41548</v>
      </c>
      <c r="O642">
        <v>10</v>
      </c>
      <c r="P642" t="s">
        <v>36</v>
      </c>
      <c r="Q642">
        <v>2013</v>
      </c>
    </row>
    <row r="643" spans="1:17" x14ac:dyDescent="0.3">
      <c r="A643" t="str">
        <f t="shared" ref="A643:A706" ca="1" si="10">"ORD-" &amp; YEAR(N643) &amp; "-"  &amp; LEFT(C643,3) &amp; "-" &amp; RANDBETWEEN(1000,9999)</f>
        <v>ORD-2014-Uni-6483</v>
      </c>
      <c r="B643" t="s">
        <v>30</v>
      </c>
      <c r="C643" t="s">
        <v>37</v>
      </c>
      <c r="D643" t="s">
        <v>38</v>
      </c>
      <c r="E643" t="s">
        <v>48</v>
      </c>
      <c r="F643">
        <v>2914</v>
      </c>
      <c r="G643">
        <v>10</v>
      </c>
      <c r="H643">
        <v>12</v>
      </c>
      <c r="I643">
        <v>34968</v>
      </c>
      <c r="J643">
        <v>4895.5200000000004</v>
      </c>
      <c r="K643">
        <v>30072.48</v>
      </c>
      <c r="L643">
        <v>8742</v>
      </c>
      <c r="M643">
        <v>21330.48</v>
      </c>
      <c r="N643" s="1">
        <v>41913</v>
      </c>
      <c r="O643">
        <v>10</v>
      </c>
      <c r="P643" t="s">
        <v>36</v>
      </c>
      <c r="Q643">
        <v>2014</v>
      </c>
    </row>
    <row r="644" spans="1:17" x14ac:dyDescent="0.3">
      <c r="A644" t="str">
        <f t="shared" ca="1" si="10"/>
        <v>ORD-2014-Fra-4059</v>
      </c>
      <c r="B644" t="s">
        <v>17</v>
      </c>
      <c r="C644" t="s">
        <v>24</v>
      </c>
      <c r="D644" t="s">
        <v>38</v>
      </c>
      <c r="E644" t="s">
        <v>48</v>
      </c>
      <c r="F644">
        <v>1731</v>
      </c>
      <c r="G644">
        <v>10</v>
      </c>
      <c r="H644">
        <v>7</v>
      </c>
      <c r="I644">
        <v>12117</v>
      </c>
      <c r="J644">
        <v>1696.38</v>
      </c>
      <c r="K644">
        <v>10420.620000000001</v>
      </c>
      <c r="L644">
        <v>8655</v>
      </c>
      <c r="M644">
        <v>1765.62</v>
      </c>
      <c r="N644" s="1">
        <v>41913</v>
      </c>
      <c r="O644">
        <v>10</v>
      </c>
      <c r="P644" t="s">
        <v>36</v>
      </c>
      <c r="Q644">
        <v>2014</v>
      </c>
    </row>
    <row r="645" spans="1:17" x14ac:dyDescent="0.3">
      <c r="A645" t="str">
        <f t="shared" ca="1" si="10"/>
        <v>ORD-2014-Ca0-4712</v>
      </c>
      <c r="B645" t="s">
        <v>17</v>
      </c>
      <c r="C645" t="s">
        <v>18</v>
      </c>
      <c r="D645" t="s">
        <v>38</v>
      </c>
      <c r="E645" t="s">
        <v>48</v>
      </c>
      <c r="F645">
        <v>700</v>
      </c>
      <c r="G645">
        <v>10</v>
      </c>
      <c r="H645">
        <v>350</v>
      </c>
      <c r="I645">
        <v>245000</v>
      </c>
      <c r="J645">
        <v>34300</v>
      </c>
      <c r="K645">
        <v>210700</v>
      </c>
      <c r="L645">
        <v>182000</v>
      </c>
      <c r="M645">
        <v>28700</v>
      </c>
      <c r="N645" s="1">
        <v>41944</v>
      </c>
      <c r="O645">
        <v>11</v>
      </c>
      <c r="P645" t="s">
        <v>40</v>
      </c>
      <c r="Q645">
        <v>2014</v>
      </c>
    </row>
    <row r="646" spans="1:17" x14ac:dyDescent="0.3">
      <c r="A646" t="str">
        <f t="shared" ca="1" si="10"/>
        <v>ORD-2013-Ca0-9706</v>
      </c>
      <c r="B646" t="s">
        <v>30</v>
      </c>
      <c r="C646" t="s">
        <v>18</v>
      </c>
      <c r="D646" t="s">
        <v>38</v>
      </c>
      <c r="E646" t="s">
        <v>48</v>
      </c>
      <c r="F646">
        <v>2222</v>
      </c>
      <c r="G646">
        <v>10</v>
      </c>
      <c r="H646">
        <v>12</v>
      </c>
      <c r="I646">
        <v>26664</v>
      </c>
      <c r="J646">
        <v>3732.96</v>
      </c>
      <c r="K646">
        <v>22931.040000000001</v>
      </c>
      <c r="L646">
        <v>6666</v>
      </c>
      <c r="M646">
        <v>16265.04</v>
      </c>
      <c r="N646" s="1">
        <v>41579</v>
      </c>
      <c r="O646">
        <v>11</v>
      </c>
      <c r="P646" t="s">
        <v>40</v>
      </c>
      <c r="Q646">
        <v>2013</v>
      </c>
    </row>
    <row r="647" spans="1:17" x14ac:dyDescent="0.3">
      <c r="A647" t="str">
        <f t="shared" ca="1" si="10"/>
        <v>ORD-2014-Uni-3446</v>
      </c>
      <c r="B647" t="s">
        <v>17</v>
      </c>
      <c r="C647" t="s">
        <v>37</v>
      </c>
      <c r="D647" t="s">
        <v>38</v>
      </c>
      <c r="E647" t="s">
        <v>48</v>
      </c>
      <c r="F647">
        <v>1177</v>
      </c>
      <c r="G647">
        <v>10</v>
      </c>
      <c r="H647">
        <v>350</v>
      </c>
      <c r="I647">
        <v>411950</v>
      </c>
      <c r="J647">
        <v>57673</v>
      </c>
      <c r="K647">
        <v>354277</v>
      </c>
      <c r="L647">
        <v>306020</v>
      </c>
      <c r="M647">
        <v>48257</v>
      </c>
      <c r="N647" s="1">
        <v>41944</v>
      </c>
      <c r="O647">
        <v>11</v>
      </c>
      <c r="P647" t="s">
        <v>40</v>
      </c>
      <c r="Q647">
        <v>2014</v>
      </c>
    </row>
    <row r="648" spans="1:17" x14ac:dyDescent="0.3">
      <c r="A648" t="str">
        <f t="shared" ca="1" si="10"/>
        <v>ORD-2013-Fra-7234</v>
      </c>
      <c r="B648" t="s">
        <v>17</v>
      </c>
      <c r="C648" t="s">
        <v>24</v>
      </c>
      <c r="D648" t="s">
        <v>38</v>
      </c>
      <c r="E648" t="s">
        <v>48</v>
      </c>
      <c r="F648">
        <v>1922</v>
      </c>
      <c r="G648">
        <v>10</v>
      </c>
      <c r="H648">
        <v>350</v>
      </c>
      <c r="I648">
        <v>672700</v>
      </c>
      <c r="J648">
        <v>94178</v>
      </c>
      <c r="K648">
        <v>578522</v>
      </c>
      <c r="L648">
        <v>499720</v>
      </c>
      <c r="M648">
        <v>78802</v>
      </c>
      <c r="N648" s="1">
        <v>41579</v>
      </c>
      <c r="O648">
        <v>11</v>
      </c>
      <c r="P648" t="s">
        <v>40</v>
      </c>
      <c r="Q648">
        <v>2013</v>
      </c>
    </row>
    <row r="649" spans="1:17" x14ac:dyDescent="0.3">
      <c r="A649" t="str">
        <f t="shared" ca="1" si="10"/>
        <v>ORD-2014-Mex-1522</v>
      </c>
      <c r="B649" t="s">
        <v>31</v>
      </c>
      <c r="C649" t="s">
        <v>26</v>
      </c>
      <c r="D649" t="s">
        <v>41</v>
      </c>
      <c r="E649" t="s">
        <v>48</v>
      </c>
      <c r="F649">
        <v>1575</v>
      </c>
      <c r="G649">
        <v>120</v>
      </c>
      <c r="H649">
        <v>125</v>
      </c>
      <c r="I649">
        <v>196875</v>
      </c>
      <c r="J649">
        <v>27562.5</v>
      </c>
      <c r="K649">
        <v>169312.5</v>
      </c>
      <c r="L649">
        <v>189000</v>
      </c>
      <c r="M649">
        <f>K649-L649</f>
        <v>-19687.5</v>
      </c>
      <c r="N649" s="1">
        <v>41671</v>
      </c>
      <c r="O649">
        <v>2</v>
      </c>
      <c r="P649" t="s">
        <v>39</v>
      </c>
      <c r="Q649">
        <v>2014</v>
      </c>
    </row>
    <row r="650" spans="1:17" x14ac:dyDescent="0.3">
      <c r="A650" t="str">
        <f t="shared" ca="1" si="10"/>
        <v>ORD-2014-Uni-5885</v>
      </c>
      <c r="B650" t="s">
        <v>17</v>
      </c>
      <c r="C650" t="s">
        <v>37</v>
      </c>
      <c r="D650" t="s">
        <v>41</v>
      </c>
      <c r="E650" t="s">
        <v>48</v>
      </c>
      <c r="F650">
        <v>606</v>
      </c>
      <c r="G650">
        <v>120</v>
      </c>
      <c r="H650">
        <v>20</v>
      </c>
      <c r="I650">
        <v>12120</v>
      </c>
      <c r="J650">
        <v>1696.8</v>
      </c>
      <c r="K650">
        <v>10423.200000000001</v>
      </c>
      <c r="L650">
        <v>6060</v>
      </c>
      <c r="M650">
        <v>4363.2</v>
      </c>
      <c r="N650" s="1">
        <v>41730</v>
      </c>
      <c r="O650">
        <v>4</v>
      </c>
      <c r="P650" t="s">
        <v>43</v>
      </c>
      <c r="Q650">
        <v>2014</v>
      </c>
    </row>
    <row r="651" spans="1:17" x14ac:dyDescent="0.3">
      <c r="A651" t="str">
        <f t="shared" ca="1" si="10"/>
        <v>ORD-2014-Uni-1771</v>
      </c>
      <c r="B651" t="s">
        <v>33</v>
      </c>
      <c r="C651" t="s">
        <v>37</v>
      </c>
      <c r="D651" t="s">
        <v>41</v>
      </c>
      <c r="E651" t="s">
        <v>48</v>
      </c>
      <c r="F651">
        <v>2460</v>
      </c>
      <c r="G651">
        <v>120</v>
      </c>
      <c r="H651">
        <v>300</v>
      </c>
      <c r="I651">
        <v>738000</v>
      </c>
      <c r="J651">
        <v>103320</v>
      </c>
      <c r="K651">
        <v>634680</v>
      </c>
      <c r="L651">
        <v>615000</v>
      </c>
      <c r="M651">
        <v>19680</v>
      </c>
      <c r="N651" s="1">
        <v>41821</v>
      </c>
      <c r="O651">
        <v>7</v>
      </c>
      <c r="P651" t="s">
        <v>32</v>
      </c>
      <c r="Q651">
        <v>2014</v>
      </c>
    </row>
    <row r="652" spans="1:17" x14ac:dyDescent="0.3">
      <c r="A652" t="str">
        <f t="shared" ca="1" si="10"/>
        <v>ORD-2013-Ca0-6847</v>
      </c>
      <c r="B652" t="s">
        <v>33</v>
      </c>
      <c r="C652" t="s">
        <v>18</v>
      </c>
      <c r="D652" t="s">
        <v>41</v>
      </c>
      <c r="E652" t="s">
        <v>48</v>
      </c>
      <c r="F652">
        <v>269</v>
      </c>
      <c r="G652">
        <v>120</v>
      </c>
      <c r="H652">
        <v>300</v>
      </c>
      <c r="I652">
        <v>80700</v>
      </c>
      <c r="J652">
        <v>11298</v>
      </c>
      <c r="K652">
        <v>69402</v>
      </c>
      <c r="L652">
        <v>67250</v>
      </c>
      <c r="M652">
        <v>2152</v>
      </c>
      <c r="N652" s="1">
        <v>41548</v>
      </c>
      <c r="O652">
        <v>10</v>
      </c>
      <c r="P652" t="s">
        <v>36</v>
      </c>
      <c r="Q652">
        <v>2013</v>
      </c>
    </row>
    <row r="653" spans="1:17" x14ac:dyDescent="0.3">
      <c r="A653" t="str">
        <f t="shared" ca="1" si="10"/>
        <v>ORD-2013-Ger-4491</v>
      </c>
      <c r="B653" t="s">
        <v>33</v>
      </c>
      <c r="C653" t="s">
        <v>22</v>
      </c>
      <c r="D653" t="s">
        <v>41</v>
      </c>
      <c r="E653" t="s">
        <v>48</v>
      </c>
      <c r="F653">
        <v>2536</v>
      </c>
      <c r="G653">
        <v>120</v>
      </c>
      <c r="H653">
        <v>300</v>
      </c>
      <c r="I653">
        <v>760800</v>
      </c>
      <c r="J653">
        <v>106512</v>
      </c>
      <c r="K653">
        <v>654288</v>
      </c>
      <c r="L653">
        <v>634000</v>
      </c>
      <c r="M653">
        <v>20288</v>
      </c>
      <c r="N653" s="1">
        <v>41579</v>
      </c>
      <c r="O653">
        <v>11</v>
      </c>
      <c r="P653" t="s">
        <v>40</v>
      </c>
      <c r="Q653">
        <v>2013</v>
      </c>
    </row>
    <row r="654" spans="1:17" x14ac:dyDescent="0.3">
      <c r="A654" t="str">
        <f t="shared" ca="1" si="10"/>
        <v>ORD-2014-Mex-9632</v>
      </c>
      <c r="B654" t="s">
        <v>17</v>
      </c>
      <c r="C654" t="s">
        <v>26</v>
      </c>
      <c r="D654" t="s">
        <v>42</v>
      </c>
      <c r="E654" t="s">
        <v>48</v>
      </c>
      <c r="F654">
        <v>2903</v>
      </c>
      <c r="G654">
        <v>250</v>
      </c>
      <c r="H654">
        <v>7</v>
      </c>
      <c r="I654">
        <v>20321</v>
      </c>
      <c r="J654">
        <v>2844.94</v>
      </c>
      <c r="K654">
        <v>17476.060000000001</v>
      </c>
      <c r="L654">
        <v>14515</v>
      </c>
      <c r="M654">
        <v>2961.06</v>
      </c>
      <c r="N654" s="1">
        <v>41699</v>
      </c>
      <c r="O654">
        <v>3</v>
      </c>
      <c r="P654" t="s">
        <v>29</v>
      </c>
      <c r="Q654">
        <v>2014</v>
      </c>
    </row>
    <row r="655" spans="1:17" x14ac:dyDescent="0.3">
      <c r="A655" t="str">
        <f t="shared" ca="1" si="10"/>
        <v>ORD-2014-Uni-8385</v>
      </c>
      <c r="B655" t="s">
        <v>33</v>
      </c>
      <c r="C655" t="s">
        <v>37</v>
      </c>
      <c r="D655" t="s">
        <v>42</v>
      </c>
      <c r="E655" t="s">
        <v>48</v>
      </c>
      <c r="F655">
        <v>2541</v>
      </c>
      <c r="G655">
        <v>250</v>
      </c>
      <c r="H655">
        <v>300</v>
      </c>
      <c r="I655">
        <v>762300</v>
      </c>
      <c r="J655">
        <v>106722</v>
      </c>
      <c r="K655">
        <v>655578</v>
      </c>
      <c r="L655">
        <v>635250</v>
      </c>
      <c r="M655">
        <v>20328</v>
      </c>
      <c r="N655" s="1">
        <v>41852</v>
      </c>
      <c r="O655">
        <v>8</v>
      </c>
      <c r="P655" t="s">
        <v>34</v>
      </c>
      <c r="Q655">
        <v>2014</v>
      </c>
    </row>
    <row r="656" spans="1:17" x14ac:dyDescent="0.3">
      <c r="A656" t="str">
        <f t="shared" ca="1" si="10"/>
        <v>ORD-2013-Ca0-2261</v>
      </c>
      <c r="B656" t="s">
        <v>33</v>
      </c>
      <c r="C656" t="s">
        <v>18</v>
      </c>
      <c r="D656" t="s">
        <v>42</v>
      </c>
      <c r="E656" t="s">
        <v>48</v>
      </c>
      <c r="F656">
        <v>269</v>
      </c>
      <c r="G656">
        <v>250</v>
      </c>
      <c r="H656">
        <v>300</v>
      </c>
      <c r="I656">
        <v>80700</v>
      </c>
      <c r="J656">
        <v>11298</v>
      </c>
      <c r="K656">
        <v>69402</v>
      </c>
      <c r="L656">
        <v>67250</v>
      </c>
      <c r="M656">
        <v>2152</v>
      </c>
      <c r="N656" s="1">
        <v>41548</v>
      </c>
      <c r="O656">
        <v>10</v>
      </c>
      <c r="P656" t="s">
        <v>36</v>
      </c>
      <c r="Q656">
        <v>2013</v>
      </c>
    </row>
    <row r="657" spans="1:17" x14ac:dyDescent="0.3">
      <c r="A657" t="str">
        <f t="shared" ca="1" si="10"/>
        <v>ORD-2014-Ca0-1434</v>
      </c>
      <c r="B657" t="s">
        <v>33</v>
      </c>
      <c r="C657" t="s">
        <v>18</v>
      </c>
      <c r="D657" t="s">
        <v>42</v>
      </c>
      <c r="E657" t="s">
        <v>48</v>
      </c>
      <c r="F657">
        <v>1496</v>
      </c>
      <c r="G657">
        <v>250</v>
      </c>
      <c r="H657">
        <v>300</v>
      </c>
      <c r="I657">
        <v>448800</v>
      </c>
      <c r="J657">
        <v>62832</v>
      </c>
      <c r="K657">
        <v>385968</v>
      </c>
      <c r="L657">
        <v>374000</v>
      </c>
      <c r="M657">
        <v>11968</v>
      </c>
      <c r="N657" s="1">
        <v>41913</v>
      </c>
      <c r="O657">
        <v>10</v>
      </c>
      <c r="P657" t="s">
        <v>36</v>
      </c>
      <c r="Q657">
        <v>2014</v>
      </c>
    </row>
    <row r="658" spans="1:17" x14ac:dyDescent="0.3">
      <c r="A658" t="str">
        <f t="shared" ca="1" si="10"/>
        <v>ORD-2014-Uni-5528</v>
      </c>
      <c r="B658" t="s">
        <v>33</v>
      </c>
      <c r="C658" t="s">
        <v>37</v>
      </c>
      <c r="D658" t="s">
        <v>42</v>
      </c>
      <c r="E658" t="s">
        <v>48</v>
      </c>
      <c r="F658">
        <v>1010</v>
      </c>
      <c r="G658">
        <v>250</v>
      </c>
      <c r="H658">
        <v>300</v>
      </c>
      <c r="I658">
        <v>303000</v>
      </c>
      <c r="J658">
        <v>42420</v>
      </c>
      <c r="K658">
        <v>260580</v>
      </c>
      <c r="L658">
        <v>252500</v>
      </c>
      <c r="M658">
        <v>8080</v>
      </c>
      <c r="N658" s="1">
        <v>41913</v>
      </c>
      <c r="O658">
        <v>10</v>
      </c>
      <c r="P658" t="s">
        <v>36</v>
      </c>
      <c r="Q658">
        <v>2014</v>
      </c>
    </row>
    <row r="659" spans="1:17" x14ac:dyDescent="0.3">
      <c r="A659" t="str">
        <f t="shared" ca="1" si="10"/>
        <v>ORD-2013-Fra-9110</v>
      </c>
      <c r="B659" t="s">
        <v>17</v>
      </c>
      <c r="C659" t="s">
        <v>24</v>
      </c>
      <c r="D659" t="s">
        <v>42</v>
      </c>
      <c r="E659" t="s">
        <v>48</v>
      </c>
      <c r="F659">
        <v>1281</v>
      </c>
      <c r="G659">
        <v>250</v>
      </c>
      <c r="H659">
        <v>350</v>
      </c>
      <c r="I659">
        <v>448350</v>
      </c>
      <c r="J659">
        <v>62769</v>
      </c>
      <c r="K659">
        <v>385581</v>
      </c>
      <c r="L659">
        <v>333060</v>
      </c>
      <c r="M659">
        <v>52521</v>
      </c>
      <c r="N659" s="1">
        <v>41609</v>
      </c>
      <c r="O659">
        <v>12</v>
      </c>
      <c r="P659" t="s">
        <v>27</v>
      </c>
      <c r="Q659">
        <v>2013</v>
      </c>
    </row>
    <row r="660" spans="1:17" x14ac:dyDescent="0.3">
      <c r="A660" t="str">
        <f t="shared" ca="1" si="10"/>
        <v>ORD-2014-Ca0-5188</v>
      </c>
      <c r="B660" t="s">
        <v>33</v>
      </c>
      <c r="C660" t="s">
        <v>18</v>
      </c>
      <c r="D660" t="s">
        <v>44</v>
      </c>
      <c r="E660" t="s">
        <v>48</v>
      </c>
      <c r="F660">
        <v>888</v>
      </c>
      <c r="G660">
        <v>260</v>
      </c>
      <c r="H660">
        <v>300</v>
      </c>
      <c r="I660">
        <v>266400</v>
      </c>
      <c r="J660">
        <v>37296</v>
      </c>
      <c r="K660">
        <v>229104</v>
      </c>
      <c r="L660">
        <v>222000</v>
      </c>
      <c r="M660">
        <v>7104</v>
      </c>
      <c r="N660" s="1">
        <v>41699</v>
      </c>
      <c r="O660">
        <v>3</v>
      </c>
      <c r="P660" t="s">
        <v>29</v>
      </c>
      <c r="Q660">
        <v>2014</v>
      </c>
    </row>
    <row r="661" spans="1:17" x14ac:dyDescent="0.3">
      <c r="A661" t="str">
        <f t="shared" ca="1" si="10"/>
        <v>ORD-2014-Uni-3932</v>
      </c>
      <c r="B661" t="s">
        <v>31</v>
      </c>
      <c r="C661" t="s">
        <v>37</v>
      </c>
      <c r="D661" t="s">
        <v>44</v>
      </c>
      <c r="E661" t="s">
        <v>48</v>
      </c>
      <c r="F661">
        <v>2844</v>
      </c>
      <c r="G661">
        <v>260</v>
      </c>
      <c r="H661">
        <v>125</v>
      </c>
      <c r="I661">
        <v>355500</v>
      </c>
      <c r="J661">
        <v>49770</v>
      </c>
      <c r="K661">
        <v>305730</v>
      </c>
      <c r="L661">
        <v>34128</v>
      </c>
      <c r="M661">
        <f>K661-L661</f>
        <v>271602</v>
      </c>
      <c r="N661" s="1">
        <v>41760</v>
      </c>
      <c r="O661">
        <v>5</v>
      </c>
      <c r="P661" t="s">
        <v>46</v>
      </c>
      <c r="Q661">
        <v>2014</v>
      </c>
    </row>
    <row r="662" spans="1:17" x14ac:dyDescent="0.3">
      <c r="A662" t="str">
        <f t="shared" ca="1" si="10"/>
        <v>ORD-2014-Fra-5915</v>
      </c>
      <c r="B662" t="s">
        <v>30</v>
      </c>
      <c r="C662" t="s">
        <v>24</v>
      </c>
      <c r="D662" t="s">
        <v>44</v>
      </c>
      <c r="E662" t="s">
        <v>48</v>
      </c>
      <c r="F662">
        <v>2475</v>
      </c>
      <c r="G662">
        <v>260</v>
      </c>
      <c r="H662">
        <v>12</v>
      </c>
      <c r="I662">
        <v>29700</v>
      </c>
      <c r="J662">
        <v>4158</v>
      </c>
      <c r="K662">
        <v>25542</v>
      </c>
      <c r="L662">
        <v>7425</v>
      </c>
      <c r="M662">
        <v>18117</v>
      </c>
      <c r="N662" s="1">
        <v>41852</v>
      </c>
      <c r="O662">
        <v>8</v>
      </c>
      <c r="P662" t="s">
        <v>34</v>
      </c>
      <c r="Q662">
        <v>2014</v>
      </c>
    </row>
    <row r="663" spans="1:17" x14ac:dyDescent="0.3">
      <c r="A663" t="str">
        <f t="shared" ca="1" si="10"/>
        <v>ORD-2013-Ca0-4163</v>
      </c>
      <c r="B663" t="s">
        <v>23</v>
      </c>
      <c r="C663" t="s">
        <v>18</v>
      </c>
      <c r="D663" t="s">
        <v>44</v>
      </c>
      <c r="E663" t="s">
        <v>48</v>
      </c>
      <c r="F663">
        <v>1743</v>
      </c>
      <c r="G663">
        <v>260</v>
      </c>
      <c r="H663">
        <v>15</v>
      </c>
      <c r="I663">
        <v>26145</v>
      </c>
      <c r="J663">
        <v>3660.3</v>
      </c>
      <c r="K663">
        <v>22484.7</v>
      </c>
      <c r="L663">
        <v>17430</v>
      </c>
      <c r="M663">
        <v>5054.7</v>
      </c>
      <c r="N663" s="1">
        <v>41548</v>
      </c>
      <c r="O663">
        <v>10</v>
      </c>
      <c r="P663" t="s">
        <v>36</v>
      </c>
      <c r="Q663">
        <v>2013</v>
      </c>
    </row>
    <row r="664" spans="1:17" x14ac:dyDescent="0.3">
      <c r="A664" t="str">
        <f t="shared" ca="1" si="10"/>
        <v>ORD-2014-Uni-1897</v>
      </c>
      <c r="B664" t="s">
        <v>30</v>
      </c>
      <c r="C664" t="s">
        <v>37</v>
      </c>
      <c r="D664" t="s">
        <v>44</v>
      </c>
      <c r="E664" t="s">
        <v>48</v>
      </c>
      <c r="F664">
        <v>2914</v>
      </c>
      <c r="G664">
        <v>260</v>
      </c>
      <c r="H664">
        <v>12</v>
      </c>
      <c r="I664">
        <v>34968</v>
      </c>
      <c r="J664">
        <v>4895.5200000000004</v>
      </c>
      <c r="K664">
        <v>30072.48</v>
      </c>
      <c r="L664">
        <v>8742</v>
      </c>
      <c r="M664">
        <v>21330.48</v>
      </c>
      <c r="N664" s="1">
        <v>41913</v>
      </c>
      <c r="O664">
        <v>10</v>
      </c>
      <c r="P664" t="s">
        <v>36</v>
      </c>
      <c r="Q664">
        <v>2014</v>
      </c>
    </row>
    <row r="665" spans="1:17" x14ac:dyDescent="0.3">
      <c r="A665" t="str">
        <f t="shared" ca="1" si="10"/>
        <v>ORD-2014-Fra-2042</v>
      </c>
      <c r="B665" t="s">
        <v>17</v>
      </c>
      <c r="C665" t="s">
        <v>24</v>
      </c>
      <c r="D665" t="s">
        <v>44</v>
      </c>
      <c r="E665" t="s">
        <v>48</v>
      </c>
      <c r="F665">
        <v>1731</v>
      </c>
      <c r="G665">
        <v>260</v>
      </c>
      <c r="H665">
        <v>7</v>
      </c>
      <c r="I665">
        <v>12117</v>
      </c>
      <c r="J665">
        <v>1696.38</v>
      </c>
      <c r="K665">
        <v>10420.620000000001</v>
      </c>
      <c r="L665">
        <v>8655</v>
      </c>
      <c r="M665">
        <v>1765.62</v>
      </c>
      <c r="N665" s="1">
        <v>41913</v>
      </c>
      <c r="O665">
        <v>10</v>
      </c>
      <c r="P665" t="s">
        <v>36</v>
      </c>
      <c r="Q665">
        <v>2014</v>
      </c>
    </row>
    <row r="666" spans="1:17" x14ac:dyDescent="0.3">
      <c r="A666" t="str">
        <f t="shared" ca="1" si="10"/>
        <v>ORD-2013-Mex-5735</v>
      </c>
      <c r="B666" t="s">
        <v>17</v>
      </c>
      <c r="C666" t="s">
        <v>26</v>
      </c>
      <c r="D666" t="s">
        <v>44</v>
      </c>
      <c r="E666" t="s">
        <v>48</v>
      </c>
      <c r="F666">
        <v>1727</v>
      </c>
      <c r="G666">
        <v>260</v>
      </c>
      <c r="H666">
        <v>7</v>
      </c>
      <c r="I666">
        <v>12089</v>
      </c>
      <c r="J666">
        <v>1692.46</v>
      </c>
      <c r="K666">
        <v>10396.540000000001</v>
      </c>
      <c r="L666">
        <v>8635</v>
      </c>
      <c r="M666">
        <v>1761.54</v>
      </c>
      <c r="N666" s="1">
        <v>41548</v>
      </c>
      <c r="O666">
        <v>10</v>
      </c>
      <c r="P666" t="s">
        <v>36</v>
      </c>
      <c r="Q666">
        <v>2013</v>
      </c>
    </row>
    <row r="667" spans="1:17" x14ac:dyDescent="0.3">
      <c r="A667" t="str">
        <f t="shared" ca="1" si="10"/>
        <v>ORD-2013-Mex-6618</v>
      </c>
      <c r="B667" t="s">
        <v>23</v>
      </c>
      <c r="C667" t="s">
        <v>26</v>
      </c>
      <c r="D667" t="s">
        <v>44</v>
      </c>
      <c r="E667" t="s">
        <v>48</v>
      </c>
      <c r="F667">
        <v>1870</v>
      </c>
      <c r="G667">
        <v>260</v>
      </c>
      <c r="H667">
        <v>15</v>
      </c>
      <c r="I667">
        <v>28050</v>
      </c>
      <c r="J667">
        <v>3927</v>
      </c>
      <c r="K667">
        <v>24123</v>
      </c>
      <c r="L667">
        <v>18700</v>
      </c>
      <c r="M667">
        <v>5423</v>
      </c>
      <c r="N667" s="1">
        <v>41579</v>
      </c>
      <c r="O667">
        <v>11</v>
      </c>
      <c r="P667" t="s">
        <v>40</v>
      </c>
      <c r="Q667">
        <v>2013</v>
      </c>
    </row>
    <row r="668" spans="1:17" x14ac:dyDescent="0.3">
      <c r="A668" t="str">
        <f t="shared" ca="1" si="10"/>
        <v>ORD-2014-Fra-1008</v>
      </c>
      <c r="B668" t="s">
        <v>31</v>
      </c>
      <c r="C668" t="s">
        <v>24</v>
      </c>
      <c r="D668" t="s">
        <v>19</v>
      </c>
      <c r="E668" t="s">
        <v>48</v>
      </c>
      <c r="F668">
        <v>1174</v>
      </c>
      <c r="G668">
        <v>3</v>
      </c>
      <c r="H668">
        <v>125</v>
      </c>
      <c r="I668">
        <v>146750</v>
      </c>
      <c r="J668">
        <v>22012.5</v>
      </c>
      <c r="K668">
        <v>124737.5</v>
      </c>
      <c r="L668">
        <v>14080</v>
      </c>
      <c r="M668">
        <f>K668-L668</f>
        <v>110657.5</v>
      </c>
      <c r="N668" s="1">
        <v>41852</v>
      </c>
      <c r="O668">
        <v>8</v>
      </c>
      <c r="P668" t="s">
        <v>34</v>
      </c>
      <c r="Q668">
        <v>2014</v>
      </c>
    </row>
    <row r="669" spans="1:17" x14ac:dyDescent="0.3">
      <c r="A669" t="str">
        <f t="shared" ca="1" si="10"/>
        <v>ORD-2014-Ger-9085</v>
      </c>
      <c r="B669" t="s">
        <v>31</v>
      </c>
      <c r="C669" t="s">
        <v>22</v>
      </c>
      <c r="D669" t="s">
        <v>19</v>
      </c>
      <c r="E669" t="s">
        <v>48</v>
      </c>
      <c r="F669">
        <v>2767</v>
      </c>
      <c r="G669">
        <v>3</v>
      </c>
      <c r="H669">
        <v>125</v>
      </c>
      <c r="I669">
        <v>345875</v>
      </c>
      <c r="J669">
        <v>51881.25</v>
      </c>
      <c r="K669">
        <v>293993.75</v>
      </c>
      <c r="L669">
        <v>332040</v>
      </c>
      <c r="M669">
        <f>K669-L669</f>
        <v>-38046.25</v>
      </c>
      <c r="N669" s="1">
        <v>41852</v>
      </c>
      <c r="O669">
        <v>8</v>
      </c>
      <c r="P669" t="s">
        <v>34</v>
      </c>
      <c r="Q669">
        <v>2014</v>
      </c>
    </row>
    <row r="670" spans="1:17" x14ac:dyDescent="0.3">
      <c r="A670" t="str">
        <f t="shared" ca="1" si="10"/>
        <v>ORD-2014-Ger-6739</v>
      </c>
      <c r="B670" t="s">
        <v>31</v>
      </c>
      <c r="C670" t="s">
        <v>22</v>
      </c>
      <c r="D670" t="s">
        <v>19</v>
      </c>
      <c r="E670" t="s">
        <v>48</v>
      </c>
      <c r="F670">
        <v>1085</v>
      </c>
      <c r="G670">
        <v>3</v>
      </c>
      <c r="H670">
        <v>125</v>
      </c>
      <c r="I670">
        <v>135625</v>
      </c>
      <c r="J670">
        <v>20343.75</v>
      </c>
      <c r="K670">
        <v>115281.25</v>
      </c>
      <c r="L670">
        <v>130200</v>
      </c>
      <c r="M670">
        <f>K670-L670</f>
        <v>-14918.75</v>
      </c>
      <c r="N670" s="1">
        <v>41913</v>
      </c>
      <c r="O670">
        <v>10</v>
      </c>
      <c r="P670" t="s">
        <v>36</v>
      </c>
      <c r="Q670">
        <v>2014</v>
      </c>
    </row>
    <row r="671" spans="1:17" x14ac:dyDescent="0.3">
      <c r="A671" t="str">
        <f t="shared" ca="1" si="10"/>
        <v>ORD-2014-Mex-9450</v>
      </c>
      <c r="B671" t="s">
        <v>33</v>
      </c>
      <c r="C671" t="s">
        <v>26</v>
      </c>
      <c r="D671" t="s">
        <v>28</v>
      </c>
      <c r="E671" t="s">
        <v>48</v>
      </c>
      <c r="F671">
        <v>546</v>
      </c>
      <c r="G671">
        <v>5</v>
      </c>
      <c r="H671">
        <v>300</v>
      </c>
      <c r="I671">
        <v>163800</v>
      </c>
      <c r="J671">
        <v>24570</v>
      </c>
      <c r="K671">
        <v>139230</v>
      </c>
      <c r="L671">
        <v>136500</v>
      </c>
      <c r="M671">
        <v>2730</v>
      </c>
      <c r="N671" s="1">
        <v>41913</v>
      </c>
      <c r="O671">
        <v>10</v>
      </c>
      <c r="P671" t="s">
        <v>36</v>
      </c>
      <c r="Q671">
        <v>2014</v>
      </c>
    </row>
    <row r="672" spans="1:17" x14ac:dyDescent="0.3">
      <c r="A672" t="str">
        <f t="shared" ca="1" si="10"/>
        <v>ORD-2014-Ger-6474</v>
      </c>
      <c r="B672" t="s">
        <v>17</v>
      </c>
      <c r="C672" t="s">
        <v>22</v>
      </c>
      <c r="D672" t="s">
        <v>38</v>
      </c>
      <c r="E672" t="s">
        <v>48</v>
      </c>
      <c r="F672">
        <v>1158</v>
      </c>
      <c r="G672">
        <v>10</v>
      </c>
      <c r="H672">
        <v>20</v>
      </c>
      <c r="I672">
        <v>23160</v>
      </c>
      <c r="J672">
        <v>3474</v>
      </c>
      <c r="K672">
        <v>19686</v>
      </c>
      <c r="L672">
        <v>11580</v>
      </c>
      <c r="M672">
        <v>8106</v>
      </c>
      <c r="N672" s="1">
        <v>41699</v>
      </c>
      <c r="O672">
        <v>3</v>
      </c>
      <c r="P672" t="s">
        <v>29</v>
      </c>
      <c r="Q672">
        <v>2014</v>
      </c>
    </row>
    <row r="673" spans="1:17" x14ac:dyDescent="0.3">
      <c r="A673" t="str">
        <f t="shared" ca="1" si="10"/>
        <v>ORD-2014-Ca0-4305</v>
      </c>
      <c r="B673" t="s">
        <v>23</v>
      </c>
      <c r="C673" t="s">
        <v>18</v>
      </c>
      <c r="D673" t="s">
        <v>38</v>
      </c>
      <c r="E673" t="s">
        <v>48</v>
      </c>
      <c r="F673">
        <v>1614</v>
      </c>
      <c r="G673">
        <v>10</v>
      </c>
      <c r="H673">
        <v>15</v>
      </c>
      <c r="I673">
        <v>24210</v>
      </c>
      <c r="J673">
        <v>3631.5</v>
      </c>
      <c r="K673">
        <v>20578.5</v>
      </c>
      <c r="L673">
        <v>16140</v>
      </c>
      <c r="M673">
        <v>4438.5</v>
      </c>
      <c r="N673" s="1">
        <v>41730</v>
      </c>
      <c r="O673">
        <v>4</v>
      </c>
      <c r="P673" t="s">
        <v>43</v>
      </c>
      <c r="Q673">
        <v>2014</v>
      </c>
    </row>
    <row r="674" spans="1:17" x14ac:dyDescent="0.3">
      <c r="A674" t="str">
        <f t="shared" ca="1" si="10"/>
        <v>ORD-2014-Mex-8251</v>
      </c>
      <c r="B674" t="s">
        <v>17</v>
      </c>
      <c r="C674" t="s">
        <v>26</v>
      </c>
      <c r="D674" t="s">
        <v>38</v>
      </c>
      <c r="E674" t="s">
        <v>48</v>
      </c>
      <c r="F674">
        <v>2535</v>
      </c>
      <c r="G674">
        <v>10</v>
      </c>
      <c r="H674">
        <v>7</v>
      </c>
      <c r="I674">
        <v>17745</v>
      </c>
      <c r="J674">
        <v>2661.75</v>
      </c>
      <c r="K674">
        <v>15083.25</v>
      </c>
      <c r="L674">
        <v>12675</v>
      </c>
      <c r="M674">
        <v>2408.25</v>
      </c>
      <c r="N674" s="1">
        <v>41730</v>
      </c>
      <c r="O674">
        <v>4</v>
      </c>
      <c r="P674" t="s">
        <v>43</v>
      </c>
      <c r="Q674">
        <v>2014</v>
      </c>
    </row>
    <row r="675" spans="1:17" x14ac:dyDescent="0.3">
      <c r="A675" t="str">
        <f t="shared" ca="1" si="10"/>
        <v>ORD-2014-Mex-1815</v>
      </c>
      <c r="B675" t="s">
        <v>17</v>
      </c>
      <c r="C675" t="s">
        <v>26</v>
      </c>
      <c r="D675" t="s">
        <v>38</v>
      </c>
      <c r="E675" t="s">
        <v>48</v>
      </c>
      <c r="F675">
        <v>2851</v>
      </c>
      <c r="G675">
        <v>10</v>
      </c>
      <c r="H675">
        <v>350</v>
      </c>
      <c r="I675">
        <v>997850</v>
      </c>
      <c r="J675">
        <v>149677.5</v>
      </c>
      <c r="K675">
        <v>848172.5</v>
      </c>
      <c r="L675">
        <v>741260</v>
      </c>
      <c r="M675">
        <v>106912.5</v>
      </c>
      <c r="N675" s="1">
        <v>41760</v>
      </c>
      <c r="O675">
        <v>5</v>
      </c>
      <c r="P675" t="s">
        <v>46</v>
      </c>
      <c r="Q675">
        <v>2014</v>
      </c>
    </row>
    <row r="676" spans="1:17" x14ac:dyDescent="0.3">
      <c r="A676" t="str">
        <f t="shared" ca="1" si="10"/>
        <v>ORD-2014-Ca0-2773</v>
      </c>
      <c r="B676" t="s">
        <v>23</v>
      </c>
      <c r="C676" t="s">
        <v>18</v>
      </c>
      <c r="D676" t="s">
        <v>38</v>
      </c>
      <c r="E676" t="s">
        <v>48</v>
      </c>
      <c r="F676">
        <v>2559</v>
      </c>
      <c r="G676">
        <v>10</v>
      </c>
      <c r="H676">
        <v>15</v>
      </c>
      <c r="I676">
        <v>38385</v>
      </c>
      <c r="J676">
        <v>5757.75</v>
      </c>
      <c r="K676">
        <v>32627.25</v>
      </c>
      <c r="L676">
        <v>25590</v>
      </c>
      <c r="M676">
        <v>7037.25</v>
      </c>
      <c r="N676" s="1">
        <v>41852</v>
      </c>
      <c r="O676">
        <v>8</v>
      </c>
      <c r="P676" t="s">
        <v>34</v>
      </c>
      <c r="Q676">
        <v>2014</v>
      </c>
    </row>
    <row r="677" spans="1:17" x14ac:dyDescent="0.3">
      <c r="A677" t="str">
        <f t="shared" ca="1" si="10"/>
        <v>ORD-2013-Uni-4481</v>
      </c>
      <c r="B677" t="s">
        <v>17</v>
      </c>
      <c r="C677" t="s">
        <v>37</v>
      </c>
      <c r="D677" t="s">
        <v>38</v>
      </c>
      <c r="E677" t="s">
        <v>48</v>
      </c>
      <c r="F677">
        <v>267</v>
      </c>
      <c r="G677">
        <v>10</v>
      </c>
      <c r="H677">
        <v>20</v>
      </c>
      <c r="I677">
        <v>5340</v>
      </c>
      <c r="J677">
        <v>801</v>
      </c>
      <c r="K677">
        <v>4539</v>
      </c>
      <c r="L677">
        <v>2670</v>
      </c>
      <c r="M677">
        <v>1869</v>
      </c>
      <c r="N677" s="1">
        <v>41548</v>
      </c>
      <c r="O677">
        <v>10</v>
      </c>
      <c r="P677" t="s">
        <v>36</v>
      </c>
      <c r="Q677">
        <v>2013</v>
      </c>
    </row>
    <row r="678" spans="1:17" x14ac:dyDescent="0.3">
      <c r="A678" t="str">
        <f t="shared" ca="1" si="10"/>
        <v>ORD-2014-Ger-4138</v>
      </c>
      <c r="B678" t="s">
        <v>31</v>
      </c>
      <c r="C678" t="s">
        <v>22</v>
      </c>
      <c r="D678" t="s">
        <v>38</v>
      </c>
      <c r="E678" t="s">
        <v>48</v>
      </c>
      <c r="F678">
        <v>1085</v>
      </c>
      <c r="G678">
        <v>10</v>
      </c>
      <c r="H678">
        <v>125</v>
      </c>
      <c r="I678">
        <v>135625</v>
      </c>
      <c r="J678">
        <v>20343.75</v>
      </c>
      <c r="K678">
        <v>115281.25</v>
      </c>
      <c r="L678">
        <v>130200</v>
      </c>
      <c r="M678">
        <f>K678-L678</f>
        <v>-14918.75</v>
      </c>
      <c r="N678" s="1">
        <v>41913</v>
      </c>
      <c r="O678">
        <v>10</v>
      </c>
      <c r="P678" t="s">
        <v>36</v>
      </c>
      <c r="Q678">
        <v>2014</v>
      </c>
    </row>
    <row r="679" spans="1:17" x14ac:dyDescent="0.3">
      <c r="A679" t="str">
        <f t="shared" ca="1" si="10"/>
        <v>ORD-2014-Ger-1279</v>
      </c>
      <c r="B679" t="s">
        <v>23</v>
      </c>
      <c r="C679" t="s">
        <v>22</v>
      </c>
      <c r="D679" t="s">
        <v>38</v>
      </c>
      <c r="E679" t="s">
        <v>48</v>
      </c>
      <c r="F679">
        <v>1175</v>
      </c>
      <c r="G679">
        <v>10</v>
      </c>
      <c r="H679">
        <v>15</v>
      </c>
      <c r="I679">
        <v>17625</v>
      </c>
      <c r="J679">
        <v>2643.75</v>
      </c>
      <c r="K679">
        <v>14981.25</v>
      </c>
      <c r="L679">
        <v>11750</v>
      </c>
      <c r="M679">
        <v>3231.25</v>
      </c>
      <c r="N679" s="1">
        <v>41913</v>
      </c>
      <c r="O679">
        <v>10</v>
      </c>
      <c r="P679" t="s">
        <v>36</v>
      </c>
      <c r="Q679">
        <v>2014</v>
      </c>
    </row>
    <row r="680" spans="1:17" x14ac:dyDescent="0.3">
      <c r="A680" t="str">
        <f t="shared" ca="1" si="10"/>
        <v>ORD-2013-Uni-5769</v>
      </c>
      <c r="B680" t="s">
        <v>17</v>
      </c>
      <c r="C680" t="s">
        <v>37</v>
      </c>
      <c r="D680" t="s">
        <v>38</v>
      </c>
      <c r="E680" t="s">
        <v>48</v>
      </c>
      <c r="F680">
        <v>2007</v>
      </c>
      <c r="G680">
        <v>10</v>
      </c>
      <c r="H680">
        <v>350</v>
      </c>
      <c r="I680">
        <v>702450</v>
      </c>
      <c r="J680">
        <v>105367.5</v>
      </c>
      <c r="K680">
        <v>597082.5</v>
      </c>
      <c r="L680">
        <v>521820</v>
      </c>
      <c r="M680">
        <v>75262.5</v>
      </c>
      <c r="N680" s="1">
        <v>41579</v>
      </c>
      <c r="O680">
        <v>11</v>
      </c>
      <c r="P680" t="s">
        <v>40</v>
      </c>
      <c r="Q680">
        <v>2013</v>
      </c>
    </row>
    <row r="681" spans="1:17" x14ac:dyDescent="0.3">
      <c r="A681" t="str">
        <f t="shared" ca="1" si="10"/>
        <v>ORD-2013-Mex-9775</v>
      </c>
      <c r="B681" t="s">
        <v>17</v>
      </c>
      <c r="C681" t="s">
        <v>26</v>
      </c>
      <c r="D681" t="s">
        <v>38</v>
      </c>
      <c r="E681" t="s">
        <v>48</v>
      </c>
      <c r="F681">
        <v>2151</v>
      </c>
      <c r="G681">
        <v>10</v>
      </c>
      <c r="H681">
        <v>350</v>
      </c>
      <c r="I681">
        <v>752850</v>
      </c>
      <c r="J681">
        <v>112927.5</v>
      </c>
      <c r="K681">
        <v>639922.5</v>
      </c>
      <c r="L681">
        <v>559260</v>
      </c>
      <c r="M681">
        <v>80662.5</v>
      </c>
      <c r="N681" s="1">
        <v>41579</v>
      </c>
      <c r="O681">
        <v>11</v>
      </c>
      <c r="P681" t="s">
        <v>40</v>
      </c>
      <c r="Q681">
        <v>2013</v>
      </c>
    </row>
    <row r="682" spans="1:17" x14ac:dyDescent="0.3">
      <c r="A682" t="str">
        <f t="shared" ca="1" si="10"/>
        <v>ORD-2014-Uni-5500</v>
      </c>
      <c r="B682" t="s">
        <v>30</v>
      </c>
      <c r="C682" t="s">
        <v>37</v>
      </c>
      <c r="D682" t="s">
        <v>38</v>
      </c>
      <c r="E682" t="s">
        <v>48</v>
      </c>
      <c r="F682">
        <v>914</v>
      </c>
      <c r="G682">
        <v>10</v>
      </c>
      <c r="H682">
        <v>12</v>
      </c>
      <c r="I682">
        <v>10968</v>
      </c>
      <c r="J682">
        <v>1645.2</v>
      </c>
      <c r="K682">
        <v>9322.7999999999993</v>
      </c>
      <c r="L682">
        <v>2742</v>
      </c>
      <c r="M682">
        <v>6580.8</v>
      </c>
      <c r="N682" s="1">
        <v>41974</v>
      </c>
      <c r="O682">
        <v>12</v>
      </c>
      <c r="P682" t="s">
        <v>27</v>
      </c>
      <c r="Q682">
        <v>2014</v>
      </c>
    </row>
    <row r="683" spans="1:17" x14ac:dyDescent="0.3">
      <c r="A683" t="str">
        <f t="shared" ca="1" si="10"/>
        <v>ORD-2014-Fra-6245</v>
      </c>
      <c r="B683" t="s">
        <v>17</v>
      </c>
      <c r="C683" t="s">
        <v>24</v>
      </c>
      <c r="D683" t="s">
        <v>38</v>
      </c>
      <c r="E683" t="s">
        <v>48</v>
      </c>
      <c r="F683">
        <v>293</v>
      </c>
      <c r="G683">
        <v>10</v>
      </c>
      <c r="H683">
        <v>20</v>
      </c>
      <c r="I683">
        <v>5860</v>
      </c>
      <c r="J683">
        <v>879</v>
      </c>
      <c r="K683">
        <v>4981</v>
      </c>
      <c r="L683">
        <v>2930</v>
      </c>
      <c r="M683">
        <v>2051</v>
      </c>
      <c r="N683" s="1">
        <v>41974</v>
      </c>
      <c r="O683">
        <v>12</v>
      </c>
      <c r="P683" t="s">
        <v>27</v>
      </c>
      <c r="Q683">
        <v>2014</v>
      </c>
    </row>
    <row r="684" spans="1:17" x14ac:dyDescent="0.3">
      <c r="A684" t="str">
        <f t="shared" ca="1" si="10"/>
        <v>ORD-2014-Mex-4953</v>
      </c>
      <c r="B684" t="s">
        <v>30</v>
      </c>
      <c r="C684" t="s">
        <v>26</v>
      </c>
      <c r="D684" t="s">
        <v>41</v>
      </c>
      <c r="E684" t="s">
        <v>48</v>
      </c>
      <c r="F684">
        <v>500</v>
      </c>
      <c r="G684">
        <v>120</v>
      </c>
      <c r="H684">
        <v>12</v>
      </c>
      <c r="I684">
        <v>6000</v>
      </c>
      <c r="J684">
        <v>900</v>
      </c>
      <c r="K684">
        <v>5100</v>
      </c>
      <c r="L684">
        <v>1500</v>
      </c>
      <c r="M684">
        <v>3600</v>
      </c>
      <c r="N684" s="1">
        <v>41699</v>
      </c>
      <c r="O684">
        <v>3</v>
      </c>
      <c r="P684" t="s">
        <v>29</v>
      </c>
      <c r="Q684">
        <v>2014</v>
      </c>
    </row>
    <row r="685" spans="1:17" x14ac:dyDescent="0.3">
      <c r="A685" t="str">
        <f t="shared" ca="1" si="10"/>
        <v>ORD-2014-Fra-7330</v>
      </c>
      <c r="B685" t="s">
        <v>23</v>
      </c>
      <c r="C685" t="s">
        <v>24</v>
      </c>
      <c r="D685" t="s">
        <v>41</v>
      </c>
      <c r="E685" t="s">
        <v>48</v>
      </c>
      <c r="F685">
        <v>2826</v>
      </c>
      <c r="G685">
        <v>120</v>
      </c>
      <c r="H685">
        <v>15</v>
      </c>
      <c r="I685">
        <v>42390</v>
      </c>
      <c r="J685">
        <v>6358.5</v>
      </c>
      <c r="K685">
        <v>36031.5</v>
      </c>
      <c r="L685">
        <v>28260</v>
      </c>
      <c r="M685">
        <v>7771.5</v>
      </c>
      <c r="N685" s="1">
        <v>41760</v>
      </c>
      <c r="O685">
        <v>5</v>
      </c>
      <c r="P685" t="s">
        <v>46</v>
      </c>
      <c r="Q685">
        <v>2014</v>
      </c>
    </row>
    <row r="686" spans="1:17" x14ac:dyDescent="0.3">
      <c r="A686" t="str">
        <f t="shared" ca="1" si="10"/>
        <v>ORD-2014-Fra-8591</v>
      </c>
      <c r="B686" t="s">
        <v>31</v>
      </c>
      <c r="C686" t="s">
        <v>24</v>
      </c>
      <c r="D686" t="s">
        <v>41</v>
      </c>
      <c r="E686" t="s">
        <v>48</v>
      </c>
      <c r="F686">
        <v>663</v>
      </c>
      <c r="G686">
        <v>120</v>
      </c>
      <c r="H686">
        <v>125</v>
      </c>
      <c r="I686">
        <v>82875</v>
      </c>
      <c r="J686">
        <v>12431.25</v>
      </c>
      <c r="K686">
        <v>70443.75</v>
      </c>
      <c r="L686">
        <v>7560</v>
      </c>
      <c r="M686">
        <f>K686-L686</f>
        <v>62883.75</v>
      </c>
      <c r="N686" s="1">
        <v>41883</v>
      </c>
      <c r="O686">
        <v>9</v>
      </c>
      <c r="P686" t="s">
        <v>35</v>
      </c>
      <c r="Q686">
        <v>2014</v>
      </c>
    </row>
    <row r="687" spans="1:17" x14ac:dyDescent="0.3">
      <c r="A687" t="str">
        <f t="shared" ca="1" si="10"/>
        <v>ORD-2013-Uni-9738</v>
      </c>
      <c r="B687" t="s">
        <v>33</v>
      </c>
      <c r="C687" t="s">
        <v>37</v>
      </c>
      <c r="D687" t="s">
        <v>41</v>
      </c>
      <c r="E687" t="s">
        <v>48</v>
      </c>
      <c r="F687">
        <v>2574</v>
      </c>
      <c r="G687">
        <v>120</v>
      </c>
      <c r="H687">
        <v>300</v>
      </c>
      <c r="I687">
        <v>772200</v>
      </c>
      <c r="J687">
        <v>115830</v>
      </c>
      <c r="K687">
        <v>656370</v>
      </c>
      <c r="L687">
        <v>643500</v>
      </c>
      <c r="M687">
        <v>12870</v>
      </c>
      <c r="N687" s="1">
        <v>41579</v>
      </c>
      <c r="O687">
        <v>11</v>
      </c>
      <c r="P687" t="s">
        <v>40</v>
      </c>
      <c r="Q687">
        <v>2013</v>
      </c>
    </row>
    <row r="688" spans="1:17" x14ac:dyDescent="0.3">
      <c r="A688" t="str">
        <f t="shared" ca="1" si="10"/>
        <v>ORD-2013-Uni-2676</v>
      </c>
      <c r="B688" t="s">
        <v>31</v>
      </c>
      <c r="C688" t="s">
        <v>37</v>
      </c>
      <c r="D688" t="s">
        <v>41</v>
      </c>
      <c r="E688" t="s">
        <v>48</v>
      </c>
      <c r="F688">
        <v>2438</v>
      </c>
      <c r="G688">
        <v>120</v>
      </c>
      <c r="H688">
        <v>125</v>
      </c>
      <c r="I688">
        <v>304750</v>
      </c>
      <c r="J688">
        <v>45712.5</v>
      </c>
      <c r="K688">
        <v>259037.5</v>
      </c>
      <c r="L688">
        <v>292560</v>
      </c>
      <c r="M688">
        <f>K688-L688</f>
        <v>-33522.5</v>
      </c>
      <c r="N688" s="1">
        <v>41609</v>
      </c>
      <c r="O688">
        <v>12</v>
      </c>
      <c r="P688" t="s">
        <v>27</v>
      </c>
      <c r="Q688">
        <v>2013</v>
      </c>
    </row>
    <row r="689" spans="1:17" x14ac:dyDescent="0.3">
      <c r="A689" t="str">
        <f t="shared" ca="1" si="10"/>
        <v>ORD-2014-Uni-9305</v>
      </c>
      <c r="B689" t="s">
        <v>30</v>
      </c>
      <c r="C689" t="s">
        <v>37</v>
      </c>
      <c r="D689" t="s">
        <v>41</v>
      </c>
      <c r="E689" t="s">
        <v>48</v>
      </c>
      <c r="F689">
        <v>914</v>
      </c>
      <c r="G689">
        <v>120</v>
      </c>
      <c r="H689">
        <v>12</v>
      </c>
      <c r="I689">
        <v>10968</v>
      </c>
      <c r="J689">
        <v>1645.2</v>
      </c>
      <c r="K689">
        <v>9322.7999999999993</v>
      </c>
      <c r="L689">
        <v>2742</v>
      </c>
      <c r="M689">
        <v>6580.8</v>
      </c>
      <c r="N689" s="1">
        <v>41974</v>
      </c>
      <c r="O689">
        <v>12</v>
      </c>
      <c r="P689" t="s">
        <v>27</v>
      </c>
      <c r="Q689">
        <v>2014</v>
      </c>
    </row>
    <row r="690" spans="1:17" x14ac:dyDescent="0.3">
      <c r="A690" t="str">
        <f t="shared" ca="1" si="10"/>
        <v>ORD-2014-Ca0-9012</v>
      </c>
      <c r="B690" t="s">
        <v>17</v>
      </c>
      <c r="C690" t="s">
        <v>18</v>
      </c>
      <c r="D690" t="s">
        <v>42</v>
      </c>
      <c r="E690" t="s">
        <v>48</v>
      </c>
      <c r="F690">
        <v>865.5</v>
      </c>
      <c r="G690">
        <v>250</v>
      </c>
      <c r="H690">
        <v>20</v>
      </c>
      <c r="I690">
        <v>17310</v>
      </c>
      <c r="J690">
        <v>2596.5</v>
      </c>
      <c r="K690">
        <v>14713.5</v>
      </c>
      <c r="L690">
        <v>8655</v>
      </c>
      <c r="M690">
        <v>6058.5</v>
      </c>
      <c r="N690" s="1">
        <v>41821</v>
      </c>
      <c r="O690">
        <v>7</v>
      </c>
      <c r="P690" t="s">
        <v>32</v>
      </c>
      <c r="Q690">
        <v>2014</v>
      </c>
    </row>
    <row r="691" spans="1:17" x14ac:dyDescent="0.3">
      <c r="A691" t="str">
        <f t="shared" ca="1" si="10"/>
        <v>ORD-2014-Ger-3405</v>
      </c>
      <c r="B691" t="s">
        <v>23</v>
      </c>
      <c r="C691" t="s">
        <v>22</v>
      </c>
      <c r="D691" t="s">
        <v>42</v>
      </c>
      <c r="E691" t="s">
        <v>48</v>
      </c>
      <c r="F691">
        <v>492</v>
      </c>
      <c r="G691">
        <v>250</v>
      </c>
      <c r="H691">
        <v>15</v>
      </c>
      <c r="I691">
        <v>7380</v>
      </c>
      <c r="J691">
        <v>1107</v>
      </c>
      <c r="K691">
        <v>6273</v>
      </c>
      <c r="L691">
        <v>4920</v>
      </c>
      <c r="M691">
        <v>1353</v>
      </c>
      <c r="N691" s="1">
        <v>41821</v>
      </c>
      <c r="O691">
        <v>7</v>
      </c>
      <c r="P691" t="s">
        <v>32</v>
      </c>
      <c r="Q691">
        <v>2014</v>
      </c>
    </row>
    <row r="692" spans="1:17" x14ac:dyDescent="0.3">
      <c r="A692" t="str">
        <f t="shared" ca="1" si="10"/>
        <v>ORD-2013-Uni-9026</v>
      </c>
      <c r="B692" t="s">
        <v>17</v>
      </c>
      <c r="C692" t="s">
        <v>37</v>
      </c>
      <c r="D692" t="s">
        <v>42</v>
      </c>
      <c r="E692" t="s">
        <v>48</v>
      </c>
      <c r="F692">
        <v>267</v>
      </c>
      <c r="G692">
        <v>250</v>
      </c>
      <c r="H692">
        <v>20</v>
      </c>
      <c r="I692">
        <v>5340</v>
      </c>
      <c r="J692">
        <v>801</v>
      </c>
      <c r="K692">
        <v>4539</v>
      </c>
      <c r="L692">
        <v>2670</v>
      </c>
      <c r="M692">
        <v>1869</v>
      </c>
      <c r="N692" s="1">
        <v>41548</v>
      </c>
      <c r="O692">
        <v>10</v>
      </c>
      <c r="P692" t="s">
        <v>36</v>
      </c>
      <c r="Q692">
        <v>2013</v>
      </c>
    </row>
    <row r="693" spans="1:17" x14ac:dyDescent="0.3">
      <c r="A693" t="str">
        <f t="shared" ca="1" si="10"/>
        <v>ORD-2014-Ger-3298</v>
      </c>
      <c r="B693" t="s">
        <v>23</v>
      </c>
      <c r="C693" t="s">
        <v>22</v>
      </c>
      <c r="D693" t="s">
        <v>42</v>
      </c>
      <c r="E693" t="s">
        <v>48</v>
      </c>
      <c r="F693">
        <v>1175</v>
      </c>
      <c r="G693">
        <v>250</v>
      </c>
      <c r="H693">
        <v>15</v>
      </c>
      <c r="I693">
        <v>17625</v>
      </c>
      <c r="J693">
        <v>2643.75</v>
      </c>
      <c r="K693">
        <v>14981.25</v>
      </c>
      <c r="L693">
        <v>11750</v>
      </c>
      <c r="M693">
        <v>3231.25</v>
      </c>
      <c r="N693" s="1">
        <v>41913</v>
      </c>
      <c r="O693">
        <v>10</v>
      </c>
      <c r="P693" t="s">
        <v>36</v>
      </c>
      <c r="Q693">
        <v>2014</v>
      </c>
    </row>
    <row r="694" spans="1:17" x14ac:dyDescent="0.3">
      <c r="A694" t="str">
        <f t="shared" ca="1" si="10"/>
        <v>ORD-2013-Ca0-4971</v>
      </c>
      <c r="B694" t="s">
        <v>31</v>
      </c>
      <c r="C694" t="s">
        <v>18</v>
      </c>
      <c r="D694" t="s">
        <v>42</v>
      </c>
      <c r="E694" t="s">
        <v>48</v>
      </c>
      <c r="F694">
        <v>2954</v>
      </c>
      <c r="G694">
        <v>250</v>
      </c>
      <c r="H694">
        <v>125</v>
      </c>
      <c r="I694">
        <v>369250</v>
      </c>
      <c r="J694">
        <v>55387.5</v>
      </c>
      <c r="K694">
        <v>313862.5</v>
      </c>
      <c r="L694">
        <v>35480</v>
      </c>
      <c r="M694">
        <f>K694-L694</f>
        <v>278382.5</v>
      </c>
      <c r="N694" s="1">
        <v>41579</v>
      </c>
      <c r="O694">
        <v>11</v>
      </c>
      <c r="P694" t="s">
        <v>40</v>
      </c>
      <c r="Q694">
        <v>2013</v>
      </c>
    </row>
    <row r="695" spans="1:17" x14ac:dyDescent="0.3">
      <c r="A695" t="str">
        <f t="shared" ca="1" si="10"/>
        <v>ORD-2014-Ger-1103</v>
      </c>
      <c r="B695" t="s">
        <v>31</v>
      </c>
      <c r="C695" t="s">
        <v>22</v>
      </c>
      <c r="D695" t="s">
        <v>42</v>
      </c>
      <c r="E695" t="s">
        <v>48</v>
      </c>
      <c r="F695">
        <v>552</v>
      </c>
      <c r="G695">
        <v>250</v>
      </c>
      <c r="H695">
        <v>125</v>
      </c>
      <c r="I695">
        <v>69000</v>
      </c>
      <c r="J695">
        <v>10350</v>
      </c>
      <c r="K695">
        <v>58650</v>
      </c>
      <c r="L695">
        <v>66240</v>
      </c>
      <c r="M695">
        <f>K695-L695</f>
        <v>-7590</v>
      </c>
      <c r="N695" s="1">
        <v>41944</v>
      </c>
      <c r="O695">
        <v>11</v>
      </c>
      <c r="P695" t="s">
        <v>40</v>
      </c>
      <c r="Q695">
        <v>2014</v>
      </c>
    </row>
    <row r="696" spans="1:17" x14ac:dyDescent="0.3">
      <c r="A696" t="str">
        <f t="shared" ca="1" si="10"/>
        <v>ORD-2014-Fra-3913</v>
      </c>
      <c r="B696" t="s">
        <v>17</v>
      </c>
      <c r="C696" t="s">
        <v>24</v>
      </c>
      <c r="D696" t="s">
        <v>42</v>
      </c>
      <c r="E696" t="s">
        <v>48</v>
      </c>
      <c r="F696">
        <v>293</v>
      </c>
      <c r="G696">
        <v>250</v>
      </c>
      <c r="H696">
        <v>20</v>
      </c>
      <c r="I696">
        <v>5860</v>
      </c>
      <c r="J696">
        <v>879</v>
      </c>
      <c r="K696">
        <v>4981</v>
      </c>
      <c r="L696">
        <v>2930</v>
      </c>
      <c r="M696">
        <v>2051</v>
      </c>
      <c r="N696" s="1">
        <v>41974</v>
      </c>
      <c r="O696">
        <v>12</v>
      </c>
      <c r="P696" t="s">
        <v>27</v>
      </c>
      <c r="Q696">
        <v>2014</v>
      </c>
    </row>
    <row r="697" spans="1:17" x14ac:dyDescent="0.3">
      <c r="A697" t="str">
        <f t="shared" ca="1" si="10"/>
        <v>ORD-2014-Fra-9965</v>
      </c>
      <c r="B697" t="s">
        <v>33</v>
      </c>
      <c r="C697" t="s">
        <v>24</v>
      </c>
      <c r="D697" t="s">
        <v>44</v>
      </c>
      <c r="E697" t="s">
        <v>48</v>
      </c>
      <c r="F697">
        <v>2475</v>
      </c>
      <c r="G697">
        <v>260</v>
      </c>
      <c r="H697">
        <v>300</v>
      </c>
      <c r="I697">
        <v>742500</v>
      </c>
      <c r="J697">
        <v>111375</v>
      </c>
      <c r="K697">
        <v>631125</v>
      </c>
      <c r="L697">
        <v>618750</v>
      </c>
      <c r="M697">
        <v>12375</v>
      </c>
      <c r="N697" s="1">
        <v>41699</v>
      </c>
      <c r="O697">
        <v>3</v>
      </c>
      <c r="P697" t="s">
        <v>29</v>
      </c>
      <c r="Q697">
        <v>2014</v>
      </c>
    </row>
    <row r="698" spans="1:17" x14ac:dyDescent="0.3">
      <c r="A698" t="str">
        <f t="shared" ca="1" si="10"/>
        <v>ORD-2014-Mex-6103</v>
      </c>
      <c r="B698" t="s">
        <v>33</v>
      </c>
      <c r="C698" t="s">
        <v>26</v>
      </c>
      <c r="D698" t="s">
        <v>44</v>
      </c>
      <c r="E698" t="s">
        <v>48</v>
      </c>
      <c r="F698">
        <v>546</v>
      </c>
      <c r="G698">
        <v>260</v>
      </c>
      <c r="H698">
        <v>300</v>
      </c>
      <c r="I698">
        <v>163800</v>
      </c>
      <c r="J698">
        <v>24570</v>
      </c>
      <c r="K698">
        <v>139230</v>
      </c>
      <c r="L698">
        <v>136500</v>
      </c>
      <c r="M698">
        <v>2730</v>
      </c>
      <c r="N698" s="1">
        <v>41913</v>
      </c>
      <c r="O698">
        <v>10</v>
      </c>
      <c r="P698" t="s">
        <v>36</v>
      </c>
      <c r="Q698">
        <v>2014</v>
      </c>
    </row>
    <row r="699" spans="1:17" x14ac:dyDescent="0.3">
      <c r="A699" t="str">
        <f t="shared" ca="1" si="10"/>
        <v>ORD-2014-Mex-4251</v>
      </c>
      <c r="B699" t="s">
        <v>17</v>
      </c>
      <c r="C699" t="s">
        <v>26</v>
      </c>
      <c r="D699" t="s">
        <v>28</v>
      </c>
      <c r="E699" t="s">
        <v>48</v>
      </c>
      <c r="F699">
        <v>1368</v>
      </c>
      <c r="G699">
        <v>5</v>
      </c>
      <c r="H699">
        <v>7</v>
      </c>
      <c r="I699">
        <v>9576</v>
      </c>
      <c r="J699">
        <v>1436.4</v>
      </c>
      <c r="K699">
        <v>8139.6</v>
      </c>
      <c r="L699">
        <v>6840</v>
      </c>
      <c r="M699">
        <v>1299.5999999999999</v>
      </c>
      <c r="N699" s="1">
        <v>41671</v>
      </c>
      <c r="O699">
        <v>2</v>
      </c>
      <c r="P699" t="s">
        <v>39</v>
      </c>
      <c r="Q699">
        <v>2014</v>
      </c>
    </row>
    <row r="700" spans="1:17" x14ac:dyDescent="0.3">
      <c r="A700" t="str">
        <f t="shared" ca="1" si="10"/>
        <v>ORD-2014-Ca0-3172</v>
      </c>
      <c r="B700" t="s">
        <v>17</v>
      </c>
      <c r="C700" t="s">
        <v>18</v>
      </c>
      <c r="D700" t="s">
        <v>38</v>
      </c>
      <c r="E700" t="s">
        <v>48</v>
      </c>
      <c r="F700">
        <v>723</v>
      </c>
      <c r="G700">
        <v>10</v>
      </c>
      <c r="H700">
        <v>7</v>
      </c>
      <c r="I700">
        <v>5061</v>
      </c>
      <c r="J700">
        <v>759.15</v>
      </c>
      <c r="K700">
        <v>4301.8500000000004</v>
      </c>
      <c r="L700">
        <v>3615</v>
      </c>
      <c r="M700">
        <v>686.85</v>
      </c>
      <c r="N700" s="1">
        <v>41730</v>
      </c>
      <c r="O700">
        <v>4</v>
      </c>
      <c r="P700" t="s">
        <v>43</v>
      </c>
      <c r="Q700">
        <v>2014</v>
      </c>
    </row>
    <row r="701" spans="1:17" x14ac:dyDescent="0.3">
      <c r="A701" t="str">
        <f t="shared" ca="1" si="10"/>
        <v>ORD-2014-Uni-9398</v>
      </c>
      <c r="B701" t="s">
        <v>30</v>
      </c>
      <c r="C701" t="s">
        <v>37</v>
      </c>
      <c r="D701" t="s">
        <v>42</v>
      </c>
      <c r="E701" t="s">
        <v>48</v>
      </c>
      <c r="F701">
        <v>1806</v>
      </c>
      <c r="G701">
        <v>250</v>
      </c>
      <c r="H701">
        <v>12</v>
      </c>
      <c r="I701">
        <v>21672</v>
      </c>
      <c r="J701">
        <v>3250.8</v>
      </c>
      <c r="K701">
        <v>18421.2</v>
      </c>
      <c r="L701">
        <v>5418</v>
      </c>
      <c r="M701">
        <v>13003.2</v>
      </c>
      <c r="N701" s="1">
        <v>41760</v>
      </c>
      <c r="O701">
        <v>5</v>
      </c>
      <c r="P701" t="s">
        <v>46</v>
      </c>
      <c r="Q701">
        <v>2014</v>
      </c>
    </row>
    <row r="702" spans="1:17" x14ac:dyDescent="0.3">
      <c r="A702" t="str">
        <f t="shared" ca="1" si="10"/>
        <v>ORD-2014-Fra-6864</v>
      </c>
      <c r="B702" t="s">
        <v>17</v>
      </c>
      <c r="C702" t="s">
        <v>24</v>
      </c>
      <c r="D702" t="s">
        <v>41</v>
      </c>
      <c r="E702" t="s">
        <v>47</v>
      </c>
      <c r="F702">
        <v>1579</v>
      </c>
      <c r="G702">
        <v>120</v>
      </c>
      <c r="H702">
        <v>20</v>
      </c>
      <c r="I702">
        <v>31580</v>
      </c>
      <c r="J702">
        <v>1579</v>
      </c>
      <c r="K702">
        <v>30001</v>
      </c>
      <c r="L702">
        <v>15790</v>
      </c>
      <c r="M702">
        <v>14211</v>
      </c>
      <c r="N702" s="1">
        <v>41852</v>
      </c>
      <c r="O702">
        <v>8</v>
      </c>
      <c r="P702" t="s">
        <v>34</v>
      </c>
      <c r="Q702">
        <v>2014</v>
      </c>
    </row>
    <row r="703" spans="1:17" x14ac:dyDescent="0.3">
      <c r="A703" t="str">
        <f t="shared" ca="1" si="10"/>
        <v>ORD-2014-Uni-6308</v>
      </c>
      <c r="B703" t="s">
        <v>31</v>
      </c>
      <c r="C703" t="s">
        <v>37</v>
      </c>
      <c r="D703" t="s">
        <v>41</v>
      </c>
      <c r="E703" t="s">
        <v>47</v>
      </c>
      <c r="F703">
        <v>861</v>
      </c>
      <c r="G703">
        <v>120</v>
      </c>
      <c r="H703">
        <v>125</v>
      </c>
      <c r="I703">
        <v>107625</v>
      </c>
      <c r="J703">
        <v>5381.25</v>
      </c>
      <c r="K703">
        <v>102243.75</v>
      </c>
      <c r="L703">
        <v>103320</v>
      </c>
      <c r="M703">
        <f>K703-L703</f>
        <v>-1076.25</v>
      </c>
      <c r="N703" s="1">
        <v>41913</v>
      </c>
      <c r="O703">
        <v>10</v>
      </c>
      <c r="P703" t="s">
        <v>36</v>
      </c>
      <c r="Q703">
        <v>2014</v>
      </c>
    </row>
    <row r="704" spans="1:17" x14ac:dyDescent="0.3">
      <c r="A704" t="str">
        <f t="shared" ca="1" si="10"/>
        <v>ORD-2013-Fra-9648</v>
      </c>
      <c r="B704" t="s">
        <v>31</v>
      </c>
      <c r="C704" t="s">
        <v>24</v>
      </c>
      <c r="D704" t="s">
        <v>41</v>
      </c>
      <c r="E704" t="s">
        <v>47</v>
      </c>
      <c r="F704">
        <v>704</v>
      </c>
      <c r="G704">
        <v>120</v>
      </c>
      <c r="H704">
        <v>125</v>
      </c>
      <c r="I704">
        <v>88000</v>
      </c>
      <c r="J704">
        <v>4400</v>
      </c>
      <c r="K704">
        <v>83600</v>
      </c>
      <c r="L704">
        <v>8480</v>
      </c>
      <c r="M704">
        <f>K704-L704</f>
        <v>75120</v>
      </c>
      <c r="N704" s="1">
        <v>41548</v>
      </c>
      <c r="O704">
        <v>10</v>
      </c>
      <c r="P704" t="s">
        <v>36</v>
      </c>
      <c r="Q704">
        <v>2013</v>
      </c>
    </row>
    <row r="705" spans="1:17" x14ac:dyDescent="0.3">
      <c r="A705" t="str">
        <f t="shared" ca="1" si="10"/>
        <v>ORD-2013-Fra-6552</v>
      </c>
      <c r="B705" t="s">
        <v>17</v>
      </c>
      <c r="C705" t="s">
        <v>24</v>
      </c>
      <c r="D705" t="s">
        <v>41</v>
      </c>
      <c r="E705" t="s">
        <v>47</v>
      </c>
      <c r="F705">
        <v>1033</v>
      </c>
      <c r="G705">
        <v>120</v>
      </c>
      <c r="H705">
        <v>20</v>
      </c>
      <c r="I705">
        <v>20660</v>
      </c>
      <c r="J705">
        <v>1033</v>
      </c>
      <c r="K705">
        <v>19627</v>
      </c>
      <c r="L705">
        <v>10330</v>
      </c>
      <c r="M705">
        <v>9297</v>
      </c>
      <c r="N705" s="1">
        <v>41609</v>
      </c>
      <c r="O705">
        <v>12</v>
      </c>
      <c r="P705" t="s">
        <v>27</v>
      </c>
      <c r="Q705">
        <v>2013</v>
      </c>
    </row>
    <row r="706" spans="1:17" x14ac:dyDescent="0.3">
      <c r="A706" t="str">
        <f t="shared" ca="1" si="10"/>
        <v>ORD-2014-Ger-3925</v>
      </c>
      <c r="B706" t="s">
        <v>33</v>
      </c>
      <c r="C706" t="s">
        <v>22</v>
      </c>
      <c r="D706" t="s">
        <v>41</v>
      </c>
      <c r="E706" t="s">
        <v>47</v>
      </c>
      <c r="F706">
        <v>1250</v>
      </c>
      <c r="G706">
        <v>120</v>
      </c>
      <c r="H706">
        <v>300</v>
      </c>
      <c r="I706">
        <v>375000</v>
      </c>
      <c r="J706">
        <v>18750</v>
      </c>
      <c r="K706">
        <v>356250</v>
      </c>
      <c r="L706">
        <v>312500</v>
      </c>
      <c r="M706">
        <v>43750</v>
      </c>
      <c r="N706" s="1">
        <v>41974</v>
      </c>
      <c r="O706">
        <v>12</v>
      </c>
      <c r="P706" t="s">
        <v>27</v>
      </c>
      <c r="Q706">
        <v>2014</v>
      </c>
    </row>
    <row r="707" spans="1:17" x14ac:dyDescent="0.3">
      <c r="A707" t="str">
        <f t="shared" ref="A707:A770" ca="1" si="11">"ORD-" &amp; YEAR(N707) &amp; "-"  &amp; LEFT(C707,3) &amp; "-" &amp; RANDBETWEEN(1000,9999)</f>
        <v>ORD-2013-Ca0-5076</v>
      </c>
      <c r="B707" t="s">
        <v>17</v>
      </c>
      <c r="C707" t="s">
        <v>18</v>
      </c>
      <c r="D707" t="s">
        <v>42</v>
      </c>
      <c r="E707" t="s">
        <v>47</v>
      </c>
      <c r="F707">
        <v>1389</v>
      </c>
      <c r="G707">
        <v>250</v>
      </c>
      <c r="H707">
        <v>20</v>
      </c>
      <c r="I707">
        <v>27780</v>
      </c>
      <c r="J707">
        <v>1389</v>
      </c>
      <c r="K707">
        <v>26391</v>
      </c>
      <c r="L707">
        <v>13890</v>
      </c>
      <c r="M707">
        <v>12501</v>
      </c>
      <c r="N707" s="1">
        <v>41548</v>
      </c>
      <c r="O707">
        <v>10</v>
      </c>
      <c r="P707" t="s">
        <v>36</v>
      </c>
      <c r="Q707">
        <v>2013</v>
      </c>
    </row>
    <row r="708" spans="1:17" x14ac:dyDescent="0.3">
      <c r="A708" t="str">
        <f t="shared" ca="1" si="11"/>
        <v>ORD-2013-Uni-1254</v>
      </c>
      <c r="B708" t="s">
        <v>17</v>
      </c>
      <c r="C708" t="s">
        <v>37</v>
      </c>
      <c r="D708" t="s">
        <v>42</v>
      </c>
      <c r="E708" t="s">
        <v>47</v>
      </c>
      <c r="F708">
        <v>1265</v>
      </c>
      <c r="G708">
        <v>250</v>
      </c>
      <c r="H708">
        <v>20</v>
      </c>
      <c r="I708">
        <v>25300</v>
      </c>
      <c r="J708">
        <v>1265</v>
      </c>
      <c r="K708">
        <v>24035</v>
      </c>
      <c r="L708">
        <v>12650</v>
      </c>
      <c r="M708">
        <v>11385</v>
      </c>
      <c r="N708" s="1">
        <v>41579</v>
      </c>
      <c r="O708">
        <v>11</v>
      </c>
      <c r="P708" t="s">
        <v>40</v>
      </c>
      <c r="Q708">
        <v>2013</v>
      </c>
    </row>
    <row r="709" spans="1:17" x14ac:dyDescent="0.3">
      <c r="A709" t="str">
        <f t="shared" ca="1" si="11"/>
        <v>ORD-2013-Ger-3665</v>
      </c>
      <c r="B709" t="s">
        <v>17</v>
      </c>
      <c r="C709" t="s">
        <v>22</v>
      </c>
      <c r="D709" t="s">
        <v>42</v>
      </c>
      <c r="E709" t="s">
        <v>47</v>
      </c>
      <c r="F709">
        <v>2297</v>
      </c>
      <c r="G709">
        <v>250</v>
      </c>
      <c r="H709">
        <v>20</v>
      </c>
      <c r="I709">
        <v>45940</v>
      </c>
      <c r="J709">
        <v>2297</v>
      </c>
      <c r="K709">
        <v>43643</v>
      </c>
      <c r="L709">
        <v>22970</v>
      </c>
      <c r="M709">
        <v>20673</v>
      </c>
      <c r="N709" s="1">
        <v>41579</v>
      </c>
      <c r="O709">
        <v>11</v>
      </c>
      <c r="P709" t="s">
        <v>40</v>
      </c>
      <c r="Q709">
        <v>2013</v>
      </c>
    </row>
    <row r="710" spans="1:17" x14ac:dyDescent="0.3">
      <c r="A710" t="str">
        <f t="shared" ca="1" si="11"/>
        <v>ORD-2014-Uni-2158</v>
      </c>
      <c r="B710" t="s">
        <v>17</v>
      </c>
      <c r="C710" t="s">
        <v>37</v>
      </c>
      <c r="D710" t="s">
        <v>42</v>
      </c>
      <c r="E710" t="s">
        <v>47</v>
      </c>
      <c r="F710">
        <v>2663</v>
      </c>
      <c r="G710">
        <v>250</v>
      </c>
      <c r="H710">
        <v>20</v>
      </c>
      <c r="I710">
        <v>53260</v>
      </c>
      <c r="J710">
        <v>2663</v>
      </c>
      <c r="K710">
        <v>50597</v>
      </c>
      <c r="L710">
        <v>26630</v>
      </c>
      <c r="M710">
        <v>23967</v>
      </c>
      <c r="N710" s="1">
        <v>41974</v>
      </c>
      <c r="O710">
        <v>12</v>
      </c>
      <c r="P710" t="s">
        <v>27</v>
      </c>
      <c r="Q710">
        <v>2014</v>
      </c>
    </row>
    <row r="711" spans="1:17" x14ac:dyDescent="0.3">
      <c r="A711" t="str">
        <f t="shared" ca="1" si="11"/>
        <v>ORD-2014-Uni-8360</v>
      </c>
      <c r="B711" t="s">
        <v>17</v>
      </c>
      <c r="C711" t="s">
        <v>37</v>
      </c>
      <c r="D711" t="s">
        <v>42</v>
      </c>
      <c r="E711" t="s">
        <v>47</v>
      </c>
      <c r="F711">
        <v>570</v>
      </c>
      <c r="G711">
        <v>250</v>
      </c>
      <c r="H711">
        <v>7</v>
      </c>
      <c r="I711">
        <v>3990</v>
      </c>
      <c r="J711">
        <v>199.5</v>
      </c>
      <c r="K711">
        <v>3790.5</v>
      </c>
      <c r="L711">
        <v>2850</v>
      </c>
      <c r="M711">
        <v>940.5</v>
      </c>
      <c r="N711" s="1">
        <v>41974</v>
      </c>
      <c r="O711">
        <v>12</v>
      </c>
      <c r="P711" t="s">
        <v>27</v>
      </c>
      <c r="Q711">
        <v>2014</v>
      </c>
    </row>
    <row r="712" spans="1:17" x14ac:dyDescent="0.3">
      <c r="A712" t="str">
        <f t="shared" ca="1" si="11"/>
        <v>ORD-2014-Fra-8371</v>
      </c>
      <c r="B712" t="s">
        <v>17</v>
      </c>
      <c r="C712" t="s">
        <v>24</v>
      </c>
      <c r="D712" t="s">
        <v>42</v>
      </c>
      <c r="E712" t="s">
        <v>47</v>
      </c>
      <c r="F712">
        <v>2487</v>
      </c>
      <c r="G712">
        <v>250</v>
      </c>
      <c r="H712">
        <v>7</v>
      </c>
      <c r="I712">
        <v>17409</v>
      </c>
      <c r="J712">
        <v>870.45</v>
      </c>
      <c r="K712">
        <v>16538.55</v>
      </c>
      <c r="L712">
        <v>12435</v>
      </c>
      <c r="M712">
        <v>4103.55</v>
      </c>
      <c r="N712" s="1">
        <v>41974</v>
      </c>
      <c r="O712">
        <v>12</v>
      </c>
      <c r="P712" t="s">
        <v>27</v>
      </c>
      <c r="Q712">
        <v>2014</v>
      </c>
    </row>
    <row r="713" spans="1:17" x14ac:dyDescent="0.3">
      <c r="A713" t="str">
        <f t="shared" ca="1" si="11"/>
        <v>ORD-2014-Ger-7346</v>
      </c>
      <c r="B713" t="s">
        <v>17</v>
      </c>
      <c r="C713" t="s">
        <v>22</v>
      </c>
      <c r="D713" t="s">
        <v>44</v>
      </c>
      <c r="E713" t="s">
        <v>47</v>
      </c>
      <c r="F713">
        <v>1350</v>
      </c>
      <c r="G713">
        <v>260</v>
      </c>
      <c r="H713">
        <v>350</v>
      </c>
      <c r="I713">
        <v>472500</v>
      </c>
      <c r="J713">
        <v>23625</v>
      </c>
      <c r="K713">
        <v>448875</v>
      </c>
      <c r="L713">
        <v>351000</v>
      </c>
      <c r="M713">
        <v>97875</v>
      </c>
      <c r="N713" s="1">
        <v>41671</v>
      </c>
      <c r="O713">
        <v>2</v>
      </c>
      <c r="P713" t="s">
        <v>39</v>
      </c>
      <c r="Q713">
        <v>2014</v>
      </c>
    </row>
    <row r="714" spans="1:17" x14ac:dyDescent="0.3">
      <c r="A714" t="str">
        <f t="shared" ca="1" si="11"/>
        <v>ORD-2014-Ca0-7356</v>
      </c>
      <c r="B714" t="s">
        <v>17</v>
      </c>
      <c r="C714" t="s">
        <v>18</v>
      </c>
      <c r="D714" t="s">
        <v>44</v>
      </c>
      <c r="E714" t="s">
        <v>47</v>
      </c>
      <c r="F714">
        <v>552</v>
      </c>
      <c r="G714">
        <v>260</v>
      </c>
      <c r="H714">
        <v>350</v>
      </c>
      <c r="I714">
        <v>193200</v>
      </c>
      <c r="J714">
        <v>9660</v>
      </c>
      <c r="K714">
        <v>183540</v>
      </c>
      <c r="L714">
        <v>143520</v>
      </c>
      <c r="M714">
        <v>40020</v>
      </c>
      <c r="N714" s="1">
        <v>41852</v>
      </c>
      <c r="O714">
        <v>8</v>
      </c>
      <c r="P714" t="s">
        <v>34</v>
      </c>
      <c r="Q714">
        <v>2014</v>
      </c>
    </row>
    <row r="715" spans="1:17" x14ac:dyDescent="0.3">
      <c r="A715" t="str">
        <f t="shared" ca="1" si="11"/>
        <v>ORD-2013-Ca0-3260</v>
      </c>
      <c r="B715" t="s">
        <v>17</v>
      </c>
      <c r="C715" t="s">
        <v>18</v>
      </c>
      <c r="D715" t="s">
        <v>44</v>
      </c>
      <c r="E715" t="s">
        <v>47</v>
      </c>
      <c r="F715">
        <v>1228</v>
      </c>
      <c r="G715">
        <v>260</v>
      </c>
      <c r="H715">
        <v>350</v>
      </c>
      <c r="I715">
        <v>429800</v>
      </c>
      <c r="J715">
        <v>21490</v>
      </c>
      <c r="K715">
        <v>408310</v>
      </c>
      <c r="L715">
        <v>319280</v>
      </c>
      <c r="M715">
        <v>89030</v>
      </c>
      <c r="N715" s="1">
        <v>41548</v>
      </c>
      <c r="O715">
        <v>10</v>
      </c>
      <c r="P715" t="s">
        <v>36</v>
      </c>
      <c r="Q715">
        <v>2013</v>
      </c>
    </row>
    <row r="716" spans="1:17" x14ac:dyDescent="0.3">
      <c r="A716" t="str">
        <f t="shared" ca="1" si="11"/>
        <v>ORD-2014-Ger-5080</v>
      </c>
      <c r="B716" t="s">
        <v>33</v>
      </c>
      <c r="C716" t="s">
        <v>22</v>
      </c>
      <c r="D716" t="s">
        <v>44</v>
      </c>
      <c r="E716" t="s">
        <v>47</v>
      </c>
      <c r="F716">
        <v>1250</v>
      </c>
      <c r="G716">
        <v>260</v>
      </c>
      <c r="H716">
        <v>300</v>
      </c>
      <c r="I716">
        <v>375000</v>
      </c>
      <c r="J716">
        <v>18750</v>
      </c>
      <c r="K716">
        <v>356250</v>
      </c>
      <c r="L716">
        <v>312500</v>
      </c>
      <c r="M716">
        <v>43750</v>
      </c>
      <c r="N716" s="1">
        <v>41974</v>
      </c>
      <c r="O716">
        <v>12</v>
      </c>
      <c r="P716" t="s">
        <v>27</v>
      </c>
      <c r="Q716">
        <v>2014</v>
      </c>
    </row>
    <row r="717" spans="1:17" x14ac:dyDescent="0.3">
      <c r="A717" t="str">
        <f t="shared" ca="1" si="11"/>
        <v>ORD-2014-Fra-6550</v>
      </c>
      <c r="B717" t="s">
        <v>23</v>
      </c>
      <c r="C717" t="s">
        <v>24</v>
      </c>
      <c r="D717" t="s">
        <v>38</v>
      </c>
      <c r="E717" t="s">
        <v>47</v>
      </c>
      <c r="F717">
        <v>3801</v>
      </c>
      <c r="G717">
        <v>10</v>
      </c>
      <c r="H717">
        <v>15</v>
      </c>
      <c r="I717">
        <v>57015</v>
      </c>
      <c r="J717">
        <v>3420.9</v>
      </c>
      <c r="K717">
        <v>53594.1</v>
      </c>
      <c r="L717">
        <v>38010</v>
      </c>
      <c r="M717">
        <v>15584.1</v>
      </c>
      <c r="N717" s="1">
        <v>41730</v>
      </c>
      <c r="O717">
        <v>4</v>
      </c>
      <c r="P717" t="s">
        <v>43</v>
      </c>
      <c r="Q717">
        <v>2014</v>
      </c>
    </row>
    <row r="718" spans="1:17" x14ac:dyDescent="0.3">
      <c r="A718" t="str">
        <f t="shared" ca="1" si="11"/>
        <v>ORD-2014-Uni-8814</v>
      </c>
      <c r="B718" t="s">
        <v>17</v>
      </c>
      <c r="C718" t="s">
        <v>37</v>
      </c>
      <c r="D718" t="s">
        <v>19</v>
      </c>
      <c r="E718" t="s">
        <v>47</v>
      </c>
      <c r="F718">
        <v>1117.5</v>
      </c>
      <c r="G718">
        <v>3</v>
      </c>
      <c r="H718">
        <v>20</v>
      </c>
      <c r="I718">
        <v>22350</v>
      </c>
      <c r="J718">
        <v>1341</v>
      </c>
      <c r="K718">
        <v>21009</v>
      </c>
      <c r="L718">
        <v>11175</v>
      </c>
      <c r="M718">
        <v>9834</v>
      </c>
      <c r="N718" s="1">
        <v>41640</v>
      </c>
      <c r="O718">
        <v>1</v>
      </c>
      <c r="P718" t="s">
        <v>21</v>
      </c>
      <c r="Q718">
        <v>2014</v>
      </c>
    </row>
    <row r="719" spans="1:17" x14ac:dyDescent="0.3">
      <c r="A719" t="str">
        <f t="shared" ca="1" si="11"/>
        <v>ORD-2014-Ca0-5622</v>
      </c>
      <c r="B719" t="s">
        <v>23</v>
      </c>
      <c r="C719" t="s">
        <v>18</v>
      </c>
      <c r="D719" t="s">
        <v>19</v>
      </c>
      <c r="E719" t="s">
        <v>47</v>
      </c>
      <c r="F719">
        <v>2844</v>
      </c>
      <c r="G719">
        <v>3</v>
      </c>
      <c r="H719">
        <v>15</v>
      </c>
      <c r="I719">
        <v>42660</v>
      </c>
      <c r="J719">
        <v>2559.6</v>
      </c>
      <c r="K719">
        <v>40100.400000000001</v>
      </c>
      <c r="L719">
        <v>28440</v>
      </c>
      <c r="M719">
        <v>11660.4</v>
      </c>
      <c r="N719" s="1">
        <v>41791</v>
      </c>
      <c r="O719">
        <v>6</v>
      </c>
      <c r="P719" t="s">
        <v>25</v>
      </c>
      <c r="Q719">
        <v>2014</v>
      </c>
    </row>
    <row r="720" spans="1:17" x14ac:dyDescent="0.3">
      <c r="A720" t="str">
        <f t="shared" ca="1" si="11"/>
        <v>ORD-2014-Mex-1533</v>
      </c>
      <c r="B720" t="s">
        <v>30</v>
      </c>
      <c r="C720" t="s">
        <v>26</v>
      </c>
      <c r="D720" t="s">
        <v>19</v>
      </c>
      <c r="E720" t="s">
        <v>47</v>
      </c>
      <c r="F720">
        <v>562</v>
      </c>
      <c r="G720">
        <v>3</v>
      </c>
      <c r="H720">
        <v>12</v>
      </c>
      <c r="I720">
        <v>6744</v>
      </c>
      <c r="J720">
        <v>404.64</v>
      </c>
      <c r="K720">
        <v>6339.36</v>
      </c>
      <c r="L720">
        <v>1686</v>
      </c>
      <c r="M720">
        <v>4653.3599999999997</v>
      </c>
      <c r="N720" s="1">
        <v>41883</v>
      </c>
      <c r="O720">
        <v>9</v>
      </c>
      <c r="P720" t="s">
        <v>35</v>
      </c>
      <c r="Q720">
        <v>2014</v>
      </c>
    </row>
    <row r="721" spans="1:17" x14ac:dyDescent="0.3">
      <c r="A721" t="str">
        <f t="shared" ca="1" si="11"/>
        <v>ORD-2013-Ca0-2072</v>
      </c>
      <c r="B721" t="s">
        <v>30</v>
      </c>
      <c r="C721" t="s">
        <v>18</v>
      </c>
      <c r="D721" t="s">
        <v>19</v>
      </c>
      <c r="E721" t="s">
        <v>47</v>
      </c>
      <c r="F721">
        <v>2299</v>
      </c>
      <c r="G721">
        <v>3</v>
      </c>
      <c r="H721">
        <v>12</v>
      </c>
      <c r="I721">
        <v>27588</v>
      </c>
      <c r="J721">
        <v>1655.28</v>
      </c>
      <c r="K721">
        <v>25932.720000000001</v>
      </c>
      <c r="L721">
        <v>6897</v>
      </c>
      <c r="M721">
        <v>19035.72</v>
      </c>
      <c r="N721" s="1">
        <v>41548</v>
      </c>
      <c r="O721">
        <v>10</v>
      </c>
      <c r="P721" t="s">
        <v>36</v>
      </c>
      <c r="Q721">
        <v>2013</v>
      </c>
    </row>
    <row r="722" spans="1:17" x14ac:dyDescent="0.3">
      <c r="A722" t="str">
        <f t="shared" ca="1" si="11"/>
        <v>ORD-2014-Uni-2835</v>
      </c>
      <c r="B722" t="s">
        <v>23</v>
      </c>
      <c r="C722" t="s">
        <v>37</v>
      </c>
      <c r="D722" t="s">
        <v>19</v>
      </c>
      <c r="E722" t="s">
        <v>47</v>
      </c>
      <c r="F722">
        <v>2030</v>
      </c>
      <c r="G722">
        <v>3</v>
      </c>
      <c r="H722">
        <v>15</v>
      </c>
      <c r="I722">
        <v>30450</v>
      </c>
      <c r="J722">
        <v>1827</v>
      </c>
      <c r="K722">
        <v>28623</v>
      </c>
      <c r="L722">
        <v>20300</v>
      </c>
      <c r="M722">
        <v>8323</v>
      </c>
      <c r="N722" s="1">
        <v>41944</v>
      </c>
      <c r="O722">
        <v>11</v>
      </c>
      <c r="P722" t="s">
        <v>40</v>
      </c>
      <c r="Q722">
        <v>2014</v>
      </c>
    </row>
    <row r="723" spans="1:17" x14ac:dyDescent="0.3">
      <c r="A723" t="str">
        <f t="shared" ca="1" si="11"/>
        <v>ORD-2013-Uni-4361</v>
      </c>
      <c r="B723" t="s">
        <v>17</v>
      </c>
      <c r="C723" t="s">
        <v>37</v>
      </c>
      <c r="D723" t="s">
        <v>19</v>
      </c>
      <c r="E723" t="s">
        <v>47</v>
      </c>
      <c r="F723">
        <v>263</v>
      </c>
      <c r="G723">
        <v>3</v>
      </c>
      <c r="H723">
        <v>7</v>
      </c>
      <c r="I723">
        <v>1841</v>
      </c>
      <c r="J723">
        <v>110.46</v>
      </c>
      <c r="K723">
        <v>1730.54</v>
      </c>
      <c r="L723">
        <v>1315</v>
      </c>
      <c r="M723">
        <v>415.54</v>
      </c>
      <c r="N723" s="1">
        <v>41579</v>
      </c>
      <c r="O723">
        <v>11</v>
      </c>
      <c r="P723" t="s">
        <v>40</v>
      </c>
      <c r="Q723">
        <v>2013</v>
      </c>
    </row>
    <row r="724" spans="1:17" x14ac:dyDescent="0.3">
      <c r="A724" t="str">
        <f t="shared" ca="1" si="11"/>
        <v>ORD-2013-Ger-1809</v>
      </c>
      <c r="B724" t="s">
        <v>31</v>
      </c>
      <c r="C724" t="s">
        <v>22</v>
      </c>
      <c r="D724" t="s">
        <v>19</v>
      </c>
      <c r="E724" t="s">
        <v>47</v>
      </c>
      <c r="F724">
        <v>887</v>
      </c>
      <c r="G724">
        <v>3</v>
      </c>
      <c r="H724">
        <v>125</v>
      </c>
      <c r="I724">
        <v>110875</v>
      </c>
      <c r="J724">
        <v>6652.5</v>
      </c>
      <c r="K724">
        <v>104222.5</v>
      </c>
      <c r="L724">
        <v>10640</v>
      </c>
      <c r="M724">
        <f>K724-L724</f>
        <v>93582.5</v>
      </c>
      <c r="N724" s="1">
        <v>41609</v>
      </c>
      <c r="O724">
        <v>12</v>
      </c>
      <c r="P724" t="s">
        <v>27</v>
      </c>
      <c r="Q724">
        <v>2013</v>
      </c>
    </row>
    <row r="725" spans="1:17" x14ac:dyDescent="0.3">
      <c r="A725" t="str">
        <f t="shared" ca="1" si="11"/>
        <v>ORD-2014-Mex-9714</v>
      </c>
      <c r="B725" t="s">
        <v>17</v>
      </c>
      <c r="C725" t="s">
        <v>26</v>
      </c>
      <c r="D725" t="s">
        <v>28</v>
      </c>
      <c r="E725" t="s">
        <v>47</v>
      </c>
      <c r="F725">
        <v>980</v>
      </c>
      <c r="G725">
        <v>5</v>
      </c>
      <c r="H725">
        <v>350</v>
      </c>
      <c r="I725">
        <v>343000</v>
      </c>
      <c r="J725">
        <v>20580</v>
      </c>
      <c r="K725">
        <v>322420</v>
      </c>
      <c r="L725">
        <v>254800</v>
      </c>
      <c r="M725">
        <v>67620</v>
      </c>
      <c r="N725" s="1">
        <v>41730</v>
      </c>
      <c r="O725">
        <v>4</v>
      </c>
      <c r="P725" t="s">
        <v>43</v>
      </c>
      <c r="Q725">
        <v>2014</v>
      </c>
    </row>
    <row r="726" spans="1:17" x14ac:dyDescent="0.3">
      <c r="A726" t="str">
        <f t="shared" ca="1" si="11"/>
        <v>ORD-2014-Ger-9245</v>
      </c>
      <c r="B726" t="s">
        <v>17</v>
      </c>
      <c r="C726" t="s">
        <v>22</v>
      </c>
      <c r="D726" t="s">
        <v>28</v>
      </c>
      <c r="E726" t="s">
        <v>47</v>
      </c>
      <c r="F726">
        <v>1460</v>
      </c>
      <c r="G726">
        <v>5</v>
      </c>
      <c r="H726">
        <v>350</v>
      </c>
      <c r="I726">
        <v>511000</v>
      </c>
      <c r="J726">
        <v>30660</v>
      </c>
      <c r="K726">
        <v>480340</v>
      </c>
      <c r="L726">
        <v>379600</v>
      </c>
      <c r="M726">
        <v>100740</v>
      </c>
      <c r="N726" s="1">
        <v>41760</v>
      </c>
      <c r="O726">
        <v>5</v>
      </c>
      <c r="P726" t="s">
        <v>46</v>
      </c>
      <c r="Q726">
        <v>2014</v>
      </c>
    </row>
    <row r="727" spans="1:17" x14ac:dyDescent="0.3">
      <c r="A727" t="str">
        <f t="shared" ca="1" si="11"/>
        <v>ORD-2013-Fra-9532</v>
      </c>
      <c r="B727" t="s">
        <v>17</v>
      </c>
      <c r="C727" t="s">
        <v>24</v>
      </c>
      <c r="D727" t="s">
        <v>28</v>
      </c>
      <c r="E727" t="s">
        <v>47</v>
      </c>
      <c r="F727">
        <v>1403</v>
      </c>
      <c r="G727">
        <v>5</v>
      </c>
      <c r="H727">
        <v>7</v>
      </c>
      <c r="I727">
        <v>9821</v>
      </c>
      <c r="J727">
        <v>589.26</v>
      </c>
      <c r="K727">
        <v>9231.74</v>
      </c>
      <c r="L727">
        <v>7015</v>
      </c>
      <c r="M727">
        <v>2216.7399999999998</v>
      </c>
      <c r="N727" s="1">
        <v>41548</v>
      </c>
      <c r="O727">
        <v>10</v>
      </c>
      <c r="P727" t="s">
        <v>36</v>
      </c>
      <c r="Q727">
        <v>2013</v>
      </c>
    </row>
    <row r="728" spans="1:17" x14ac:dyDescent="0.3">
      <c r="A728" t="str">
        <f t="shared" ca="1" si="11"/>
        <v>ORD-2014-Uni-6822</v>
      </c>
      <c r="B728" t="s">
        <v>30</v>
      </c>
      <c r="C728" t="s">
        <v>37</v>
      </c>
      <c r="D728" t="s">
        <v>28</v>
      </c>
      <c r="E728" t="s">
        <v>47</v>
      </c>
      <c r="F728">
        <v>2723</v>
      </c>
      <c r="G728">
        <v>5</v>
      </c>
      <c r="H728">
        <v>12</v>
      </c>
      <c r="I728">
        <v>32676</v>
      </c>
      <c r="J728">
        <v>1960.56</v>
      </c>
      <c r="K728">
        <v>30715.439999999999</v>
      </c>
      <c r="L728">
        <v>8169</v>
      </c>
      <c r="M728">
        <v>22546.44</v>
      </c>
      <c r="N728" s="1">
        <v>41944</v>
      </c>
      <c r="O728">
        <v>11</v>
      </c>
      <c r="P728" t="s">
        <v>40</v>
      </c>
      <c r="Q728">
        <v>2014</v>
      </c>
    </row>
    <row r="729" spans="1:17" x14ac:dyDescent="0.3">
      <c r="A729" t="str">
        <f t="shared" ca="1" si="11"/>
        <v>ORD-2014-Fra-8864</v>
      </c>
      <c r="B729" t="s">
        <v>17</v>
      </c>
      <c r="C729" t="s">
        <v>24</v>
      </c>
      <c r="D729" t="s">
        <v>38</v>
      </c>
      <c r="E729" t="s">
        <v>47</v>
      </c>
      <c r="F729">
        <v>1496</v>
      </c>
      <c r="G729">
        <v>10</v>
      </c>
      <c r="H729">
        <v>350</v>
      </c>
      <c r="I729">
        <v>523600</v>
      </c>
      <c r="J729">
        <v>31416</v>
      </c>
      <c r="K729">
        <v>492184</v>
      </c>
      <c r="L729">
        <v>388960</v>
      </c>
      <c r="M729">
        <v>103224</v>
      </c>
      <c r="N729" s="1">
        <v>41791</v>
      </c>
      <c r="O729">
        <v>6</v>
      </c>
      <c r="P729" t="s">
        <v>25</v>
      </c>
      <c r="Q729">
        <v>2014</v>
      </c>
    </row>
    <row r="730" spans="1:17" x14ac:dyDescent="0.3">
      <c r="A730" t="str">
        <f t="shared" ca="1" si="11"/>
        <v>ORD-2013-Ca0-6522</v>
      </c>
      <c r="B730" t="s">
        <v>30</v>
      </c>
      <c r="C730" t="s">
        <v>18</v>
      </c>
      <c r="D730" t="s">
        <v>38</v>
      </c>
      <c r="E730" t="s">
        <v>47</v>
      </c>
      <c r="F730">
        <v>2299</v>
      </c>
      <c r="G730">
        <v>10</v>
      </c>
      <c r="H730">
        <v>12</v>
      </c>
      <c r="I730">
        <v>27588</v>
      </c>
      <c r="J730">
        <v>1655.28</v>
      </c>
      <c r="K730">
        <v>25932.720000000001</v>
      </c>
      <c r="L730">
        <v>6897</v>
      </c>
      <c r="M730">
        <v>19035.72</v>
      </c>
      <c r="N730" s="1">
        <v>41548</v>
      </c>
      <c r="O730">
        <v>10</v>
      </c>
      <c r="P730" t="s">
        <v>36</v>
      </c>
      <c r="Q730">
        <v>2013</v>
      </c>
    </row>
    <row r="731" spans="1:17" x14ac:dyDescent="0.3">
      <c r="A731" t="str">
        <f t="shared" ca="1" si="11"/>
        <v>ORD-2013-Uni-2597</v>
      </c>
      <c r="B731" t="s">
        <v>17</v>
      </c>
      <c r="C731" t="s">
        <v>37</v>
      </c>
      <c r="D731" t="s">
        <v>38</v>
      </c>
      <c r="E731" t="s">
        <v>47</v>
      </c>
      <c r="F731">
        <v>727</v>
      </c>
      <c r="G731">
        <v>10</v>
      </c>
      <c r="H731">
        <v>350</v>
      </c>
      <c r="I731">
        <v>254450</v>
      </c>
      <c r="J731">
        <v>15267</v>
      </c>
      <c r="K731">
        <v>239183</v>
      </c>
      <c r="L731">
        <v>189020</v>
      </c>
      <c r="M731">
        <v>50163</v>
      </c>
      <c r="N731" s="1">
        <v>41548</v>
      </c>
      <c r="O731">
        <v>10</v>
      </c>
      <c r="P731" t="s">
        <v>36</v>
      </c>
      <c r="Q731">
        <v>2013</v>
      </c>
    </row>
    <row r="732" spans="1:17" x14ac:dyDescent="0.3">
      <c r="A732" t="str">
        <f t="shared" ca="1" si="11"/>
        <v>ORD-2014-Ca0-4209</v>
      </c>
      <c r="B732" t="s">
        <v>31</v>
      </c>
      <c r="C732" t="s">
        <v>18</v>
      </c>
      <c r="D732" t="s">
        <v>41</v>
      </c>
      <c r="E732" t="s">
        <v>47</v>
      </c>
      <c r="F732">
        <v>952</v>
      </c>
      <c r="G732">
        <v>120</v>
      </c>
      <c r="H732">
        <v>125</v>
      </c>
      <c r="I732">
        <v>119000</v>
      </c>
      <c r="J732">
        <v>7140</v>
      </c>
      <c r="K732">
        <v>111860</v>
      </c>
      <c r="L732">
        <v>11240</v>
      </c>
      <c r="M732">
        <f>K732-L732</f>
        <v>100620</v>
      </c>
      <c r="N732" s="1">
        <v>41671</v>
      </c>
      <c r="O732">
        <v>2</v>
      </c>
      <c r="P732" t="s">
        <v>39</v>
      </c>
      <c r="Q732">
        <v>2014</v>
      </c>
    </row>
    <row r="733" spans="1:17" x14ac:dyDescent="0.3">
      <c r="A733" t="str">
        <f t="shared" ca="1" si="11"/>
        <v>ORD-2014-Uni-6834</v>
      </c>
      <c r="B733" t="s">
        <v>31</v>
      </c>
      <c r="C733" t="s">
        <v>37</v>
      </c>
      <c r="D733" t="s">
        <v>41</v>
      </c>
      <c r="E733" t="s">
        <v>47</v>
      </c>
      <c r="F733">
        <v>2755</v>
      </c>
      <c r="G733">
        <v>120</v>
      </c>
      <c r="H733">
        <v>125</v>
      </c>
      <c r="I733">
        <v>344375</v>
      </c>
      <c r="J733">
        <v>20662.5</v>
      </c>
      <c r="K733">
        <v>323712.5</v>
      </c>
      <c r="L733">
        <v>330600</v>
      </c>
      <c r="M733">
        <f>K733-L733</f>
        <v>-6887.5</v>
      </c>
      <c r="N733" s="1">
        <v>41671</v>
      </c>
      <c r="O733">
        <v>2</v>
      </c>
      <c r="P733" t="s">
        <v>39</v>
      </c>
      <c r="Q733">
        <v>2014</v>
      </c>
    </row>
    <row r="734" spans="1:17" x14ac:dyDescent="0.3">
      <c r="A734" t="str">
        <f t="shared" ca="1" si="11"/>
        <v>ORD-2014-Ger-7049</v>
      </c>
      <c r="B734" t="s">
        <v>23</v>
      </c>
      <c r="C734" t="s">
        <v>22</v>
      </c>
      <c r="D734" t="s">
        <v>41</v>
      </c>
      <c r="E734" t="s">
        <v>47</v>
      </c>
      <c r="F734">
        <v>1530</v>
      </c>
      <c r="G734">
        <v>120</v>
      </c>
      <c r="H734">
        <v>15</v>
      </c>
      <c r="I734">
        <v>22950</v>
      </c>
      <c r="J734">
        <v>1377</v>
      </c>
      <c r="K734">
        <v>21573</v>
      </c>
      <c r="L734">
        <v>15300</v>
      </c>
      <c r="M734">
        <v>6273</v>
      </c>
      <c r="N734" s="1">
        <v>41760</v>
      </c>
      <c r="O734">
        <v>5</v>
      </c>
      <c r="P734" t="s">
        <v>46</v>
      </c>
      <c r="Q734">
        <v>2014</v>
      </c>
    </row>
    <row r="735" spans="1:17" x14ac:dyDescent="0.3">
      <c r="A735" t="str">
        <f t="shared" ca="1" si="11"/>
        <v>ORD-2014-Fra-2321</v>
      </c>
      <c r="B735" t="s">
        <v>17</v>
      </c>
      <c r="C735" t="s">
        <v>24</v>
      </c>
      <c r="D735" t="s">
        <v>41</v>
      </c>
      <c r="E735" t="s">
        <v>47</v>
      </c>
      <c r="F735">
        <v>1496</v>
      </c>
      <c r="G735">
        <v>120</v>
      </c>
      <c r="H735">
        <v>350</v>
      </c>
      <c r="I735">
        <v>523600</v>
      </c>
      <c r="J735">
        <v>31416</v>
      </c>
      <c r="K735">
        <v>492184</v>
      </c>
      <c r="L735">
        <v>388960</v>
      </c>
      <c r="M735">
        <v>103224</v>
      </c>
      <c r="N735" s="1">
        <v>41791</v>
      </c>
      <c r="O735">
        <v>6</v>
      </c>
      <c r="P735" t="s">
        <v>25</v>
      </c>
      <c r="Q735">
        <v>2014</v>
      </c>
    </row>
    <row r="736" spans="1:17" x14ac:dyDescent="0.3">
      <c r="A736" t="str">
        <f t="shared" ca="1" si="11"/>
        <v>ORD-2014-Mex-5396</v>
      </c>
      <c r="B736" t="s">
        <v>17</v>
      </c>
      <c r="C736" t="s">
        <v>26</v>
      </c>
      <c r="D736" t="s">
        <v>41</v>
      </c>
      <c r="E736" t="s">
        <v>47</v>
      </c>
      <c r="F736">
        <v>1498</v>
      </c>
      <c r="G736">
        <v>120</v>
      </c>
      <c r="H736">
        <v>7</v>
      </c>
      <c r="I736">
        <v>10486</v>
      </c>
      <c r="J736">
        <v>629.16</v>
      </c>
      <c r="K736">
        <v>9856.84</v>
      </c>
      <c r="L736">
        <v>7490</v>
      </c>
      <c r="M736">
        <v>2366.84</v>
      </c>
      <c r="N736" s="1">
        <v>41791</v>
      </c>
      <c r="O736">
        <v>6</v>
      </c>
      <c r="P736" t="s">
        <v>25</v>
      </c>
      <c r="Q736">
        <v>2014</v>
      </c>
    </row>
    <row r="737" spans="1:17" x14ac:dyDescent="0.3">
      <c r="A737" t="str">
        <f t="shared" ca="1" si="11"/>
        <v>ORD-2013-Fra-5650</v>
      </c>
      <c r="B737" t="s">
        <v>33</v>
      </c>
      <c r="C737" t="s">
        <v>24</v>
      </c>
      <c r="D737" t="s">
        <v>41</v>
      </c>
      <c r="E737" t="s">
        <v>47</v>
      </c>
      <c r="F737">
        <v>1221</v>
      </c>
      <c r="G737">
        <v>120</v>
      </c>
      <c r="H737">
        <v>300</v>
      </c>
      <c r="I737">
        <v>366300</v>
      </c>
      <c r="J737">
        <v>21978</v>
      </c>
      <c r="K737">
        <v>344322</v>
      </c>
      <c r="L737">
        <v>305250</v>
      </c>
      <c r="M737">
        <v>39072</v>
      </c>
      <c r="N737" s="1">
        <v>41548</v>
      </c>
      <c r="O737">
        <v>10</v>
      </c>
      <c r="P737" t="s">
        <v>36</v>
      </c>
      <c r="Q737">
        <v>2013</v>
      </c>
    </row>
    <row r="738" spans="1:17" x14ac:dyDescent="0.3">
      <c r="A738" t="str">
        <f t="shared" ca="1" si="11"/>
        <v>ORD-2013-Fra-7541</v>
      </c>
      <c r="B738" t="s">
        <v>17</v>
      </c>
      <c r="C738" t="s">
        <v>24</v>
      </c>
      <c r="D738" t="s">
        <v>41</v>
      </c>
      <c r="E738" t="s">
        <v>47</v>
      </c>
      <c r="F738">
        <v>2076</v>
      </c>
      <c r="G738">
        <v>120</v>
      </c>
      <c r="H738">
        <v>350</v>
      </c>
      <c r="I738">
        <v>726600</v>
      </c>
      <c r="J738">
        <v>43596</v>
      </c>
      <c r="K738">
        <v>683004</v>
      </c>
      <c r="L738">
        <v>539760</v>
      </c>
      <c r="M738">
        <v>143244</v>
      </c>
      <c r="N738" s="1">
        <v>41548</v>
      </c>
      <c r="O738">
        <v>10</v>
      </c>
      <c r="P738" t="s">
        <v>36</v>
      </c>
      <c r="Q738">
        <v>2013</v>
      </c>
    </row>
    <row r="739" spans="1:17" x14ac:dyDescent="0.3">
      <c r="A739" t="str">
        <f t="shared" ca="1" si="11"/>
        <v>ORD-2014-Ca0-4674</v>
      </c>
      <c r="B739" t="s">
        <v>23</v>
      </c>
      <c r="C739" t="s">
        <v>18</v>
      </c>
      <c r="D739" t="s">
        <v>42</v>
      </c>
      <c r="E739" t="s">
        <v>47</v>
      </c>
      <c r="F739">
        <v>2844</v>
      </c>
      <c r="G739">
        <v>250</v>
      </c>
      <c r="H739">
        <v>15</v>
      </c>
      <c r="I739">
        <v>42660</v>
      </c>
      <c r="J739">
        <v>2559.6</v>
      </c>
      <c r="K739">
        <v>40100.400000000001</v>
      </c>
      <c r="L739">
        <v>28440</v>
      </c>
      <c r="M739">
        <v>11660.4</v>
      </c>
      <c r="N739" s="1">
        <v>41791</v>
      </c>
      <c r="O739">
        <v>6</v>
      </c>
      <c r="P739" t="s">
        <v>25</v>
      </c>
      <c r="Q739">
        <v>2014</v>
      </c>
    </row>
    <row r="740" spans="1:17" x14ac:dyDescent="0.3">
      <c r="A740" t="str">
        <f t="shared" ca="1" si="11"/>
        <v>ORD-2014-Mex-9237</v>
      </c>
      <c r="B740" t="s">
        <v>17</v>
      </c>
      <c r="C740" t="s">
        <v>26</v>
      </c>
      <c r="D740" t="s">
        <v>42</v>
      </c>
      <c r="E740" t="s">
        <v>47</v>
      </c>
      <c r="F740">
        <v>1498</v>
      </c>
      <c r="G740">
        <v>250</v>
      </c>
      <c r="H740">
        <v>7</v>
      </c>
      <c r="I740">
        <v>10486</v>
      </c>
      <c r="J740">
        <v>629.16</v>
      </c>
      <c r="K740">
        <v>9856.84</v>
      </c>
      <c r="L740">
        <v>7490</v>
      </c>
      <c r="M740">
        <v>2366.84</v>
      </c>
      <c r="N740" s="1">
        <v>41791</v>
      </c>
      <c r="O740">
        <v>6</v>
      </c>
      <c r="P740" t="s">
        <v>25</v>
      </c>
      <c r="Q740">
        <v>2014</v>
      </c>
    </row>
    <row r="741" spans="1:17" x14ac:dyDescent="0.3">
      <c r="A741" t="str">
        <f t="shared" ca="1" si="11"/>
        <v>ORD-2013-Fra-6635</v>
      </c>
      <c r="B741" t="s">
        <v>33</v>
      </c>
      <c r="C741" t="s">
        <v>24</v>
      </c>
      <c r="D741" t="s">
        <v>42</v>
      </c>
      <c r="E741" t="s">
        <v>47</v>
      </c>
      <c r="F741">
        <v>1221</v>
      </c>
      <c r="G741">
        <v>250</v>
      </c>
      <c r="H741">
        <v>300</v>
      </c>
      <c r="I741">
        <v>366300</v>
      </c>
      <c r="J741">
        <v>21978</v>
      </c>
      <c r="K741">
        <v>344322</v>
      </c>
      <c r="L741">
        <v>305250</v>
      </c>
      <c r="M741">
        <v>39072</v>
      </c>
      <c r="N741" s="1">
        <v>41548</v>
      </c>
      <c r="O741">
        <v>10</v>
      </c>
      <c r="P741" t="s">
        <v>36</v>
      </c>
      <c r="Q741">
        <v>2013</v>
      </c>
    </row>
    <row r="742" spans="1:17" x14ac:dyDescent="0.3">
      <c r="A742" t="str">
        <f t="shared" ca="1" si="11"/>
        <v>ORD-2013-Mex-5819</v>
      </c>
      <c r="B742" t="s">
        <v>17</v>
      </c>
      <c r="C742" t="s">
        <v>26</v>
      </c>
      <c r="D742" t="s">
        <v>42</v>
      </c>
      <c r="E742" t="s">
        <v>47</v>
      </c>
      <c r="F742">
        <v>1123</v>
      </c>
      <c r="G742">
        <v>250</v>
      </c>
      <c r="H742">
        <v>20</v>
      </c>
      <c r="I742">
        <v>22460</v>
      </c>
      <c r="J742">
        <v>1347.6</v>
      </c>
      <c r="K742">
        <v>21112.400000000001</v>
      </c>
      <c r="L742">
        <v>11230</v>
      </c>
      <c r="M742">
        <v>9882.4</v>
      </c>
      <c r="N742" s="1">
        <v>41579</v>
      </c>
      <c r="O742">
        <v>11</v>
      </c>
      <c r="P742" t="s">
        <v>40</v>
      </c>
      <c r="Q742">
        <v>2013</v>
      </c>
    </row>
    <row r="743" spans="1:17" x14ac:dyDescent="0.3">
      <c r="A743" t="str">
        <f t="shared" ca="1" si="11"/>
        <v>ORD-2013-Ca0-5340</v>
      </c>
      <c r="B743" t="s">
        <v>33</v>
      </c>
      <c r="C743" t="s">
        <v>18</v>
      </c>
      <c r="D743" t="s">
        <v>42</v>
      </c>
      <c r="E743" t="s">
        <v>47</v>
      </c>
      <c r="F743">
        <v>2436</v>
      </c>
      <c r="G743">
        <v>250</v>
      </c>
      <c r="H743">
        <v>300</v>
      </c>
      <c r="I743">
        <v>730800</v>
      </c>
      <c r="J743">
        <v>43848</v>
      </c>
      <c r="K743">
        <v>686952</v>
      </c>
      <c r="L743">
        <v>609000</v>
      </c>
      <c r="M743">
        <v>77952</v>
      </c>
      <c r="N743" s="1">
        <v>41609</v>
      </c>
      <c r="O743">
        <v>12</v>
      </c>
      <c r="P743" t="s">
        <v>27</v>
      </c>
      <c r="Q743">
        <v>2013</v>
      </c>
    </row>
    <row r="744" spans="1:17" x14ac:dyDescent="0.3">
      <c r="A744" t="str">
        <f t="shared" ca="1" si="11"/>
        <v>ORD-2014-Fra-7211</v>
      </c>
      <c r="B744" t="s">
        <v>31</v>
      </c>
      <c r="C744" t="s">
        <v>24</v>
      </c>
      <c r="D744" t="s">
        <v>44</v>
      </c>
      <c r="E744" t="s">
        <v>47</v>
      </c>
      <c r="F744">
        <v>1987.5</v>
      </c>
      <c r="G744">
        <v>260</v>
      </c>
      <c r="H744">
        <v>125</v>
      </c>
      <c r="I744">
        <v>248437.5</v>
      </c>
      <c r="J744">
        <v>14906.25</v>
      </c>
      <c r="K744">
        <v>233531.25</v>
      </c>
      <c r="L744">
        <v>23800</v>
      </c>
      <c r="M744">
        <f>K744-L744</f>
        <v>209731.25</v>
      </c>
      <c r="N744" s="1">
        <v>41640</v>
      </c>
      <c r="O744">
        <v>1</v>
      </c>
      <c r="P744" t="s">
        <v>21</v>
      </c>
      <c r="Q744">
        <v>2014</v>
      </c>
    </row>
    <row r="745" spans="1:17" x14ac:dyDescent="0.3">
      <c r="A745" t="str">
        <f t="shared" ca="1" si="11"/>
        <v>ORD-2014-Mex-6862</v>
      </c>
      <c r="B745" t="s">
        <v>17</v>
      </c>
      <c r="C745" t="s">
        <v>26</v>
      </c>
      <c r="D745" t="s">
        <v>44</v>
      </c>
      <c r="E745" t="s">
        <v>47</v>
      </c>
      <c r="F745">
        <v>1679</v>
      </c>
      <c r="G745">
        <v>260</v>
      </c>
      <c r="H745">
        <v>350</v>
      </c>
      <c r="I745">
        <v>587650</v>
      </c>
      <c r="J745">
        <v>35259</v>
      </c>
      <c r="K745">
        <v>552391</v>
      </c>
      <c r="L745">
        <v>436540</v>
      </c>
      <c r="M745">
        <v>115851</v>
      </c>
      <c r="N745" s="1">
        <v>41883</v>
      </c>
      <c r="O745">
        <v>9</v>
      </c>
      <c r="P745" t="s">
        <v>35</v>
      </c>
      <c r="Q745">
        <v>2014</v>
      </c>
    </row>
    <row r="746" spans="1:17" x14ac:dyDescent="0.3">
      <c r="A746" t="str">
        <f t="shared" ca="1" si="11"/>
        <v>ORD-2013-Uni-7747</v>
      </c>
      <c r="B746" t="s">
        <v>17</v>
      </c>
      <c r="C746" t="s">
        <v>37</v>
      </c>
      <c r="D746" t="s">
        <v>44</v>
      </c>
      <c r="E746" t="s">
        <v>47</v>
      </c>
      <c r="F746">
        <v>727</v>
      </c>
      <c r="G746">
        <v>260</v>
      </c>
      <c r="H746">
        <v>350</v>
      </c>
      <c r="I746">
        <v>254450</v>
      </c>
      <c r="J746">
        <v>15267</v>
      </c>
      <c r="K746">
        <v>239183</v>
      </c>
      <c r="L746">
        <v>189020</v>
      </c>
      <c r="M746">
        <v>50163</v>
      </c>
      <c r="N746" s="1">
        <v>41548</v>
      </c>
      <c r="O746">
        <v>10</v>
      </c>
      <c r="P746" t="s">
        <v>36</v>
      </c>
      <c r="Q746">
        <v>2013</v>
      </c>
    </row>
    <row r="747" spans="1:17" x14ac:dyDescent="0.3">
      <c r="A747" t="str">
        <f t="shared" ca="1" si="11"/>
        <v>ORD-2013-Fra-5211</v>
      </c>
      <c r="B747" t="s">
        <v>17</v>
      </c>
      <c r="C747" t="s">
        <v>24</v>
      </c>
      <c r="D747" t="s">
        <v>44</v>
      </c>
      <c r="E747" t="s">
        <v>47</v>
      </c>
      <c r="F747">
        <v>1403</v>
      </c>
      <c r="G747">
        <v>260</v>
      </c>
      <c r="H747">
        <v>7</v>
      </c>
      <c r="I747">
        <v>9821</v>
      </c>
      <c r="J747">
        <v>589.26</v>
      </c>
      <c r="K747">
        <v>9231.74</v>
      </c>
      <c r="L747">
        <v>7015</v>
      </c>
      <c r="M747">
        <v>2216.7399999999998</v>
      </c>
      <c r="N747" s="1">
        <v>41548</v>
      </c>
      <c r="O747">
        <v>10</v>
      </c>
      <c r="P747" t="s">
        <v>36</v>
      </c>
      <c r="Q747">
        <v>2013</v>
      </c>
    </row>
    <row r="748" spans="1:17" x14ac:dyDescent="0.3">
      <c r="A748" t="str">
        <f t="shared" ca="1" si="11"/>
        <v>ORD-2013-Fra-2593</v>
      </c>
      <c r="B748" t="s">
        <v>17</v>
      </c>
      <c r="C748" t="s">
        <v>24</v>
      </c>
      <c r="D748" t="s">
        <v>44</v>
      </c>
      <c r="E748" t="s">
        <v>47</v>
      </c>
      <c r="F748">
        <v>2076</v>
      </c>
      <c r="G748">
        <v>260</v>
      </c>
      <c r="H748">
        <v>350</v>
      </c>
      <c r="I748">
        <v>726600</v>
      </c>
      <c r="J748">
        <v>43596</v>
      </c>
      <c r="K748">
        <v>683004</v>
      </c>
      <c r="L748">
        <v>539760</v>
      </c>
      <c r="M748">
        <v>143244</v>
      </c>
      <c r="N748" s="1">
        <v>41548</v>
      </c>
      <c r="O748">
        <v>10</v>
      </c>
      <c r="P748" t="s">
        <v>36</v>
      </c>
      <c r="Q748">
        <v>2013</v>
      </c>
    </row>
    <row r="749" spans="1:17" x14ac:dyDescent="0.3">
      <c r="A749" t="str">
        <f t="shared" ca="1" si="11"/>
        <v>ORD-2013-Fra-2178</v>
      </c>
      <c r="B749" t="s">
        <v>17</v>
      </c>
      <c r="C749" t="s">
        <v>24</v>
      </c>
      <c r="D749" t="s">
        <v>28</v>
      </c>
      <c r="E749" t="s">
        <v>47</v>
      </c>
      <c r="F749">
        <v>1757</v>
      </c>
      <c r="G749">
        <v>5</v>
      </c>
      <c r="H749">
        <v>20</v>
      </c>
      <c r="I749">
        <v>35140</v>
      </c>
      <c r="J749">
        <v>2108.4</v>
      </c>
      <c r="K749">
        <v>33031.599999999999</v>
      </c>
      <c r="L749">
        <v>17570</v>
      </c>
      <c r="M749">
        <v>15461.6</v>
      </c>
      <c r="N749" s="1">
        <v>41548</v>
      </c>
      <c r="O749">
        <v>10</v>
      </c>
      <c r="P749" t="s">
        <v>36</v>
      </c>
      <c r="Q749">
        <v>2013</v>
      </c>
    </row>
    <row r="750" spans="1:17" x14ac:dyDescent="0.3">
      <c r="A750" t="str">
        <f t="shared" ca="1" si="11"/>
        <v>ORD-2014-Uni-1015</v>
      </c>
      <c r="B750" t="s">
        <v>23</v>
      </c>
      <c r="C750" t="s">
        <v>37</v>
      </c>
      <c r="D750" t="s">
        <v>38</v>
      </c>
      <c r="E750" t="s">
        <v>47</v>
      </c>
      <c r="F750">
        <v>2198</v>
      </c>
      <c r="G750">
        <v>10</v>
      </c>
      <c r="H750">
        <v>15</v>
      </c>
      <c r="I750">
        <v>32970</v>
      </c>
      <c r="J750">
        <v>1978.2</v>
      </c>
      <c r="K750">
        <v>30991.8</v>
      </c>
      <c r="L750">
        <v>21980</v>
      </c>
      <c r="M750">
        <v>9011.7999999999993</v>
      </c>
      <c r="N750" s="1">
        <v>41852</v>
      </c>
      <c r="O750">
        <v>8</v>
      </c>
      <c r="P750" t="s">
        <v>34</v>
      </c>
      <c r="Q750">
        <v>2014</v>
      </c>
    </row>
    <row r="751" spans="1:17" x14ac:dyDescent="0.3">
      <c r="A751" t="str">
        <f t="shared" ca="1" si="11"/>
        <v>ORD-2014-Ger-7663</v>
      </c>
      <c r="B751" t="s">
        <v>23</v>
      </c>
      <c r="C751" t="s">
        <v>22</v>
      </c>
      <c r="D751" t="s">
        <v>38</v>
      </c>
      <c r="E751" t="s">
        <v>47</v>
      </c>
      <c r="F751">
        <v>1743</v>
      </c>
      <c r="G751">
        <v>10</v>
      </c>
      <c r="H751">
        <v>15</v>
      </c>
      <c r="I751">
        <v>26145</v>
      </c>
      <c r="J751">
        <v>1568.7</v>
      </c>
      <c r="K751">
        <v>24576.3</v>
      </c>
      <c r="L751">
        <v>17430</v>
      </c>
      <c r="M751">
        <v>7146.3</v>
      </c>
      <c r="N751" s="1">
        <v>41852</v>
      </c>
      <c r="O751">
        <v>8</v>
      </c>
      <c r="P751" t="s">
        <v>34</v>
      </c>
      <c r="Q751">
        <v>2014</v>
      </c>
    </row>
    <row r="752" spans="1:17" x14ac:dyDescent="0.3">
      <c r="A752" t="str">
        <f t="shared" ca="1" si="11"/>
        <v>ORD-2014-Uni-8407</v>
      </c>
      <c r="B752" t="s">
        <v>23</v>
      </c>
      <c r="C752" t="s">
        <v>37</v>
      </c>
      <c r="D752" t="s">
        <v>38</v>
      </c>
      <c r="E752" t="s">
        <v>47</v>
      </c>
      <c r="F752">
        <v>1153</v>
      </c>
      <c r="G752">
        <v>10</v>
      </c>
      <c r="H752">
        <v>15</v>
      </c>
      <c r="I752">
        <v>17295</v>
      </c>
      <c r="J752">
        <v>1037.7</v>
      </c>
      <c r="K752">
        <v>16257.3</v>
      </c>
      <c r="L752">
        <v>11530</v>
      </c>
      <c r="M752">
        <v>4727.3</v>
      </c>
      <c r="N752" s="1">
        <v>41913</v>
      </c>
      <c r="O752">
        <v>10</v>
      </c>
      <c r="P752" t="s">
        <v>36</v>
      </c>
      <c r="Q752">
        <v>2014</v>
      </c>
    </row>
    <row r="753" spans="1:17" x14ac:dyDescent="0.3">
      <c r="A753" t="str">
        <f t="shared" ca="1" si="11"/>
        <v>ORD-2013-Fra-7388</v>
      </c>
      <c r="B753" t="s">
        <v>17</v>
      </c>
      <c r="C753" t="s">
        <v>24</v>
      </c>
      <c r="D753" t="s">
        <v>38</v>
      </c>
      <c r="E753" t="s">
        <v>47</v>
      </c>
      <c r="F753">
        <v>1757</v>
      </c>
      <c r="G753">
        <v>10</v>
      </c>
      <c r="H753">
        <v>20</v>
      </c>
      <c r="I753">
        <v>35140</v>
      </c>
      <c r="J753">
        <v>2108.4</v>
      </c>
      <c r="K753">
        <v>33031.599999999999</v>
      </c>
      <c r="L753">
        <v>17570</v>
      </c>
      <c r="M753">
        <v>15461.6</v>
      </c>
      <c r="N753" s="1">
        <v>41548</v>
      </c>
      <c r="O753">
        <v>10</v>
      </c>
      <c r="P753" t="s">
        <v>36</v>
      </c>
      <c r="Q753">
        <v>2013</v>
      </c>
    </row>
    <row r="754" spans="1:17" x14ac:dyDescent="0.3">
      <c r="A754" t="str">
        <f t="shared" ca="1" si="11"/>
        <v>ORD-2014-Ger-2545</v>
      </c>
      <c r="B754" t="s">
        <v>17</v>
      </c>
      <c r="C754" t="s">
        <v>22</v>
      </c>
      <c r="D754" t="s">
        <v>41</v>
      </c>
      <c r="E754" t="s">
        <v>47</v>
      </c>
      <c r="F754">
        <v>1001</v>
      </c>
      <c r="G754">
        <v>120</v>
      </c>
      <c r="H754">
        <v>20</v>
      </c>
      <c r="I754">
        <v>20020</v>
      </c>
      <c r="J754">
        <v>1201.2</v>
      </c>
      <c r="K754">
        <v>18818.8</v>
      </c>
      <c r="L754">
        <v>10010</v>
      </c>
      <c r="M754">
        <v>8808.7999999999993</v>
      </c>
      <c r="N754" s="1">
        <v>41852</v>
      </c>
      <c r="O754">
        <v>8</v>
      </c>
      <c r="P754" t="s">
        <v>34</v>
      </c>
      <c r="Q754">
        <v>2014</v>
      </c>
    </row>
    <row r="755" spans="1:17" x14ac:dyDescent="0.3">
      <c r="A755" t="str">
        <f t="shared" ca="1" si="11"/>
        <v>ORD-2014-Mex-6276</v>
      </c>
      <c r="B755" t="s">
        <v>17</v>
      </c>
      <c r="C755" t="s">
        <v>26</v>
      </c>
      <c r="D755" t="s">
        <v>41</v>
      </c>
      <c r="E755" t="s">
        <v>47</v>
      </c>
      <c r="F755">
        <v>1333</v>
      </c>
      <c r="G755">
        <v>120</v>
      </c>
      <c r="H755">
        <v>7</v>
      </c>
      <c r="I755">
        <v>9331</v>
      </c>
      <c r="J755">
        <v>559.86</v>
      </c>
      <c r="K755">
        <v>8771.14</v>
      </c>
      <c r="L755">
        <v>6665</v>
      </c>
      <c r="M755">
        <v>2106.14</v>
      </c>
      <c r="N755" s="1">
        <v>41944</v>
      </c>
      <c r="O755">
        <v>11</v>
      </c>
      <c r="P755" t="s">
        <v>40</v>
      </c>
      <c r="Q755">
        <v>2014</v>
      </c>
    </row>
    <row r="756" spans="1:17" x14ac:dyDescent="0.3">
      <c r="A756" t="str">
        <f t="shared" ca="1" si="11"/>
        <v>ORD-2014-Uni-8229</v>
      </c>
      <c r="B756" t="s">
        <v>23</v>
      </c>
      <c r="C756" t="s">
        <v>37</v>
      </c>
      <c r="D756" t="s">
        <v>42</v>
      </c>
      <c r="E756" t="s">
        <v>47</v>
      </c>
      <c r="F756">
        <v>1153</v>
      </c>
      <c r="G756">
        <v>250</v>
      </c>
      <c r="H756">
        <v>15</v>
      </c>
      <c r="I756">
        <v>17295</v>
      </c>
      <c r="J756">
        <v>1037.7</v>
      </c>
      <c r="K756">
        <v>16257.3</v>
      </c>
      <c r="L756">
        <v>11530</v>
      </c>
      <c r="M756">
        <v>4727.3</v>
      </c>
      <c r="N756" s="1">
        <v>41913</v>
      </c>
      <c r="O756">
        <v>10</v>
      </c>
      <c r="P756" t="s">
        <v>36</v>
      </c>
      <c r="Q756">
        <v>2014</v>
      </c>
    </row>
    <row r="757" spans="1:17" x14ac:dyDescent="0.3">
      <c r="A757" t="str">
        <f t="shared" ca="1" si="11"/>
        <v>ORD-2014-Mex-3935</v>
      </c>
      <c r="B757" t="s">
        <v>30</v>
      </c>
      <c r="C757" t="s">
        <v>26</v>
      </c>
      <c r="D757" t="s">
        <v>19</v>
      </c>
      <c r="E757" t="s">
        <v>47</v>
      </c>
      <c r="F757">
        <v>727</v>
      </c>
      <c r="G757">
        <v>3</v>
      </c>
      <c r="H757">
        <v>12</v>
      </c>
      <c r="I757">
        <v>8724</v>
      </c>
      <c r="J757">
        <v>610.67999999999995</v>
      </c>
      <c r="K757">
        <v>8113.32</v>
      </c>
      <c r="L757">
        <v>2181</v>
      </c>
      <c r="M757">
        <v>5932.32</v>
      </c>
      <c r="N757" s="1">
        <v>41671</v>
      </c>
      <c r="O757">
        <v>2</v>
      </c>
      <c r="P757" t="s">
        <v>39</v>
      </c>
      <c r="Q757">
        <v>2014</v>
      </c>
    </row>
    <row r="758" spans="1:17" x14ac:dyDescent="0.3">
      <c r="A758" t="str">
        <f t="shared" ca="1" si="11"/>
        <v>ORD-2014-Ca0-2221</v>
      </c>
      <c r="B758" t="s">
        <v>30</v>
      </c>
      <c r="C758" t="s">
        <v>18</v>
      </c>
      <c r="D758" t="s">
        <v>19</v>
      </c>
      <c r="E758" t="s">
        <v>47</v>
      </c>
      <c r="F758">
        <v>1884</v>
      </c>
      <c r="G758">
        <v>3</v>
      </c>
      <c r="H758">
        <v>12</v>
      </c>
      <c r="I758">
        <v>22608</v>
      </c>
      <c r="J758">
        <v>1582.56</v>
      </c>
      <c r="K758">
        <v>21025.439999999999</v>
      </c>
      <c r="L758">
        <v>5652</v>
      </c>
      <c r="M758">
        <v>15373.44</v>
      </c>
      <c r="N758" s="1">
        <v>41852</v>
      </c>
      <c r="O758">
        <v>8</v>
      </c>
      <c r="P758" t="s">
        <v>34</v>
      </c>
      <c r="Q758">
        <v>2014</v>
      </c>
    </row>
    <row r="759" spans="1:17" x14ac:dyDescent="0.3">
      <c r="A759" t="str">
        <f t="shared" ca="1" si="11"/>
        <v>ORD-2013-Mex-8417</v>
      </c>
      <c r="B759" t="s">
        <v>17</v>
      </c>
      <c r="C759" t="s">
        <v>26</v>
      </c>
      <c r="D759" t="s">
        <v>19</v>
      </c>
      <c r="E759" t="s">
        <v>47</v>
      </c>
      <c r="F759">
        <v>1834</v>
      </c>
      <c r="G759">
        <v>3</v>
      </c>
      <c r="H759">
        <v>20</v>
      </c>
      <c r="I759">
        <v>36680</v>
      </c>
      <c r="J759">
        <v>2567.6</v>
      </c>
      <c r="K759">
        <v>34112.400000000001</v>
      </c>
      <c r="L759">
        <v>18340</v>
      </c>
      <c r="M759">
        <v>15772.4</v>
      </c>
      <c r="N759" s="1">
        <v>41518</v>
      </c>
      <c r="O759">
        <v>9</v>
      </c>
      <c r="P759" t="s">
        <v>35</v>
      </c>
      <c r="Q759">
        <v>2013</v>
      </c>
    </row>
    <row r="760" spans="1:17" x14ac:dyDescent="0.3">
      <c r="A760" t="str">
        <f t="shared" ca="1" si="11"/>
        <v>ORD-2014-Mex-4631</v>
      </c>
      <c r="B760" t="s">
        <v>30</v>
      </c>
      <c r="C760" t="s">
        <v>26</v>
      </c>
      <c r="D760" t="s">
        <v>28</v>
      </c>
      <c r="E760" t="s">
        <v>47</v>
      </c>
      <c r="F760">
        <v>2340</v>
      </c>
      <c r="G760">
        <v>5</v>
      </c>
      <c r="H760">
        <v>12</v>
      </c>
      <c r="I760">
        <v>28080</v>
      </c>
      <c r="J760">
        <v>1965.6</v>
      </c>
      <c r="K760">
        <v>26114.400000000001</v>
      </c>
      <c r="L760">
        <v>7020</v>
      </c>
      <c r="M760">
        <v>19094.400000000001</v>
      </c>
      <c r="N760" s="1">
        <v>41640</v>
      </c>
      <c r="O760">
        <v>1</v>
      </c>
      <c r="P760" t="s">
        <v>21</v>
      </c>
      <c r="Q760">
        <v>2014</v>
      </c>
    </row>
    <row r="761" spans="1:17" x14ac:dyDescent="0.3">
      <c r="A761" t="str">
        <f t="shared" ca="1" si="11"/>
        <v>ORD-2014-Fra-5597</v>
      </c>
      <c r="B761" t="s">
        <v>30</v>
      </c>
      <c r="C761" t="s">
        <v>24</v>
      </c>
      <c r="D761" t="s">
        <v>28</v>
      </c>
      <c r="E761" t="s">
        <v>47</v>
      </c>
      <c r="F761">
        <v>2342</v>
      </c>
      <c r="G761">
        <v>5</v>
      </c>
      <c r="H761">
        <v>12</v>
      </c>
      <c r="I761">
        <v>28104</v>
      </c>
      <c r="J761">
        <v>1967.28</v>
      </c>
      <c r="K761">
        <v>26136.720000000001</v>
      </c>
      <c r="L761">
        <v>7026</v>
      </c>
      <c r="M761">
        <v>19110.72</v>
      </c>
      <c r="N761" s="1">
        <v>41944</v>
      </c>
      <c r="O761">
        <v>11</v>
      </c>
      <c r="P761" t="s">
        <v>40</v>
      </c>
      <c r="Q761">
        <v>2014</v>
      </c>
    </row>
    <row r="762" spans="1:17" x14ac:dyDescent="0.3">
      <c r="A762" t="str">
        <f t="shared" ca="1" si="11"/>
        <v>ORD-2013-Fra-6640</v>
      </c>
      <c r="B762" t="s">
        <v>17</v>
      </c>
      <c r="C762" t="s">
        <v>24</v>
      </c>
      <c r="D762" t="s">
        <v>38</v>
      </c>
      <c r="E762" t="s">
        <v>47</v>
      </c>
      <c r="F762">
        <v>1031</v>
      </c>
      <c r="G762">
        <v>10</v>
      </c>
      <c r="H762">
        <v>7</v>
      </c>
      <c r="I762">
        <v>7217</v>
      </c>
      <c r="J762">
        <v>505.19</v>
      </c>
      <c r="K762">
        <v>6711.81</v>
      </c>
      <c r="L762">
        <v>5155</v>
      </c>
      <c r="M762">
        <v>1556.81</v>
      </c>
      <c r="N762" s="1">
        <v>41518</v>
      </c>
      <c r="O762">
        <v>9</v>
      </c>
      <c r="P762" t="s">
        <v>35</v>
      </c>
      <c r="Q762">
        <v>2013</v>
      </c>
    </row>
    <row r="763" spans="1:17" x14ac:dyDescent="0.3">
      <c r="A763" t="str">
        <f t="shared" ca="1" si="11"/>
        <v>ORD-2014-Ca0-5029</v>
      </c>
      <c r="B763" t="s">
        <v>23</v>
      </c>
      <c r="C763" t="s">
        <v>18</v>
      </c>
      <c r="D763" t="s">
        <v>41</v>
      </c>
      <c r="E763" t="s">
        <v>47</v>
      </c>
      <c r="F763">
        <v>1262</v>
      </c>
      <c r="G763">
        <v>120</v>
      </c>
      <c r="H763">
        <v>15</v>
      </c>
      <c r="I763">
        <v>18930</v>
      </c>
      <c r="J763">
        <v>1325.1</v>
      </c>
      <c r="K763">
        <v>17604.900000000001</v>
      </c>
      <c r="L763">
        <v>12620</v>
      </c>
      <c r="M763">
        <v>4984.8999999999996</v>
      </c>
      <c r="N763" s="1">
        <v>41760</v>
      </c>
      <c r="O763">
        <v>5</v>
      </c>
      <c r="P763" t="s">
        <v>46</v>
      </c>
      <c r="Q763">
        <v>2014</v>
      </c>
    </row>
    <row r="764" spans="1:17" x14ac:dyDescent="0.3">
      <c r="A764" t="str">
        <f t="shared" ca="1" si="11"/>
        <v>ORD-2014-Ca0-9752</v>
      </c>
      <c r="B764" t="s">
        <v>17</v>
      </c>
      <c r="C764" t="s">
        <v>18</v>
      </c>
      <c r="D764" t="s">
        <v>41</v>
      </c>
      <c r="E764" t="s">
        <v>47</v>
      </c>
      <c r="F764">
        <v>1135</v>
      </c>
      <c r="G764">
        <v>120</v>
      </c>
      <c r="H764">
        <v>7</v>
      </c>
      <c r="I764">
        <v>7945</v>
      </c>
      <c r="J764">
        <v>556.15</v>
      </c>
      <c r="K764">
        <v>7388.85</v>
      </c>
      <c r="L764">
        <v>5675</v>
      </c>
      <c r="M764">
        <v>1713.85</v>
      </c>
      <c r="N764" s="1">
        <v>41791</v>
      </c>
      <c r="O764">
        <v>6</v>
      </c>
      <c r="P764" t="s">
        <v>25</v>
      </c>
      <c r="Q764">
        <v>2014</v>
      </c>
    </row>
    <row r="765" spans="1:17" x14ac:dyDescent="0.3">
      <c r="A765" t="str">
        <f t="shared" ca="1" si="11"/>
        <v>ORD-2014-Uni-3852</v>
      </c>
      <c r="B765" t="s">
        <v>17</v>
      </c>
      <c r="C765" t="s">
        <v>37</v>
      </c>
      <c r="D765" t="s">
        <v>41</v>
      </c>
      <c r="E765" t="s">
        <v>47</v>
      </c>
      <c r="F765">
        <v>547</v>
      </c>
      <c r="G765">
        <v>120</v>
      </c>
      <c r="H765">
        <v>7</v>
      </c>
      <c r="I765">
        <v>3829</v>
      </c>
      <c r="J765">
        <v>268.02999999999997</v>
      </c>
      <c r="K765">
        <v>3560.97</v>
      </c>
      <c r="L765">
        <v>2735</v>
      </c>
      <c r="M765">
        <v>825.97</v>
      </c>
      <c r="N765" s="1">
        <v>41944</v>
      </c>
      <c r="O765">
        <v>11</v>
      </c>
      <c r="P765" t="s">
        <v>40</v>
      </c>
      <c r="Q765">
        <v>2014</v>
      </c>
    </row>
    <row r="766" spans="1:17" x14ac:dyDescent="0.3">
      <c r="A766" t="str">
        <f t="shared" ca="1" si="11"/>
        <v>ORD-2014-Ca0-1563</v>
      </c>
      <c r="B766" t="s">
        <v>17</v>
      </c>
      <c r="C766" t="s">
        <v>18</v>
      </c>
      <c r="D766" t="s">
        <v>41</v>
      </c>
      <c r="E766" t="s">
        <v>47</v>
      </c>
      <c r="F766">
        <v>1582</v>
      </c>
      <c r="G766">
        <v>120</v>
      </c>
      <c r="H766">
        <v>7</v>
      </c>
      <c r="I766">
        <v>11074</v>
      </c>
      <c r="J766">
        <v>775.18</v>
      </c>
      <c r="K766">
        <v>10298.82</v>
      </c>
      <c r="L766">
        <v>7910</v>
      </c>
      <c r="M766">
        <v>2388.8200000000002</v>
      </c>
      <c r="N766" s="1">
        <v>41974</v>
      </c>
      <c r="O766">
        <v>12</v>
      </c>
      <c r="P766" t="s">
        <v>27</v>
      </c>
      <c r="Q766">
        <v>2014</v>
      </c>
    </row>
    <row r="767" spans="1:17" x14ac:dyDescent="0.3">
      <c r="A767" t="str">
        <f t="shared" ca="1" si="11"/>
        <v>ORD-2014-Fra-7702</v>
      </c>
      <c r="B767" t="s">
        <v>30</v>
      </c>
      <c r="C767" t="s">
        <v>24</v>
      </c>
      <c r="D767" t="s">
        <v>42</v>
      </c>
      <c r="E767" t="s">
        <v>47</v>
      </c>
      <c r="F767">
        <v>1738.5</v>
      </c>
      <c r="G767">
        <v>250</v>
      </c>
      <c r="H767">
        <v>12</v>
      </c>
      <c r="I767">
        <v>20862</v>
      </c>
      <c r="J767">
        <v>1460.34</v>
      </c>
      <c r="K767">
        <v>19401.66</v>
      </c>
      <c r="L767">
        <v>5215.5</v>
      </c>
      <c r="M767">
        <v>14186.16</v>
      </c>
      <c r="N767" s="1">
        <v>41730</v>
      </c>
      <c r="O767">
        <v>4</v>
      </c>
      <c r="P767" t="s">
        <v>43</v>
      </c>
      <c r="Q767">
        <v>2014</v>
      </c>
    </row>
    <row r="768" spans="1:17" x14ac:dyDescent="0.3">
      <c r="A768" t="str">
        <f t="shared" ca="1" si="11"/>
        <v>ORD-2013-Ger-7323</v>
      </c>
      <c r="B768" t="s">
        <v>30</v>
      </c>
      <c r="C768" t="s">
        <v>22</v>
      </c>
      <c r="D768" t="s">
        <v>42</v>
      </c>
      <c r="E768" t="s">
        <v>47</v>
      </c>
      <c r="F768">
        <v>2215</v>
      </c>
      <c r="G768">
        <v>250</v>
      </c>
      <c r="H768">
        <v>12</v>
      </c>
      <c r="I768">
        <v>26580</v>
      </c>
      <c r="J768">
        <v>1860.6</v>
      </c>
      <c r="K768">
        <v>24719.4</v>
      </c>
      <c r="L768">
        <v>6645</v>
      </c>
      <c r="M768">
        <v>18074.400000000001</v>
      </c>
      <c r="N768" s="1">
        <v>41518</v>
      </c>
      <c r="O768">
        <v>9</v>
      </c>
      <c r="P768" t="s">
        <v>35</v>
      </c>
      <c r="Q768">
        <v>2013</v>
      </c>
    </row>
    <row r="769" spans="1:17" x14ac:dyDescent="0.3">
      <c r="A769" t="str">
        <f t="shared" ca="1" si="11"/>
        <v>ORD-2014-Ca0-5604</v>
      </c>
      <c r="B769" t="s">
        <v>17</v>
      </c>
      <c r="C769" t="s">
        <v>18</v>
      </c>
      <c r="D769" t="s">
        <v>42</v>
      </c>
      <c r="E769" t="s">
        <v>47</v>
      </c>
      <c r="F769">
        <v>1582</v>
      </c>
      <c r="G769">
        <v>250</v>
      </c>
      <c r="H769">
        <v>7</v>
      </c>
      <c r="I769">
        <v>11074</v>
      </c>
      <c r="J769">
        <v>775.18</v>
      </c>
      <c r="K769">
        <v>10298.82</v>
      </c>
      <c r="L769">
        <v>7910</v>
      </c>
      <c r="M769">
        <v>2388.8200000000002</v>
      </c>
      <c r="N769" s="1">
        <v>41974</v>
      </c>
      <c r="O769">
        <v>12</v>
      </c>
      <c r="P769" t="s">
        <v>27</v>
      </c>
      <c r="Q769">
        <v>2014</v>
      </c>
    </row>
    <row r="770" spans="1:17" x14ac:dyDescent="0.3">
      <c r="A770" t="str">
        <f t="shared" ca="1" si="11"/>
        <v>ORD-2014-Ca0-1273</v>
      </c>
      <c r="B770" t="s">
        <v>17</v>
      </c>
      <c r="C770" t="s">
        <v>18</v>
      </c>
      <c r="D770" t="s">
        <v>44</v>
      </c>
      <c r="E770" t="s">
        <v>47</v>
      </c>
      <c r="F770">
        <v>1135</v>
      </c>
      <c r="G770">
        <v>260</v>
      </c>
      <c r="H770">
        <v>7</v>
      </c>
      <c r="I770">
        <v>7945</v>
      </c>
      <c r="J770">
        <v>556.15</v>
      </c>
      <c r="K770">
        <v>7388.85</v>
      </c>
      <c r="L770">
        <v>5675</v>
      </c>
      <c r="M770">
        <v>1713.85</v>
      </c>
      <c r="N770" s="1">
        <v>41791</v>
      </c>
      <c r="O770">
        <v>6</v>
      </c>
      <c r="P770" t="s">
        <v>25</v>
      </c>
      <c r="Q770">
        <v>2014</v>
      </c>
    </row>
    <row r="771" spans="1:17" x14ac:dyDescent="0.3">
      <c r="A771" t="str">
        <f t="shared" ref="A771:A834" ca="1" si="12">"ORD-" &amp; YEAR(N771) &amp; "-"  &amp; LEFT(C771,3) &amp; "-" &amp; RANDBETWEEN(1000,9999)</f>
        <v>ORD-2014-Uni-8265</v>
      </c>
      <c r="B771" t="s">
        <v>17</v>
      </c>
      <c r="C771" t="s">
        <v>37</v>
      </c>
      <c r="D771" t="s">
        <v>19</v>
      </c>
      <c r="E771" t="s">
        <v>47</v>
      </c>
      <c r="F771">
        <v>1761</v>
      </c>
      <c r="G771">
        <v>3</v>
      </c>
      <c r="H771">
        <v>350</v>
      </c>
      <c r="I771">
        <v>616350</v>
      </c>
      <c r="J771">
        <v>43144.5</v>
      </c>
      <c r="K771">
        <v>573205.5</v>
      </c>
      <c r="L771">
        <v>457860</v>
      </c>
      <c r="M771">
        <v>115345.5</v>
      </c>
      <c r="N771" s="1">
        <v>41699</v>
      </c>
      <c r="O771">
        <v>3</v>
      </c>
      <c r="P771" t="s">
        <v>29</v>
      </c>
      <c r="Q771">
        <v>2014</v>
      </c>
    </row>
    <row r="772" spans="1:17" x14ac:dyDescent="0.3">
      <c r="A772" t="str">
        <f t="shared" ca="1" si="12"/>
        <v>ORD-2014-Fra-5219</v>
      </c>
      <c r="B772" t="s">
        <v>33</v>
      </c>
      <c r="C772" t="s">
        <v>24</v>
      </c>
      <c r="D772" t="s">
        <v>19</v>
      </c>
      <c r="E772" t="s">
        <v>47</v>
      </c>
      <c r="F772">
        <v>448</v>
      </c>
      <c r="G772">
        <v>3</v>
      </c>
      <c r="H772">
        <v>300</v>
      </c>
      <c r="I772">
        <v>134400</v>
      </c>
      <c r="J772">
        <v>9408</v>
      </c>
      <c r="K772">
        <v>124992</v>
      </c>
      <c r="L772">
        <v>112000</v>
      </c>
      <c r="M772">
        <v>12992</v>
      </c>
      <c r="N772" s="1">
        <v>41791</v>
      </c>
      <c r="O772">
        <v>6</v>
      </c>
      <c r="P772" t="s">
        <v>25</v>
      </c>
      <c r="Q772">
        <v>2014</v>
      </c>
    </row>
    <row r="773" spans="1:17" x14ac:dyDescent="0.3">
      <c r="A773" t="str">
        <f t="shared" ca="1" si="12"/>
        <v>ORD-2014-Fra-8876</v>
      </c>
      <c r="B773" t="s">
        <v>33</v>
      </c>
      <c r="C773" t="s">
        <v>24</v>
      </c>
      <c r="D773" t="s">
        <v>19</v>
      </c>
      <c r="E773" t="s">
        <v>47</v>
      </c>
      <c r="F773">
        <v>2181</v>
      </c>
      <c r="G773">
        <v>3</v>
      </c>
      <c r="H773">
        <v>300</v>
      </c>
      <c r="I773">
        <v>654300</v>
      </c>
      <c r="J773">
        <v>45801</v>
      </c>
      <c r="K773">
        <v>608499</v>
      </c>
      <c r="L773">
        <v>545250</v>
      </c>
      <c r="M773">
        <v>63249</v>
      </c>
      <c r="N773" s="1">
        <v>41913</v>
      </c>
      <c r="O773">
        <v>10</v>
      </c>
      <c r="P773" t="s">
        <v>36</v>
      </c>
      <c r="Q773">
        <v>2014</v>
      </c>
    </row>
    <row r="774" spans="1:17" x14ac:dyDescent="0.3">
      <c r="A774" t="str">
        <f t="shared" ca="1" si="12"/>
        <v>ORD-2014-Fra-1975</v>
      </c>
      <c r="B774" t="s">
        <v>17</v>
      </c>
      <c r="C774" t="s">
        <v>24</v>
      </c>
      <c r="D774" t="s">
        <v>28</v>
      </c>
      <c r="E774" t="s">
        <v>47</v>
      </c>
      <c r="F774">
        <v>1976</v>
      </c>
      <c r="G774">
        <v>5</v>
      </c>
      <c r="H774">
        <v>20</v>
      </c>
      <c r="I774">
        <v>39520</v>
      </c>
      <c r="J774">
        <v>2766.4</v>
      </c>
      <c r="K774">
        <v>36753.599999999999</v>
      </c>
      <c r="L774">
        <v>19760</v>
      </c>
      <c r="M774">
        <v>16993.599999999999</v>
      </c>
      <c r="N774" s="1">
        <v>41913</v>
      </c>
      <c r="O774">
        <v>10</v>
      </c>
      <c r="P774" t="s">
        <v>36</v>
      </c>
      <c r="Q774">
        <v>2014</v>
      </c>
    </row>
    <row r="775" spans="1:17" x14ac:dyDescent="0.3">
      <c r="A775" t="str">
        <f t="shared" ca="1" si="12"/>
        <v>ORD-2014-Fra-9610</v>
      </c>
      <c r="B775" t="s">
        <v>33</v>
      </c>
      <c r="C775" t="s">
        <v>24</v>
      </c>
      <c r="D775" t="s">
        <v>28</v>
      </c>
      <c r="E775" t="s">
        <v>47</v>
      </c>
      <c r="F775">
        <v>2181</v>
      </c>
      <c r="G775">
        <v>5</v>
      </c>
      <c r="H775">
        <v>300</v>
      </c>
      <c r="I775">
        <v>654300</v>
      </c>
      <c r="J775">
        <v>45801</v>
      </c>
      <c r="K775">
        <v>608499</v>
      </c>
      <c r="L775">
        <v>545250</v>
      </c>
      <c r="M775">
        <v>63249</v>
      </c>
      <c r="N775" s="1">
        <v>41913</v>
      </c>
      <c r="O775">
        <v>10</v>
      </c>
      <c r="P775" t="s">
        <v>36</v>
      </c>
      <c r="Q775">
        <v>2014</v>
      </c>
    </row>
    <row r="776" spans="1:17" x14ac:dyDescent="0.3">
      <c r="A776" t="str">
        <f t="shared" ca="1" si="12"/>
        <v>ORD-2013-Ger-2015</v>
      </c>
      <c r="B776" t="s">
        <v>31</v>
      </c>
      <c r="C776" t="s">
        <v>22</v>
      </c>
      <c r="D776" t="s">
        <v>28</v>
      </c>
      <c r="E776" t="s">
        <v>47</v>
      </c>
      <c r="F776">
        <v>2500</v>
      </c>
      <c r="G776">
        <v>5</v>
      </c>
      <c r="H776">
        <v>125</v>
      </c>
      <c r="I776">
        <v>312500</v>
      </c>
      <c r="J776">
        <v>21875</v>
      </c>
      <c r="K776">
        <v>290625</v>
      </c>
      <c r="L776">
        <v>25000</v>
      </c>
      <c r="M776">
        <f>K776-L776</f>
        <v>265625</v>
      </c>
      <c r="N776" s="1">
        <v>41579</v>
      </c>
      <c r="O776">
        <v>11</v>
      </c>
      <c r="P776" t="s">
        <v>40</v>
      </c>
      <c r="Q776">
        <v>2013</v>
      </c>
    </row>
    <row r="777" spans="1:17" x14ac:dyDescent="0.3">
      <c r="A777" t="str">
        <f t="shared" ca="1" si="12"/>
        <v>ORD-2014-Ca0-1952</v>
      </c>
      <c r="B777" t="s">
        <v>33</v>
      </c>
      <c r="C777" t="s">
        <v>18</v>
      </c>
      <c r="D777" t="s">
        <v>38</v>
      </c>
      <c r="E777" t="s">
        <v>47</v>
      </c>
      <c r="F777">
        <v>1702</v>
      </c>
      <c r="G777">
        <v>10</v>
      </c>
      <c r="H777">
        <v>300</v>
      </c>
      <c r="I777">
        <v>510600</v>
      </c>
      <c r="J777">
        <v>35742</v>
      </c>
      <c r="K777">
        <v>474858</v>
      </c>
      <c r="L777">
        <v>425500</v>
      </c>
      <c r="M777">
        <v>49358</v>
      </c>
      <c r="N777" s="1">
        <v>41760</v>
      </c>
      <c r="O777">
        <v>5</v>
      </c>
      <c r="P777" t="s">
        <v>46</v>
      </c>
      <c r="Q777">
        <v>2014</v>
      </c>
    </row>
    <row r="778" spans="1:17" x14ac:dyDescent="0.3">
      <c r="A778" t="str">
        <f t="shared" ca="1" si="12"/>
        <v>ORD-2014-Fra-8345</v>
      </c>
      <c r="B778" t="s">
        <v>33</v>
      </c>
      <c r="C778" t="s">
        <v>24</v>
      </c>
      <c r="D778" t="s">
        <v>38</v>
      </c>
      <c r="E778" t="s">
        <v>47</v>
      </c>
      <c r="F778">
        <v>448</v>
      </c>
      <c r="G778">
        <v>10</v>
      </c>
      <c r="H778">
        <v>300</v>
      </c>
      <c r="I778">
        <v>134400</v>
      </c>
      <c r="J778">
        <v>9408</v>
      </c>
      <c r="K778">
        <v>124992</v>
      </c>
      <c r="L778">
        <v>112000</v>
      </c>
      <c r="M778">
        <v>12992</v>
      </c>
      <c r="N778" s="1">
        <v>41791</v>
      </c>
      <c r="O778">
        <v>6</v>
      </c>
      <c r="P778" t="s">
        <v>25</v>
      </c>
      <c r="Q778">
        <v>2014</v>
      </c>
    </row>
    <row r="779" spans="1:17" x14ac:dyDescent="0.3">
      <c r="A779" t="str">
        <f t="shared" ca="1" si="12"/>
        <v>ORD-2014-Ger-8688</v>
      </c>
      <c r="B779" t="s">
        <v>31</v>
      </c>
      <c r="C779" t="s">
        <v>22</v>
      </c>
      <c r="D779" t="s">
        <v>38</v>
      </c>
      <c r="E779" t="s">
        <v>47</v>
      </c>
      <c r="F779">
        <v>3513</v>
      </c>
      <c r="G779">
        <v>10</v>
      </c>
      <c r="H779">
        <v>125</v>
      </c>
      <c r="I779">
        <v>439125</v>
      </c>
      <c r="J779">
        <v>30738.75</v>
      </c>
      <c r="K779">
        <v>408386.25</v>
      </c>
      <c r="L779">
        <v>421560</v>
      </c>
      <c r="M779">
        <f>K779-L779</f>
        <v>-13173.75</v>
      </c>
      <c r="N779" s="1">
        <v>41821</v>
      </c>
      <c r="O779">
        <v>7</v>
      </c>
      <c r="P779" t="s">
        <v>32</v>
      </c>
      <c r="Q779">
        <v>2014</v>
      </c>
    </row>
    <row r="780" spans="1:17" x14ac:dyDescent="0.3">
      <c r="A780" t="str">
        <f t="shared" ca="1" si="12"/>
        <v>ORD-2014-Fra-4769</v>
      </c>
      <c r="B780" t="s">
        <v>23</v>
      </c>
      <c r="C780" t="s">
        <v>24</v>
      </c>
      <c r="D780" t="s">
        <v>38</v>
      </c>
      <c r="E780" t="s">
        <v>47</v>
      </c>
      <c r="F780">
        <v>2101</v>
      </c>
      <c r="G780">
        <v>10</v>
      </c>
      <c r="H780">
        <v>15</v>
      </c>
      <c r="I780">
        <v>31515</v>
      </c>
      <c r="J780">
        <v>2206.0500000000002</v>
      </c>
      <c r="K780">
        <v>29308.95</v>
      </c>
      <c r="L780">
        <v>21010</v>
      </c>
      <c r="M780">
        <v>8298.9500000000007</v>
      </c>
      <c r="N780" s="1">
        <v>41852</v>
      </c>
      <c r="O780">
        <v>8</v>
      </c>
      <c r="P780" t="s">
        <v>34</v>
      </c>
      <c r="Q780">
        <v>2014</v>
      </c>
    </row>
    <row r="781" spans="1:17" x14ac:dyDescent="0.3">
      <c r="A781" t="str">
        <f t="shared" ca="1" si="12"/>
        <v>ORD-2013-Uni-1588</v>
      </c>
      <c r="B781" t="s">
        <v>23</v>
      </c>
      <c r="C781" t="s">
        <v>37</v>
      </c>
      <c r="D781" t="s">
        <v>38</v>
      </c>
      <c r="E781" t="s">
        <v>47</v>
      </c>
      <c r="F781">
        <v>2931</v>
      </c>
      <c r="G781">
        <v>10</v>
      </c>
      <c r="H781">
        <v>15</v>
      </c>
      <c r="I781">
        <v>43965</v>
      </c>
      <c r="J781">
        <v>3077.55</v>
      </c>
      <c r="K781">
        <v>40887.449999999997</v>
      </c>
      <c r="L781">
        <v>29310</v>
      </c>
      <c r="M781">
        <v>11577.45</v>
      </c>
      <c r="N781" s="1">
        <v>41518</v>
      </c>
      <c r="O781">
        <v>9</v>
      </c>
      <c r="P781" t="s">
        <v>35</v>
      </c>
      <c r="Q781">
        <v>2013</v>
      </c>
    </row>
    <row r="782" spans="1:17" x14ac:dyDescent="0.3">
      <c r="A782" t="str">
        <f t="shared" ca="1" si="12"/>
        <v>ORD-2014-Fra-8674</v>
      </c>
      <c r="B782" t="s">
        <v>17</v>
      </c>
      <c r="C782" t="s">
        <v>24</v>
      </c>
      <c r="D782" t="s">
        <v>38</v>
      </c>
      <c r="E782" t="s">
        <v>47</v>
      </c>
      <c r="F782">
        <v>1535</v>
      </c>
      <c r="G782">
        <v>10</v>
      </c>
      <c r="H782">
        <v>20</v>
      </c>
      <c r="I782">
        <v>30700</v>
      </c>
      <c r="J782">
        <v>2149</v>
      </c>
      <c r="K782">
        <v>28551</v>
      </c>
      <c r="L782">
        <v>15350</v>
      </c>
      <c r="M782">
        <v>13201</v>
      </c>
      <c r="N782" s="1">
        <v>41883</v>
      </c>
      <c r="O782">
        <v>9</v>
      </c>
      <c r="P782" t="s">
        <v>35</v>
      </c>
      <c r="Q782">
        <v>2014</v>
      </c>
    </row>
    <row r="783" spans="1:17" x14ac:dyDescent="0.3">
      <c r="A783" t="str">
        <f t="shared" ca="1" si="12"/>
        <v>ORD-2013-Ger-9732</v>
      </c>
      <c r="B783" t="s">
        <v>33</v>
      </c>
      <c r="C783" t="s">
        <v>22</v>
      </c>
      <c r="D783" t="s">
        <v>38</v>
      </c>
      <c r="E783" t="s">
        <v>47</v>
      </c>
      <c r="F783">
        <v>1123</v>
      </c>
      <c r="G783">
        <v>10</v>
      </c>
      <c r="H783">
        <v>300</v>
      </c>
      <c r="I783">
        <v>336900</v>
      </c>
      <c r="J783">
        <v>23583</v>
      </c>
      <c r="K783">
        <v>313317</v>
      </c>
      <c r="L783">
        <v>280750</v>
      </c>
      <c r="M783">
        <v>32567</v>
      </c>
      <c r="N783" s="1">
        <v>41518</v>
      </c>
      <c r="O783">
        <v>9</v>
      </c>
      <c r="P783" t="s">
        <v>35</v>
      </c>
      <c r="Q783">
        <v>2013</v>
      </c>
    </row>
    <row r="784" spans="1:17" x14ac:dyDescent="0.3">
      <c r="A784" t="str">
        <f t="shared" ca="1" si="12"/>
        <v>ORD-2013-Ca0-9239</v>
      </c>
      <c r="B784" t="s">
        <v>33</v>
      </c>
      <c r="C784" t="s">
        <v>18</v>
      </c>
      <c r="D784" t="s">
        <v>38</v>
      </c>
      <c r="E784" t="s">
        <v>47</v>
      </c>
      <c r="F784">
        <v>1404</v>
      </c>
      <c r="G784">
        <v>10</v>
      </c>
      <c r="H784">
        <v>300</v>
      </c>
      <c r="I784">
        <v>421200</v>
      </c>
      <c r="J784">
        <v>29484</v>
      </c>
      <c r="K784">
        <v>391716</v>
      </c>
      <c r="L784">
        <v>351000</v>
      </c>
      <c r="M784">
        <v>40716</v>
      </c>
      <c r="N784" s="1">
        <v>41579</v>
      </c>
      <c r="O784">
        <v>11</v>
      </c>
      <c r="P784" t="s">
        <v>40</v>
      </c>
      <c r="Q784">
        <v>2013</v>
      </c>
    </row>
    <row r="785" spans="1:17" x14ac:dyDescent="0.3">
      <c r="A785" t="str">
        <f t="shared" ca="1" si="12"/>
        <v>ORD-2013-Mex-2024</v>
      </c>
      <c r="B785" t="s">
        <v>30</v>
      </c>
      <c r="C785" t="s">
        <v>26</v>
      </c>
      <c r="D785" t="s">
        <v>38</v>
      </c>
      <c r="E785" t="s">
        <v>47</v>
      </c>
      <c r="F785">
        <v>2763</v>
      </c>
      <c r="G785">
        <v>10</v>
      </c>
      <c r="H785">
        <v>12</v>
      </c>
      <c r="I785">
        <v>33156</v>
      </c>
      <c r="J785">
        <v>2320.92</v>
      </c>
      <c r="K785">
        <v>30835.08</v>
      </c>
      <c r="L785">
        <v>8289</v>
      </c>
      <c r="M785">
        <v>22546.080000000002</v>
      </c>
      <c r="N785" s="1">
        <v>41579</v>
      </c>
      <c r="O785">
        <v>11</v>
      </c>
      <c r="P785" t="s">
        <v>40</v>
      </c>
      <c r="Q785">
        <v>2013</v>
      </c>
    </row>
    <row r="786" spans="1:17" x14ac:dyDescent="0.3">
      <c r="A786" t="str">
        <f t="shared" ca="1" si="12"/>
        <v>ORD-2013-Ger-3137</v>
      </c>
      <c r="B786" t="s">
        <v>17</v>
      </c>
      <c r="C786" t="s">
        <v>22</v>
      </c>
      <c r="D786" t="s">
        <v>38</v>
      </c>
      <c r="E786" t="s">
        <v>47</v>
      </c>
      <c r="F786">
        <v>2125</v>
      </c>
      <c r="G786">
        <v>10</v>
      </c>
      <c r="H786">
        <v>7</v>
      </c>
      <c r="I786">
        <v>14875</v>
      </c>
      <c r="J786">
        <v>1041.25</v>
      </c>
      <c r="K786">
        <v>13833.75</v>
      </c>
      <c r="L786">
        <v>10625</v>
      </c>
      <c r="M786">
        <v>3208.75</v>
      </c>
      <c r="N786" s="1">
        <v>41609</v>
      </c>
      <c r="O786">
        <v>12</v>
      </c>
      <c r="P786" t="s">
        <v>27</v>
      </c>
      <c r="Q786">
        <v>2013</v>
      </c>
    </row>
    <row r="787" spans="1:17" x14ac:dyDescent="0.3">
      <c r="A787" t="str">
        <f t="shared" ca="1" si="12"/>
        <v>ORD-2014-Fra-6503</v>
      </c>
      <c r="B787" t="s">
        <v>33</v>
      </c>
      <c r="C787" t="s">
        <v>24</v>
      </c>
      <c r="D787" t="s">
        <v>41</v>
      </c>
      <c r="E787" t="s">
        <v>47</v>
      </c>
      <c r="F787">
        <v>1659</v>
      </c>
      <c r="G787">
        <v>120</v>
      </c>
      <c r="H787">
        <v>300</v>
      </c>
      <c r="I787">
        <v>497700</v>
      </c>
      <c r="J787">
        <v>34839</v>
      </c>
      <c r="K787">
        <v>462861</v>
      </c>
      <c r="L787">
        <v>414750</v>
      </c>
      <c r="M787">
        <v>48111</v>
      </c>
      <c r="N787" s="1">
        <v>41821</v>
      </c>
      <c r="O787">
        <v>7</v>
      </c>
      <c r="P787" t="s">
        <v>32</v>
      </c>
      <c r="Q787">
        <v>2014</v>
      </c>
    </row>
    <row r="788" spans="1:17" x14ac:dyDescent="0.3">
      <c r="A788" t="str">
        <f t="shared" ca="1" si="12"/>
        <v>ORD-2014-Mex-2100</v>
      </c>
      <c r="B788" t="s">
        <v>17</v>
      </c>
      <c r="C788" t="s">
        <v>26</v>
      </c>
      <c r="D788" t="s">
        <v>41</v>
      </c>
      <c r="E788" t="s">
        <v>47</v>
      </c>
      <c r="F788">
        <v>609</v>
      </c>
      <c r="G788">
        <v>120</v>
      </c>
      <c r="H788">
        <v>20</v>
      </c>
      <c r="I788">
        <v>12180</v>
      </c>
      <c r="J788">
        <v>852.6</v>
      </c>
      <c r="K788">
        <v>11327.4</v>
      </c>
      <c r="L788">
        <v>6090</v>
      </c>
      <c r="M788">
        <v>5237.3999999999996</v>
      </c>
      <c r="N788" s="1">
        <v>41852</v>
      </c>
      <c r="O788">
        <v>8</v>
      </c>
      <c r="P788" t="s">
        <v>34</v>
      </c>
      <c r="Q788">
        <v>2014</v>
      </c>
    </row>
    <row r="789" spans="1:17" x14ac:dyDescent="0.3">
      <c r="A789" t="str">
        <f t="shared" ca="1" si="12"/>
        <v>ORD-2014-Ger-1555</v>
      </c>
      <c r="B789" t="s">
        <v>31</v>
      </c>
      <c r="C789" t="s">
        <v>22</v>
      </c>
      <c r="D789" t="s">
        <v>41</v>
      </c>
      <c r="E789" t="s">
        <v>47</v>
      </c>
      <c r="F789">
        <v>2087</v>
      </c>
      <c r="G789">
        <v>120</v>
      </c>
      <c r="H789">
        <v>125</v>
      </c>
      <c r="I789">
        <v>260875</v>
      </c>
      <c r="J789">
        <v>18261.25</v>
      </c>
      <c r="K789">
        <v>242613.75</v>
      </c>
      <c r="L789">
        <v>250440</v>
      </c>
      <c r="M789">
        <f>K789-L789</f>
        <v>-7826.25</v>
      </c>
      <c r="N789" s="1">
        <v>41883</v>
      </c>
      <c r="O789">
        <v>9</v>
      </c>
      <c r="P789" t="s">
        <v>35</v>
      </c>
      <c r="Q789">
        <v>2014</v>
      </c>
    </row>
    <row r="790" spans="1:17" x14ac:dyDescent="0.3">
      <c r="A790" t="str">
        <f t="shared" ca="1" si="12"/>
        <v>ORD-2014-Fra-7183</v>
      </c>
      <c r="B790" t="s">
        <v>17</v>
      </c>
      <c r="C790" t="s">
        <v>24</v>
      </c>
      <c r="D790" t="s">
        <v>41</v>
      </c>
      <c r="E790" t="s">
        <v>47</v>
      </c>
      <c r="F790">
        <v>1976</v>
      </c>
      <c r="G790">
        <v>120</v>
      </c>
      <c r="H790">
        <v>20</v>
      </c>
      <c r="I790">
        <v>39520</v>
      </c>
      <c r="J790">
        <v>2766.4</v>
      </c>
      <c r="K790">
        <v>36753.599999999999</v>
      </c>
      <c r="L790">
        <v>19760</v>
      </c>
      <c r="M790">
        <v>16993.599999999999</v>
      </c>
      <c r="N790" s="1">
        <v>41913</v>
      </c>
      <c r="O790">
        <v>10</v>
      </c>
      <c r="P790" t="s">
        <v>36</v>
      </c>
      <c r="Q790">
        <v>2014</v>
      </c>
    </row>
    <row r="791" spans="1:17" x14ac:dyDescent="0.3">
      <c r="A791" t="str">
        <f t="shared" ca="1" si="12"/>
        <v>ORD-2013-Uni-5113</v>
      </c>
      <c r="B791" t="s">
        <v>17</v>
      </c>
      <c r="C791" t="s">
        <v>37</v>
      </c>
      <c r="D791" t="s">
        <v>41</v>
      </c>
      <c r="E791" t="s">
        <v>47</v>
      </c>
      <c r="F791">
        <v>1421</v>
      </c>
      <c r="G791">
        <v>120</v>
      </c>
      <c r="H791">
        <v>20</v>
      </c>
      <c r="I791">
        <v>28420</v>
      </c>
      <c r="J791">
        <v>1989.4</v>
      </c>
      <c r="K791">
        <v>26430.6</v>
      </c>
      <c r="L791">
        <v>14210</v>
      </c>
      <c r="M791">
        <v>12220.6</v>
      </c>
      <c r="N791" s="1">
        <v>41609</v>
      </c>
      <c r="O791">
        <v>12</v>
      </c>
      <c r="P791" t="s">
        <v>27</v>
      </c>
      <c r="Q791">
        <v>2013</v>
      </c>
    </row>
    <row r="792" spans="1:17" x14ac:dyDescent="0.3">
      <c r="A792" t="str">
        <f t="shared" ca="1" si="12"/>
        <v>ORD-2014-Uni-7973</v>
      </c>
      <c r="B792" t="s">
        <v>33</v>
      </c>
      <c r="C792" t="s">
        <v>37</v>
      </c>
      <c r="D792" t="s">
        <v>41</v>
      </c>
      <c r="E792" t="s">
        <v>47</v>
      </c>
      <c r="F792">
        <v>1372</v>
      </c>
      <c r="G792">
        <v>120</v>
      </c>
      <c r="H792">
        <v>300</v>
      </c>
      <c r="I792">
        <v>411600</v>
      </c>
      <c r="J792">
        <v>28812</v>
      </c>
      <c r="K792">
        <v>382788</v>
      </c>
      <c r="L792">
        <v>343000</v>
      </c>
      <c r="M792">
        <v>39788</v>
      </c>
      <c r="N792" s="1">
        <v>41974</v>
      </c>
      <c r="O792">
        <v>12</v>
      </c>
      <c r="P792" t="s">
        <v>27</v>
      </c>
      <c r="Q792">
        <v>2014</v>
      </c>
    </row>
    <row r="793" spans="1:17" x14ac:dyDescent="0.3">
      <c r="A793" t="str">
        <f t="shared" ca="1" si="12"/>
        <v>ORD-2013-Ger-6714</v>
      </c>
      <c r="B793" t="s">
        <v>17</v>
      </c>
      <c r="C793" t="s">
        <v>22</v>
      </c>
      <c r="D793" t="s">
        <v>41</v>
      </c>
      <c r="E793" t="s">
        <v>47</v>
      </c>
      <c r="F793">
        <v>588</v>
      </c>
      <c r="G793">
        <v>120</v>
      </c>
      <c r="H793">
        <v>20</v>
      </c>
      <c r="I793">
        <v>11760</v>
      </c>
      <c r="J793">
        <v>823.2</v>
      </c>
      <c r="K793">
        <v>10936.8</v>
      </c>
      <c r="L793">
        <v>5880</v>
      </c>
      <c r="M793">
        <v>5056.8</v>
      </c>
      <c r="N793" s="1">
        <v>41609</v>
      </c>
      <c r="O793">
        <v>12</v>
      </c>
      <c r="P793" t="s">
        <v>27</v>
      </c>
      <c r="Q793">
        <v>2013</v>
      </c>
    </row>
    <row r="794" spans="1:17" x14ac:dyDescent="0.3">
      <c r="A794" t="str">
        <f t="shared" ca="1" si="12"/>
        <v>ORD-2014-Ca0-1384</v>
      </c>
      <c r="B794" t="s">
        <v>30</v>
      </c>
      <c r="C794" t="s">
        <v>18</v>
      </c>
      <c r="D794" t="s">
        <v>42</v>
      </c>
      <c r="E794" t="s">
        <v>47</v>
      </c>
      <c r="F794">
        <v>3244.5</v>
      </c>
      <c r="G794">
        <v>250</v>
      </c>
      <c r="H794">
        <v>12</v>
      </c>
      <c r="I794">
        <v>38934</v>
      </c>
      <c r="J794">
        <v>2725.38</v>
      </c>
      <c r="K794">
        <v>36208.620000000003</v>
      </c>
      <c r="L794">
        <v>9733.5</v>
      </c>
      <c r="M794">
        <v>26475.119999999999</v>
      </c>
      <c r="N794" s="1">
        <v>41640</v>
      </c>
      <c r="O794">
        <v>1</v>
      </c>
      <c r="P794" t="s">
        <v>21</v>
      </c>
      <c r="Q794">
        <v>2014</v>
      </c>
    </row>
    <row r="795" spans="1:17" x14ac:dyDescent="0.3">
      <c r="A795" t="str">
        <f t="shared" ca="1" si="12"/>
        <v>ORD-2014-Fra-9823</v>
      </c>
      <c r="B795" t="s">
        <v>33</v>
      </c>
      <c r="C795" t="s">
        <v>24</v>
      </c>
      <c r="D795" t="s">
        <v>42</v>
      </c>
      <c r="E795" t="s">
        <v>47</v>
      </c>
      <c r="F795">
        <v>959</v>
      </c>
      <c r="G795">
        <v>250</v>
      </c>
      <c r="H795">
        <v>300</v>
      </c>
      <c r="I795">
        <v>287700</v>
      </c>
      <c r="J795">
        <v>20139</v>
      </c>
      <c r="K795">
        <v>267561</v>
      </c>
      <c r="L795">
        <v>239750</v>
      </c>
      <c r="M795">
        <v>27811</v>
      </c>
      <c r="N795" s="1">
        <v>41671</v>
      </c>
      <c r="O795">
        <v>2</v>
      </c>
      <c r="P795" t="s">
        <v>39</v>
      </c>
      <c r="Q795">
        <v>2014</v>
      </c>
    </row>
    <row r="796" spans="1:17" x14ac:dyDescent="0.3">
      <c r="A796" t="str">
        <f t="shared" ca="1" si="12"/>
        <v>ORD-2014-Mex-1753</v>
      </c>
      <c r="B796" t="s">
        <v>33</v>
      </c>
      <c r="C796" t="s">
        <v>26</v>
      </c>
      <c r="D796" t="s">
        <v>42</v>
      </c>
      <c r="E796" t="s">
        <v>47</v>
      </c>
      <c r="F796">
        <v>2747</v>
      </c>
      <c r="G796">
        <v>250</v>
      </c>
      <c r="H796">
        <v>300</v>
      </c>
      <c r="I796">
        <v>824100</v>
      </c>
      <c r="J796">
        <v>57687</v>
      </c>
      <c r="K796">
        <v>766413</v>
      </c>
      <c r="L796">
        <v>686750</v>
      </c>
      <c r="M796">
        <v>79663</v>
      </c>
      <c r="N796" s="1">
        <v>41671</v>
      </c>
      <c r="O796">
        <v>2</v>
      </c>
      <c r="P796" t="s">
        <v>39</v>
      </c>
      <c r="Q796">
        <v>2014</v>
      </c>
    </row>
    <row r="797" spans="1:17" x14ac:dyDescent="0.3">
      <c r="A797" t="str">
        <f t="shared" ca="1" si="12"/>
        <v>ORD-2014-Ca0-8568</v>
      </c>
      <c r="B797" t="s">
        <v>31</v>
      </c>
      <c r="C797" t="s">
        <v>18</v>
      </c>
      <c r="D797" t="s">
        <v>44</v>
      </c>
      <c r="E797" t="s">
        <v>47</v>
      </c>
      <c r="F797">
        <v>1645</v>
      </c>
      <c r="G797">
        <v>260</v>
      </c>
      <c r="H797">
        <v>125</v>
      </c>
      <c r="I797">
        <v>205625</v>
      </c>
      <c r="J797">
        <v>14393.75</v>
      </c>
      <c r="K797">
        <v>191231.25</v>
      </c>
      <c r="L797">
        <v>197400</v>
      </c>
      <c r="M797">
        <f>K797-L797</f>
        <v>-6168.75</v>
      </c>
      <c r="N797" s="1">
        <v>41760</v>
      </c>
      <c r="O797">
        <v>5</v>
      </c>
      <c r="P797" t="s">
        <v>46</v>
      </c>
      <c r="Q797">
        <v>2014</v>
      </c>
    </row>
    <row r="798" spans="1:17" x14ac:dyDescent="0.3">
      <c r="A798" t="str">
        <f t="shared" ca="1" si="12"/>
        <v>ORD-2014-Fra-3474</v>
      </c>
      <c r="B798" t="s">
        <v>17</v>
      </c>
      <c r="C798" t="s">
        <v>24</v>
      </c>
      <c r="D798" t="s">
        <v>44</v>
      </c>
      <c r="E798" t="s">
        <v>47</v>
      </c>
      <c r="F798">
        <v>2876</v>
      </c>
      <c r="G798">
        <v>260</v>
      </c>
      <c r="H798">
        <v>350</v>
      </c>
      <c r="I798">
        <v>1006600</v>
      </c>
      <c r="J798">
        <v>70462</v>
      </c>
      <c r="K798">
        <v>936138</v>
      </c>
      <c r="L798">
        <v>747760</v>
      </c>
      <c r="M798">
        <v>188378</v>
      </c>
      <c r="N798" s="1">
        <v>41883</v>
      </c>
      <c r="O798">
        <v>9</v>
      </c>
      <c r="P798" t="s">
        <v>35</v>
      </c>
      <c r="Q798">
        <v>2014</v>
      </c>
    </row>
    <row r="799" spans="1:17" x14ac:dyDescent="0.3">
      <c r="A799" t="str">
        <f t="shared" ca="1" si="12"/>
        <v>ORD-2013-Ger-6732</v>
      </c>
      <c r="B799" t="s">
        <v>31</v>
      </c>
      <c r="C799" t="s">
        <v>22</v>
      </c>
      <c r="D799" t="s">
        <v>44</v>
      </c>
      <c r="E799" t="s">
        <v>47</v>
      </c>
      <c r="F799">
        <v>994</v>
      </c>
      <c r="G799">
        <v>260</v>
      </c>
      <c r="H799">
        <v>125</v>
      </c>
      <c r="I799">
        <v>124250</v>
      </c>
      <c r="J799">
        <v>8697.5</v>
      </c>
      <c r="K799">
        <v>115552.5</v>
      </c>
      <c r="L799">
        <v>119280</v>
      </c>
      <c r="M799">
        <f>K799-L799</f>
        <v>-3727.5</v>
      </c>
      <c r="N799" s="1">
        <v>41518</v>
      </c>
      <c r="O799">
        <v>9</v>
      </c>
      <c r="P799" t="s">
        <v>35</v>
      </c>
      <c r="Q799">
        <v>2013</v>
      </c>
    </row>
    <row r="800" spans="1:17" x14ac:dyDescent="0.3">
      <c r="A800" t="str">
        <f t="shared" ca="1" si="12"/>
        <v>ORD-2014-Ca0-8881</v>
      </c>
      <c r="B800" t="s">
        <v>17</v>
      </c>
      <c r="C800" t="s">
        <v>18</v>
      </c>
      <c r="D800" t="s">
        <v>44</v>
      </c>
      <c r="E800" t="s">
        <v>47</v>
      </c>
      <c r="F800">
        <v>1118</v>
      </c>
      <c r="G800">
        <v>260</v>
      </c>
      <c r="H800">
        <v>20</v>
      </c>
      <c r="I800">
        <v>22360</v>
      </c>
      <c r="J800">
        <v>1565.2</v>
      </c>
      <c r="K800">
        <v>20794.8</v>
      </c>
      <c r="L800">
        <v>11180</v>
      </c>
      <c r="M800">
        <v>9614.7999999999993</v>
      </c>
      <c r="N800" s="1">
        <v>41944</v>
      </c>
      <c r="O800">
        <v>11</v>
      </c>
      <c r="P800" t="s">
        <v>40</v>
      </c>
      <c r="Q800">
        <v>2014</v>
      </c>
    </row>
    <row r="801" spans="1:17" x14ac:dyDescent="0.3">
      <c r="A801" t="str">
        <f t="shared" ca="1" si="12"/>
        <v>ORD-2014-Uni-1411</v>
      </c>
      <c r="B801" t="s">
        <v>33</v>
      </c>
      <c r="C801" t="s">
        <v>37</v>
      </c>
      <c r="D801" t="s">
        <v>44</v>
      </c>
      <c r="E801" t="s">
        <v>47</v>
      </c>
      <c r="F801">
        <v>1372</v>
      </c>
      <c r="G801">
        <v>260</v>
      </c>
      <c r="H801">
        <v>300</v>
      </c>
      <c r="I801">
        <v>411600</v>
      </c>
      <c r="J801">
        <v>28812</v>
      </c>
      <c r="K801">
        <v>382788</v>
      </c>
      <c r="L801">
        <v>343000</v>
      </c>
      <c r="M801">
        <v>39788</v>
      </c>
      <c r="N801" s="1">
        <v>41974</v>
      </c>
      <c r="O801">
        <v>12</v>
      </c>
      <c r="P801" t="s">
        <v>27</v>
      </c>
      <c r="Q801">
        <v>2014</v>
      </c>
    </row>
    <row r="802" spans="1:17" x14ac:dyDescent="0.3">
      <c r="A802" t="str">
        <f t="shared" ca="1" si="12"/>
        <v>ORD-2014-Ca0-4737</v>
      </c>
      <c r="B802" t="s">
        <v>17</v>
      </c>
      <c r="C802" t="s">
        <v>18</v>
      </c>
      <c r="D802" t="s">
        <v>28</v>
      </c>
      <c r="E802" t="s">
        <v>47</v>
      </c>
      <c r="F802">
        <v>488</v>
      </c>
      <c r="G802">
        <v>5</v>
      </c>
      <c r="H802">
        <v>7</v>
      </c>
      <c r="I802">
        <v>3416</v>
      </c>
      <c r="J802">
        <v>273.27999999999997</v>
      </c>
      <c r="K802">
        <v>3142.72</v>
      </c>
      <c r="L802">
        <v>2440</v>
      </c>
      <c r="M802">
        <v>702.72</v>
      </c>
      <c r="N802" s="1">
        <v>41671</v>
      </c>
      <c r="O802">
        <v>2</v>
      </c>
      <c r="P802" t="s">
        <v>39</v>
      </c>
      <c r="Q802">
        <v>2014</v>
      </c>
    </row>
    <row r="803" spans="1:17" x14ac:dyDescent="0.3">
      <c r="A803" t="str">
        <f t="shared" ca="1" si="12"/>
        <v>ORD-2014-Uni-5976</v>
      </c>
      <c r="B803" t="s">
        <v>17</v>
      </c>
      <c r="C803" t="s">
        <v>37</v>
      </c>
      <c r="D803" t="s">
        <v>28</v>
      </c>
      <c r="E803" t="s">
        <v>47</v>
      </c>
      <c r="F803">
        <v>1282</v>
      </c>
      <c r="G803">
        <v>5</v>
      </c>
      <c r="H803">
        <v>20</v>
      </c>
      <c r="I803">
        <v>25640</v>
      </c>
      <c r="J803">
        <v>2051.1999999999998</v>
      </c>
      <c r="K803">
        <v>23588.799999999999</v>
      </c>
      <c r="L803">
        <v>12820</v>
      </c>
      <c r="M803">
        <v>10768.8</v>
      </c>
      <c r="N803" s="1">
        <v>41791</v>
      </c>
      <c r="O803">
        <v>6</v>
      </c>
      <c r="P803" t="s">
        <v>25</v>
      </c>
      <c r="Q803">
        <v>2014</v>
      </c>
    </row>
    <row r="804" spans="1:17" x14ac:dyDescent="0.3">
      <c r="A804" t="str">
        <f t="shared" ca="1" si="12"/>
        <v>ORD-2014-Ca0-6891</v>
      </c>
      <c r="B804" t="s">
        <v>17</v>
      </c>
      <c r="C804" t="s">
        <v>18</v>
      </c>
      <c r="D804" t="s">
        <v>38</v>
      </c>
      <c r="E804" t="s">
        <v>47</v>
      </c>
      <c r="F804">
        <v>257</v>
      </c>
      <c r="G804">
        <v>10</v>
      </c>
      <c r="H804">
        <v>7</v>
      </c>
      <c r="I804">
        <v>1799</v>
      </c>
      <c r="J804">
        <v>143.91999999999999</v>
      </c>
      <c r="K804">
        <v>1655.08</v>
      </c>
      <c r="L804">
        <v>1285</v>
      </c>
      <c r="M804">
        <v>370.08</v>
      </c>
      <c r="N804" s="1">
        <v>41760</v>
      </c>
      <c r="O804">
        <v>5</v>
      </c>
      <c r="P804" t="s">
        <v>46</v>
      </c>
      <c r="Q804">
        <v>2014</v>
      </c>
    </row>
    <row r="805" spans="1:17" x14ac:dyDescent="0.3">
      <c r="A805" t="str">
        <f t="shared" ca="1" si="12"/>
        <v>ORD-2014-Uni-5936</v>
      </c>
      <c r="B805" t="s">
        <v>17</v>
      </c>
      <c r="C805" t="s">
        <v>37</v>
      </c>
      <c r="D805" t="s">
        <v>44</v>
      </c>
      <c r="E805" t="s">
        <v>47</v>
      </c>
      <c r="F805">
        <v>1282</v>
      </c>
      <c r="G805">
        <v>260</v>
      </c>
      <c r="H805">
        <v>20</v>
      </c>
      <c r="I805">
        <v>25640</v>
      </c>
      <c r="J805">
        <v>2051.1999999999998</v>
      </c>
      <c r="K805">
        <v>23588.799999999999</v>
      </c>
      <c r="L805">
        <v>12820</v>
      </c>
      <c r="M805">
        <v>10768.8</v>
      </c>
      <c r="N805" s="1">
        <v>41791</v>
      </c>
      <c r="O805">
        <v>6</v>
      </c>
      <c r="P805" t="s">
        <v>25</v>
      </c>
      <c r="Q805">
        <v>2014</v>
      </c>
    </row>
    <row r="806" spans="1:17" x14ac:dyDescent="0.3">
      <c r="A806" t="str">
        <f t="shared" ca="1" si="12"/>
        <v>ORD-2014-Mex-4681</v>
      </c>
      <c r="B806" t="s">
        <v>31</v>
      </c>
      <c r="C806" t="s">
        <v>26</v>
      </c>
      <c r="D806" t="s">
        <v>19</v>
      </c>
      <c r="E806" t="s">
        <v>47</v>
      </c>
      <c r="F806">
        <v>1540</v>
      </c>
      <c r="G806">
        <v>3</v>
      </c>
      <c r="H806">
        <v>125</v>
      </c>
      <c r="I806">
        <v>192500</v>
      </c>
      <c r="J806">
        <v>15400</v>
      </c>
      <c r="K806">
        <v>177100</v>
      </c>
      <c r="L806">
        <v>184800</v>
      </c>
      <c r="M806">
        <f>K806-L806</f>
        <v>-7700</v>
      </c>
      <c r="N806" s="1">
        <v>41852</v>
      </c>
      <c r="O806">
        <v>8</v>
      </c>
      <c r="P806" t="s">
        <v>34</v>
      </c>
      <c r="Q806">
        <v>2014</v>
      </c>
    </row>
    <row r="807" spans="1:17" x14ac:dyDescent="0.3">
      <c r="A807" t="str">
        <f t="shared" ca="1" si="12"/>
        <v>ORD-2014-Fra-5435</v>
      </c>
      <c r="B807" t="s">
        <v>23</v>
      </c>
      <c r="C807" t="s">
        <v>24</v>
      </c>
      <c r="D807" t="s">
        <v>19</v>
      </c>
      <c r="E807" t="s">
        <v>47</v>
      </c>
      <c r="F807">
        <v>490</v>
      </c>
      <c r="G807">
        <v>3</v>
      </c>
      <c r="H807">
        <v>15</v>
      </c>
      <c r="I807">
        <v>7350</v>
      </c>
      <c r="J807">
        <v>588</v>
      </c>
      <c r="K807">
        <v>6762</v>
      </c>
      <c r="L807">
        <v>4900</v>
      </c>
      <c r="M807">
        <v>1862</v>
      </c>
      <c r="N807" s="1">
        <v>41944</v>
      </c>
      <c r="O807">
        <v>11</v>
      </c>
      <c r="P807" t="s">
        <v>40</v>
      </c>
      <c r="Q807">
        <v>2014</v>
      </c>
    </row>
    <row r="808" spans="1:17" x14ac:dyDescent="0.3">
      <c r="A808" t="str">
        <f t="shared" ca="1" si="12"/>
        <v>ORD-2014-Mex-4061</v>
      </c>
      <c r="B808" t="s">
        <v>17</v>
      </c>
      <c r="C808" t="s">
        <v>26</v>
      </c>
      <c r="D808" t="s">
        <v>19</v>
      </c>
      <c r="E808" t="s">
        <v>47</v>
      </c>
      <c r="F808">
        <v>1362</v>
      </c>
      <c r="G808">
        <v>3</v>
      </c>
      <c r="H808">
        <v>350</v>
      </c>
      <c r="I808">
        <v>476700</v>
      </c>
      <c r="J808">
        <v>38136</v>
      </c>
      <c r="K808">
        <v>438564</v>
      </c>
      <c r="L808">
        <v>354120</v>
      </c>
      <c r="M808">
        <v>84444</v>
      </c>
      <c r="N808" s="1">
        <v>41974</v>
      </c>
      <c r="O808">
        <v>12</v>
      </c>
      <c r="P808" t="s">
        <v>27</v>
      </c>
      <c r="Q808">
        <v>2014</v>
      </c>
    </row>
    <row r="809" spans="1:17" x14ac:dyDescent="0.3">
      <c r="A809" t="str">
        <f t="shared" ca="1" si="12"/>
        <v>ORD-2014-Fra-5980</v>
      </c>
      <c r="B809" t="s">
        <v>23</v>
      </c>
      <c r="C809" t="s">
        <v>24</v>
      </c>
      <c r="D809" t="s">
        <v>28</v>
      </c>
      <c r="E809" t="s">
        <v>47</v>
      </c>
      <c r="F809">
        <v>2501</v>
      </c>
      <c r="G809">
        <v>5</v>
      </c>
      <c r="H809">
        <v>15</v>
      </c>
      <c r="I809">
        <v>37515</v>
      </c>
      <c r="J809">
        <v>3001.2</v>
      </c>
      <c r="K809">
        <v>34513.800000000003</v>
      </c>
      <c r="L809">
        <v>25010</v>
      </c>
      <c r="M809">
        <v>9503.7999999999993</v>
      </c>
      <c r="N809" s="1">
        <v>41699</v>
      </c>
      <c r="O809">
        <v>3</v>
      </c>
      <c r="P809" t="s">
        <v>29</v>
      </c>
      <c r="Q809">
        <v>2014</v>
      </c>
    </row>
    <row r="810" spans="1:17" x14ac:dyDescent="0.3">
      <c r="A810" t="str">
        <f t="shared" ca="1" si="12"/>
        <v>ORD-2014-Ca0-1461</v>
      </c>
      <c r="B810" t="s">
        <v>17</v>
      </c>
      <c r="C810" t="s">
        <v>18</v>
      </c>
      <c r="D810" t="s">
        <v>28</v>
      </c>
      <c r="E810" t="s">
        <v>47</v>
      </c>
      <c r="F810">
        <v>708</v>
      </c>
      <c r="G810">
        <v>5</v>
      </c>
      <c r="H810">
        <v>20</v>
      </c>
      <c r="I810">
        <v>14160</v>
      </c>
      <c r="J810">
        <v>1132.8</v>
      </c>
      <c r="K810">
        <v>13027.2</v>
      </c>
      <c r="L810">
        <v>7080</v>
      </c>
      <c r="M810">
        <v>5947.2</v>
      </c>
      <c r="N810" s="1">
        <v>41791</v>
      </c>
      <c r="O810">
        <v>6</v>
      </c>
      <c r="P810" t="s">
        <v>25</v>
      </c>
      <c r="Q810">
        <v>2014</v>
      </c>
    </row>
    <row r="811" spans="1:17" x14ac:dyDescent="0.3">
      <c r="A811" t="str">
        <f t="shared" ca="1" si="12"/>
        <v>ORD-2014-Ger-6363</v>
      </c>
      <c r="B811" t="s">
        <v>17</v>
      </c>
      <c r="C811" t="s">
        <v>22</v>
      </c>
      <c r="D811" t="s">
        <v>28</v>
      </c>
      <c r="E811" t="s">
        <v>47</v>
      </c>
      <c r="F811">
        <v>645</v>
      </c>
      <c r="G811">
        <v>5</v>
      </c>
      <c r="H811">
        <v>20</v>
      </c>
      <c r="I811">
        <v>12900</v>
      </c>
      <c r="J811">
        <v>1032</v>
      </c>
      <c r="K811">
        <v>11868</v>
      </c>
      <c r="L811">
        <v>6450</v>
      </c>
      <c r="M811">
        <v>5418</v>
      </c>
      <c r="N811" s="1">
        <v>41821</v>
      </c>
      <c r="O811">
        <v>7</v>
      </c>
      <c r="P811" t="s">
        <v>32</v>
      </c>
      <c r="Q811">
        <v>2014</v>
      </c>
    </row>
    <row r="812" spans="1:17" x14ac:dyDescent="0.3">
      <c r="A812" t="str">
        <f t="shared" ca="1" si="12"/>
        <v>ORD-2014-Fra-4810</v>
      </c>
      <c r="B812" t="s">
        <v>33</v>
      </c>
      <c r="C812" t="s">
        <v>24</v>
      </c>
      <c r="D812" t="s">
        <v>28</v>
      </c>
      <c r="E812" t="s">
        <v>47</v>
      </c>
      <c r="F812">
        <v>1562</v>
      </c>
      <c r="G812">
        <v>5</v>
      </c>
      <c r="H812">
        <v>300</v>
      </c>
      <c r="I812">
        <v>468600</v>
      </c>
      <c r="J812">
        <v>37488</v>
      </c>
      <c r="K812">
        <v>431112</v>
      </c>
      <c r="L812">
        <v>390500</v>
      </c>
      <c r="M812">
        <v>40612</v>
      </c>
      <c r="N812" s="1">
        <v>41852</v>
      </c>
      <c r="O812">
        <v>8</v>
      </c>
      <c r="P812" t="s">
        <v>34</v>
      </c>
      <c r="Q812">
        <v>2014</v>
      </c>
    </row>
    <row r="813" spans="1:17" x14ac:dyDescent="0.3">
      <c r="A813" t="str">
        <f t="shared" ca="1" si="12"/>
        <v>ORD-2013-Ca0-3739</v>
      </c>
      <c r="B813" t="s">
        <v>33</v>
      </c>
      <c r="C813" t="s">
        <v>18</v>
      </c>
      <c r="D813" t="s">
        <v>28</v>
      </c>
      <c r="E813" t="s">
        <v>47</v>
      </c>
      <c r="F813">
        <v>1283</v>
      </c>
      <c r="G813">
        <v>5</v>
      </c>
      <c r="H813">
        <v>300</v>
      </c>
      <c r="I813">
        <v>384900</v>
      </c>
      <c r="J813">
        <v>30792</v>
      </c>
      <c r="K813">
        <v>354108</v>
      </c>
      <c r="L813">
        <v>320750</v>
      </c>
      <c r="M813">
        <v>33358</v>
      </c>
      <c r="N813" s="1">
        <v>41518</v>
      </c>
      <c r="O813">
        <v>9</v>
      </c>
      <c r="P813" t="s">
        <v>35</v>
      </c>
      <c r="Q813">
        <v>2013</v>
      </c>
    </row>
    <row r="814" spans="1:17" x14ac:dyDescent="0.3">
      <c r="A814" t="str">
        <f t="shared" ca="1" si="12"/>
        <v>ORD-2014-Ger-6683</v>
      </c>
      <c r="B814" t="s">
        <v>23</v>
      </c>
      <c r="C814" t="s">
        <v>22</v>
      </c>
      <c r="D814" t="s">
        <v>28</v>
      </c>
      <c r="E814" t="s">
        <v>47</v>
      </c>
      <c r="F814">
        <v>711</v>
      </c>
      <c r="G814">
        <v>5</v>
      </c>
      <c r="H814">
        <v>15</v>
      </c>
      <c r="I814">
        <v>10665</v>
      </c>
      <c r="J814">
        <v>853.2</v>
      </c>
      <c r="K814">
        <v>9811.7999999999993</v>
      </c>
      <c r="L814">
        <v>7110</v>
      </c>
      <c r="M814">
        <v>2701.8</v>
      </c>
      <c r="N814" s="1">
        <v>41974</v>
      </c>
      <c r="O814">
        <v>12</v>
      </c>
      <c r="P814" t="s">
        <v>27</v>
      </c>
      <c r="Q814">
        <v>2014</v>
      </c>
    </row>
    <row r="815" spans="1:17" x14ac:dyDescent="0.3">
      <c r="A815" t="str">
        <f t="shared" ca="1" si="12"/>
        <v>ORD-2014-Mex-4074</v>
      </c>
      <c r="B815" t="s">
        <v>31</v>
      </c>
      <c r="C815" t="s">
        <v>26</v>
      </c>
      <c r="D815" t="s">
        <v>38</v>
      </c>
      <c r="E815" t="s">
        <v>47</v>
      </c>
      <c r="F815">
        <v>1114</v>
      </c>
      <c r="G815">
        <v>10</v>
      </c>
      <c r="H815">
        <v>125</v>
      </c>
      <c r="I815">
        <v>139250</v>
      </c>
      <c r="J815">
        <v>11140</v>
      </c>
      <c r="K815">
        <v>128110</v>
      </c>
      <c r="L815">
        <v>133680</v>
      </c>
      <c r="M815">
        <f>K815-L815</f>
        <v>-5570</v>
      </c>
      <c r="N815" s="1">
        <v>41699</v>
      </c>
      <c r="O815">
        <v>3</v>
      </c>
      <c r="P815" t="s">
        <v>29</v>
      </c>
      <c r="Q815">
        <v>2014</v>
      </c>
    </row>
    <row r="816" spans="1:17" x14ac:dyDescent="0.3">
      <c r="A816" t="str">
        <f t="shared" ca="1" si="12"/>
        <v>ORD-2014-Ger-4487</v>
      </c>
      <c r="B816" t="s">
        <v>17</v>
      </c>
      <c r="C816" t="s">
        <v>22</v>
      </c>
      <c r="D816" t="s">
        <v>38</v>
      </c>
      <c r="E816" t="s">
        <v>47</v>
      </c>
      <c r="F816">
        <v>1259</v>
      </c>
      <c r="G816">
        <v>10</v>
      </c>
      <c r="H816">
        <v>7</v>
      </c>
      <c r="I816">
        <v>8813</v>
      </c>
      <c r="J816">
        <v>705.04</v>
      </c>
      <c r="K816">
        <v>8107.96</v>
      </c>
      <c r="L816">
        <v>6295</v>
      </c>
      <c r="M816">
        <v>1812.96</v>
      </c>
      <c r="N816" s="1">
        <v>41730</v>
      </c>
      <c r="O816">
        <v>4</v>
      </c>
      <c r="P816" t="s">
        <v>43</v>
      </c>
      <c r="Q816">
        <v>2014</v>
      </c>
    </row>
    <row r="817" spans="1:17" x14ac:dyDescent="0.3">
      <c r="A817" t="str">
        <f t="shared" ca="1" si="12"/>
        <v>ORD-2014-Ger-1895</v>
      </c>
      <c r="B817" t="s">
        <v>17</v>
      </c>
      <c r="C817" t="s">
        <v>22</v>
      </c>
      <c r="D817" t="s">
        <v>38</v>
      </c>
      <c r="E817" t="s">
        <v>47</v>
      </c>
      <c r="F817">
        <v>1095</v>
      </c>
      <c r="G817">
        <v>10</v>
      </c>
      <c r="H817">
        <v>7</v>
      </c>
      <c r="I817">
        <v>7665</v>
      </c>
      <c r="J817">
        <v>613.20000000000005</v>
      </c>
      <c r="K817">
        <v>7051.8</v>
      </c>
      <c r="L817">
        <v>5475</v>
      </c>
      <c r="M817">
        <v>1576.8</v>
      </c>
      <c r="N817" s="1">
        <v>41760</v>
      </c>
      <c r="O817">
        <v>5</v>
      </c>
      <c r="P817" t="s">
        <v>46</v>
      </c>
      <c r="Q817">
        <v>2014</v>
      </c>
    </row>
    <row r="818" spans="1:17" x14ac:dyDescent="0.3">
      <c r="A818" t="str">
        <f t="shared" ca="1" si="12"/>
        <v>ORD-2014-Ger-4305</v>
      </c>
      <c r="B818" t="s">
        <v>17</v>
      </c>
      <c r="C818" t="s">
        <v>22</v>
      </c>
      <c r="D818" t="s">
        <v>38</v>
      </c>
      <c r="E818" t="s">
        <v>47</v>
      </c>
      <c r="F818">
        <v>1366</v>
      </c>
      <c r="G818">
        <v>10</v>
      </c>
      <c r="H818">
        <v>20</v>
      </c>
      <c r="I818">
        <v>27320</v>
      </c>
      <c r="J818">
        <v>2185.6</v>
      </c>
      <c r="K818">
        <v>25134.400000000001</v>
      </c>
      <c r="L818">
        <v>13660</v>
      </c>
      <c r="M818">
        <v>11474.4</v>
      </c>
      <c r="N818" s="1">
        <v>41791</v>
      </c>
      <c r="O818">
        <v>6</v>
      </c>
      <c r="P818" t="s">
        <v>25</v>
      </c>
      <c r="Q818">
        <v>2014</v>
      </c>
    </row>
    <row r="819" spans="1:17" x14ac:dyDescent="0.3">
      <c r="A819" t="str">
        <f t="shared" ca="1" si="12"/>
        <v>ORD-2014-Mex-3670</v>
      </c>
      <c r="B819" t="s">
        <v>33</v>
      </c>
      <c r="C819" t="s">
        <v>26</v>
      </c>
      <c r="D819" t="s">
        <v>38</v>
      </c>
      <c r="E819" t="s">
        <v>47</v>
      </c>
      <c r="F819">
        <v>2460</v>
      </c>
      <c r="G819">
        <v>10</v>
      </c>
      <c r="H819">
        <v>300</v>
      </c>
      <c r="I819">
        <v>738000</v>
      </c>
      <c r="J819">
        <v>59040</v>
      </c>
      <c r="K819">
        <v>678960</v>
      </c>
      <c r="L819">
        <v>615000</v>
      </c>
      <c r="M819">
        <v>63960</v>
      </c>
      <c r="N819" s="1">
        <v>41791</v>
      </c>
      <c r="O819">
        <v>6</v>
      </c>
      <c r="P819" t="s">
        <v>25</v>
      </c>
      <c r="Q819">
        <v>2014</v>
      </c>
    </row>
    <row r="820" spans="1:17" x14ac:dyDescent="0.3">
      <c r="A820" t="str">
        <f t="shared" ca="1" si="12"/>
        <v>ORD-2014-Uni-9948</v>
      </c>
      <c r="B820" t="s">
        <v>17</v>
      </c>
      <c r="C820" t="s">
        <v>37</v>
      </c>
      <c r="D820" t="s">
        <v>38</v>
      </c>
      <c r="E820" t="s">
        <v>47</v>
      </c>
      <c r="F820">
        <v>678</v>
      </c>
      <c r="G820">
        <v>10</v>
      </c>
      <c r="H820">
        <v>7</v>
      </c>
      <c r="I820">
        <v>4746</v>
      </c>
      <c r="J820">
        <v>379.68</v>
      </c>
      <c r="K820">
        <v>4366.32</v>
      </c>
      <c r="L820">
        <v>3390</v>
      </c>
      <c r="M820">
        <v>976.32</v>
      </c>
      <c r="N820" s="1">
        <v>41852</v>
      </c>
      <c r="O820">
        <v>8</v>
      </c>
      <c r="P820" t="s">
        <v>34</v>
      </c>
      <c r="Q820">
        <v>2014</v>
      </c>
    </row>
    <row r="821" spans="1:17" x14ac:dyDescent="0.3">
      <c r="A821" t="str">
        <f t="shared" ca="1" si="12"/>
        <v>ORD-2014-Ger-9062</v>
      </c>
      <c r="B821" t="s">
        <v>17</v>
      </c>
      <c r="C821" t="s">
        <v>22</v>
      </c>
      <c r="D821" t="s">
        <v>38</v>
      </c>
      <c r="E821" t="s">
        <v>47</v>
      </c>
      <c r="F821">
        <v>1598</v>
      </c>
      <c r="G821">
        <v>10</v>
      </c>
      <c r="H821">
        <v>7</v>
      </c>
      <c r="I821">
        <v>11186</v>
      </c>
      <c r="J821">
        <v>894.88</v>
      </c>
      <c r="K821">
        <v>10291.120000000001</v>
      </c>
      <c r="L821">
        <v>7990</v>
      </c>
      <c r="M821">
        <v>2301.12</v>
      </c>
      <c r="N821" s="1">
        <v>41852</v>
      </c>
      <c r="O821">
        <v>8</v>
      </c>
      <c r="P821" t="s">
        <v>34</v>
      </c>
      <c r="Q821">
        <v>2014</v>
      </c>
    </row>
    <row r="822" spans="1:17" x14ac:dyDescent="0.3">
      <c r="A822" t="str">
        <f t="shared" ca="1" si="12"/>
        <v>ORD-2013-Ger-6237</v>
      </c>
      <c r="B822" t="s">
        <v>17</v>
      </c>
      <c r="C822" t="s">
        <v>22</v>
      </c>
      <c r="D822" t="s">
        <v>38</v>
      </c>
      <c r="E822" t="s">
        <v>47</v>
      </c>
      <c r="F822">
        <v>2409</v>
      </c>
      <c r="G822">
        <v>10</v>
      </c>
      <c r="H822">
        <v>7</v>
      </c>
      <c r="I822">
        <v>16863</v>
      </c>
      <c r="J822">
        <v>1349.04</v>
      </c>
      <c r="K822">
        <v>15513.96</v>
      </c>
      <c r="L822">
        <v>12045</v>
      </c>
      <c r="M822">
        <v>3468.96</v>
      </c>
      <c r="N822" s="1">
        <v>41518</v>
      </c>
      <c r="O822">
        <v>9</v>
      </c>
      <c r="P822" t="s">
        <v>35</v>
      </c>
      <c r="Q822">
        <v>2013</v>
      </c>
    </row>
    <row r="823" spans="1:17" x14ac:dyDescent="0.3">
      <c r="A823" t="str">
        <f t="shared" ca="1" si="12"/>
        <v>ORD-2014-Uni-8793</v>
      </c>
      <c r="B823" t="s">
        <v>17</v>
      </c>
      <c r="C823" t="s">
        <v>37</v>
      </c>
      <c r="D823" t="s">
        <v>19</v>
      </c>
      <c r="E823" t="s">
        <v>48</v>
      </c>
      <c r="F823">
        <v>1743</v>
      </c>
      <c r="G823">
        <v>3</v>
      </c>
      <c r="H823">
        <v>20</v>
      </c>
      <c r="I823">
        <v>34860</v>
      </c>
      <c r="J823">
        <v>4880.3999999999996</v>
      </c>
      <c r="K823">
        <v>29979.599999999999</v>
      </c>
      <c r="L823">
        <v>17430</v>
      </c>
      <c r="M823">
        <v>12549.6</v>
      </c>
      <c r="N823" s="1">
        <v>41760</v>
      </c>
      <c r="O823">
        <v>5</v>
      </c>
      <c r="P823" t="s">
        <v>46</v>
      </c>
      <c r="Q823">
        <v>2014</v>
      </c>
    </row>
    <row r="824" spans="1:17" x14ac:dyDescent="0.3">
      <c r="A824" t="str">
        <f t="shared" ca="1" si="12"/>
        <v>ORD-2013-Uni-5225</v>
      </c>
      <c r="B824" t="s">
        <v>17</v>
      </c>
      <c r="C824" t="s">
        <v>37</v>
      </c>
      <c r="D824" t="s">
        <v>19</v>
      </c>
      <c r="E824" t="s">
        <v>48</v>
      </c>
      <c r="F824">
        <v>2996</v>
      </c>
      <c r="G824">
        <v>3</v>
      </c>
      <c r="H824">
        <v>7</v>
      </c>
      <c r="I824">
        <v>20972</v>
      </c>
      <c r="J824">
        <v>2936.08</v>
      </c>
      <c r="K824">
        <v>18035.919999999998</v>
      </c>
      <c r="L824">
        <v>14980</v>
      </c>
      <c r="M824">
        <v>3055.92</v>
      </c>
      <c r="N824" s="1">
        <v>41548</v>
      </c>
      <c r="O824">
        <v>10</v>
      </c>
      <c r="P824" t="s">
        <v>36</v>
      </c>
      <c r="Q824">
        <v>2013</v>
      </c>
    </row>
    <row r="825" spans="1:17" x14ac:dyDescent="0.3">
      <c r="A825" t="str">
        <f t="shared" ca="1" si="12"/>
        <v>ORD-2014-Ger-4632</v>
      </c>
      <c r="B825" t="s">
        <v>17</v>
      </c>
      <c r="C825" t="s">
        <v>22</v>
      </c>
      <c r="D825" t="s">
        <v>19</v>
      </c>
      <c r="E825" t="s">
        <v>48</v>
      </c>
      <c r="F825">
        <v>280</v>
      </c>
      <c r="G825">
        <v>3</v>
      </c>
      <c r="H825">
        <v>7</v>
      </c>
      <c r="I825">
        <v>1960</v>
      </c>
      <c r="J825">
        <v>274.39999999999998</v>
      </c>
      <c r="K825">
        <v>1685.6</v>
      </c>
      <c r="L825">
        <v>1400</v>
      </c>
      <c r="M825">
        <v>285.60000000000002</v>
      </c>
      <c r="N825" s="1">
        <v>41974</v>
      </c>
      <c r="O825">
        <v>12</v>
      </c>
      <c r="P825" t="s">
        <v>27</v>
      </c>
      <c r="Q825">
        <v>2014</v>
      </c>
    </row>
    <row r="826" spans="1:17" x14ac:dyDescent="0.3">
      <c r="A826" t="str">
        <f t="shared" ca="1" si="12"/>
        <v>ORD-2014-Fra-6525</v>
      </c>
      <c r="B826" t="s">
        <v>17</v>
      </c>
      <c r="C826" t="s">
        <v>24</v>
      </c>
      <c r="D826" t="s">
        <v>28</v>
      </c>
      <c r="E826" t="s">
        <v>48</v>
      </c>
      <c r="F826">
        <v>293</v>
      </c>
      <c r="G826">
        <v>5</v>
      </c>
      <c r="H826">
        <v>7</v>
      </c>
      <c r="I826">
        <v>2051</v>
      </c>
      <c r="J826">
        <v>287.14</v>
      </c>
      <c r="K826">
        <v>1763.86</v>
      </c>
      <c r="L826">
        <v>1465</v>
      </c>
      <c r="M826">
        <v>298.86</v>
      </c>
      <c r="N826" s="1">
        <v>41671</v>
      </c>
      <c r="O826">
        <v>2</v>
      </c>
      <c r="P826" t="s">
        <v>39</v>
      </c>
      <c r="Q826">
        <v>2014</v>
      </c>
    </row>
    <row r="827" spans="1:17" x14ac:dyDescent="0.3">
      <c r="A827" t="str">
        <f t="shared" ca="1" si="12"/>
        <v>ORD-2013-Uni-8048</v>
      </c>
      <c r="B827" t="s">
        <v>17</v>
      </c>
      <c r="C827" t="s">
        <v>37</v>
      </c>
      <c r="D827" t="s">
        <v>28</v>
      </c>
      <c r="E827" t="s">
        <v>48</v>
      </c>
      <c r="F827">
        <v>2996</v>
      </c>
      <c r="G827">
        <v>5</v>
      </c>
      <c r="H827">
        <v>7</v>
      </c>
      <c r="I827">
        <v>20972</v>
      </c>
      <c r="J827">
        <v>2936.08</v>
      </c>
      <c r="K827">
        <v>18035.919999999998</v>
      </c>
      <c r="L827">
        <v>14980</v>
      </c>
      <c r="M827">
        <v>3055.92</v>
      </c>
      <c r="N827" s="1">
        <v>41548</v>
      </c>
      <c r="O827">
        <v>10</v>
      </c>
      <c r="P827" t="s">
        <v>36</v>
      </c>
      <c r="Q827">
        <v>2013</v>
      </c>
    </row>
    <row r="828" spans="1:17" x14ac:dyDescent="0.3">
      <c r="A828" t="str">
        <f t="shared" ca="1" si="12"/>
        <v>ORD-2014-Ger-8309</v>
      </c>
      <c r="B828" t="s">
        <v>23</v>
      </c>
      <c r="C828" t="s">
        <v>22</v>
      </c>
      <c r="D828" t="s">
        <v>38</v>
      </c>
      <c r="E828" t="s">
        <v>48</v>
      </c>
      <c r="F828">
        <v>278</v>
      </c>
      <c r="G828">
        <v>10</v>
      </c>
      <c r="H828">
        <v>15</v>
      </c>
      <c r="I828">
        <v>4170</v>
      </c>
      <c r="J828">
        <v>583.79999999999995</v>
      </c>
      <c r="K828">
        <v>3586.2</v>
      </c>
      <c r="L828">
        <v>2780</v>
      </c>
      <c r="M828">
        <v>806.2</v>
      </c>
      <c r="N828" s="1">
        <v>41671</v>
      </c>
      <c r="O828">
        <v>2</v>
      </c>
      <c r="P828" t="s">
        <v>39</v>
      </c>
      <c r="Q828">
        <v>2014</v>
      </c>
    </row>
    <row r="829" spans="1:17" x14ac:dyDescent="0.3">
      <c r="A829" t="str">
        <f t="shared" ca="1" si="12"/>
        <v>ORD-2014-Ca0-3220</v>
      </c>
      <c r="B829" t="s">
        <v>17</v>
      </c>
      <c r="C829" t="s">
        <v>18</v>
      </c>
      <c r="D829" t="s">
        <v>38</v>
      </c>
      <c r="E829" t="s">
        <v>48</v>
      </c>
      <c r="F829">
        <v>2428</v>
      </c>
      <c r="G829">
        <v>10</v>
      </c>
      <c r="H829">
        <v>20</v>
      </c>
      <c r="I829">
        <v>48560</v>
      </c>
      <c r="J829">
        <v>6798.4</v>
      </c>
      <c r="K829">
        <v>41761.599999999999</v>
      </c>
      <c r="L829">
        <v>24280</v>
      </c>
      <c r="M829">
        <v>17481.599999999999</v>
      </c>
      <c r="N829" s="1">
        <v>41699</v>
      </c>
      <c r="O829">
        <v>3</v>
      </c>
      <c r="P829" t="s">
        <v>29</v>
      </c>
      <c r="Q829">
        <v>2014</v>
      </c>
    </row>
    <row r="830" spans="1:17" x14ac:dyDescent="0.3">
      <c r="A830" t="str">
        <f t="shared" ca="1" si="12"/>
        <v>ORD-2014-Uni-1384</v>
      </c>
      <c r="B830" t="s">
        <v>23</v>
      </c>
      <c r="C830" t="s">
        <v>37</v>
      </c>
      <c r="D830" t="s">
        <v>38</v>
      </c>
      <c r="E830" t="s">
        <v>48</v>
      </c>
      <c r="F830">
        <v>1767</v>
      </c>
      <c r="G830">
        <v>10</v>
      </c>
      <c r="H830">
        <v>15</v>
      </c>
      <c r="I830">
        <v>26505</v>
      </c>
      <c r="J830">
        <v>3710.7</v>
      </c>
      <c r="K830">
        <v>22794.3</v>
      </c>
      <c r="L830">
        <v>17670</v>
      </c>
      <c r="M830">
        <v>5124.3</v>
      </c>
      <c r="N830" s="1">
        <v>41883</v>
      </c>
      <c r="O830">
        <v>9</v>
      </c>
      <c r="P830" t="s">
        <v>35</v>
      </c>
      <c r="Q830">
        <v>2014</v>
      </c>
    </row>
    <row r="831" spans="1:17" x14ac:dyDescent="0.3">
      <c r="A831" t="str">
        <f t="shared" ca="1" si="12"/>
        <v>ORD-2014-Fra-7341</v>
      </c>
      <c r="B831" t="s">
        <v>30</v>
      </c>
      <c r="C831" t="s">
        <v>24</v>
      </c>
      <c r="D831" t="s">
        <v>38</v>
      </c>
      <c r="E831" t="s">
        <v>48</v>
      </c>
      <c r="F831">
        <v>1393</v>
      </c>
      <c r="G831">
        <v>10</v>
      </c>
      <c r="H831">
        <v>12</v>
      </c>
      <c r="I831">
        <v>16716</v>
      </c>
      <c r="J831">
        <v>2340.2399999999998</v>
      </c>
      <c r="K831">
        <v>14375.76</v>
      </c>
      <c r="L831">
        <v>4179</v>
      </c>
      <c r="M831">
        <v>10196.76</v>
      </c>
      <c r="N831" s="1">
        <v>41913</v>
      </c>
      <c r="O831">
        <v>10</v>
      </c>
      <c r="P831" t="s">
        <v>36</v>
      </c>
      <c r="Q831">
        <v>2014</v>
      </c>
    </row>
    <row r="832" spans="1:17" x14ac:dyDescent="0.3">
      <c r="A832" t="str">
        <f t="shared" ca="1" si="12"/>
        <v>ORD-2014-Ger-5621</v>
      </c>
      <c r="B832" t="s">
        <v>17</v>
      </c>
      <c r="C832" t="s">
        <v>22</v>
      </c>
      <c r="D832" t="s">
        <v>42</v>
      </c>
      <c r="E832" t="s">
        <v>48</v>
      </c>
      <c r="F832">
        <v>280</v>
      </c>
      <c r="G832">
        <v>250</v>
      </c>
      <c r="H832">
        <v>7</v>
      </c>
      <c r="I832">
        <v>1960</v>
      </c>
      <c r="J832">
        <v>274.39999999999998</v>
      </c>
      <c r="K832">
        <v>1685.6</v>
      </c>
      <c r="L832">
        <v>1400</v>
      </c>
      <c r="M832">
        <v>285.60000000000002</v>
      </c>
      <c r="N832" s="1">
        <v>41974</v>
      </c>
      <c r="O832">
        <v>12</v>
      </c>
      <c r="P832" t="s">
        <v>27</v>
      </c>
      <c r="Q832">
        <v>2014</v>
      </c>
    </row>
    <row r="833" spans="1:17" x14ac:dyDescent="0.3">
      <c r="A833" t="str">
        <f t="shared" ca="1" si="12"/>
        <v>ORD-2014-Fra-3584</v>
      </c>
      <c r="B833" t="s">
        <v>30</v>
      </c>
      <c r="C833" t="s">
        <v>24</v>
      </c>
      <c r="D833" t="s">
        <v>44</v>
      </c>
      <c r="E833" t="s">
        <v>48</v>
      </c>
      <c r="F833">
        <v>1393</v>
      </c>
      <c r="G833">
        <v>260</v>
      </c>
      <c r="H833">
        <v>12</v>
      </c>
      <c r="I833">
        <v>16716</v>
      </c>
      <c r="J833">
        <v>2340.2399999999998</v>
      </c>
      <c r="K833">
        <v>14375.76</v>
      </c>
      <c r="L833">
        <v>4179</v>
      </c>
      <c r="M833">
        <v>10196.76</v>
      </c>
      <c r="N833" s="1">
        <v>41913</v>
      </c>
      <c r="O833">
        <v>10</v>
      </c>
      <c r="P833" t="s">
        <v>36</v>
      </c>
      <c r="Q833">
        <v>2014</v>
      </c>
    </row>
    <row r="834" spans="1:17" x14ac:dyDescent="0.3">
      <c r="A834" t="str">
        <f t="shared" ca="1" si="12"/>
        <v>ORD-2013-Uni-6592</v>
      </c>
      <c r="B834" t="s">
        <v>30</v>
      </c>
      <c r="C834" t="s">
        <v>37</v>
      </c>
      <c r="D834" t="s">
        <v>44</v>
      </c>
      <c r="E834" t="s">
        <v>48</v>
      </c>
      <c r="F834">
        <v>2015</v>
      </c>
      <c r="G834">
        <v>260</v>
      </c>
      <c r="H834">
        <v>12</v>
      </c>
      <c r="I834">
        <v>24180</v>
      </c>
      <c r="J834">
        <v>3385.2</v>
      </c>
      <c r="K834">
        <v>20794.8</v>
      </c>
      <c r="L834">
        <v>6045</v>
      </c>
      <c r="M834">
        <v>14749.8</v>
      </c>
      <c r="N834" s="1">
        <v>41609</v>
      </c>
      <c r="O834">
        <v>12</v>
      </c>
      <c r="P834" t="s">
        <v>27</v>
      </c>
      <c r="Q834">
        <v>2013</v>
      </c>
    </row>
    <row r="835" spans="1:17" x14ac:dyDescent="0.3">
      <c r="A835" t="str">
        <f t="shared" ref="A835:A898" ca="1" si="13">"ORD-" &amp; YEAR(N835) &amp; "-"  &amp; LEFT(C835,3) &amp; "-" &amp; RANDBETWEEN(1000,9999)</f>
        <v>ORD-2014-Mex-2621</v>
      </c>
      <c r="B835" t="s">
        <v>33</v>
      </c>
      <c r="C835" t="s">
        <v>26</v>
      </c>
      <c r="D835" t="s">
        <v>19</v>
      </c>
      <c r="E835" t="s">
        <v>48</v>
      </c>
      <c r="F835">
        <v>801</v>
      </c>
      <c r="G835">
        <v>3</v>
      </c>
      <c r="H835">
        <v>300</v>
      </c>
      <c r="I835">
        <v>240300</v>
      </c>
      <c r="J835">
        <v>33642</v>
      </c>
      <c r="K835">
        <v>206658</v>
      </c>
      <c r="L835">
        <v>200250</v>
      </c>
      <c r="M835">
        <v>6408</v>
      </c>
      <c r="N835" s="1">
        <v>41821</v>
      </c>
      <c r="O835">
        <v>7</v>
      </c>
      <c r="P835" t="s">
        <v>32</v>
      </c>
      <c r="Q835">
        <v>2014</v>
      </c>
    </row>
    <row r="836" spans="1:17" x14ac:dyDescent="0.3">
      <c r="A836" t="str">
        <f t="shared" ca="1" si="13"/>
        <v>ORD-2013-Fra-4829</v>
      </c>
      <c r="B836" t="s">
        <v>31</v>
      </c>
      <c r="C836" t="s">
        <v>24</v>
      </c>
      <c r="D836" t="s">
        <v>19</v>
      </c>
      <c r="E836" t="s">
        <v>48</v>
      </c>
      <c r="F836">
        <v>1023</v>
      </c>
      <c r="G836">
        <v>3</v>
      </c>
      <c r="H836">
        <v>125</v>
      </c>
      <c r="I836">
        <v>127875</v>
      </c>
      <c r="J836">
        <v>17902.5</v>
      </c>
      <c r="K836">
        <v>109972.5</v>
      </c>
      <c r="L836">
        <v>122760</v>
      </c>
      <c r="M836">
        <f>K836-L836</f>
        <v>-12787.5</v>
      </c>
      <c r="N836" s="1">
        <v>41518</v>
      </c>
      <c r="O836">
        <v>9</v>
      </c>
      <c r="P836" t="s">
        <v>35</v>
      </c>
      <c r="Q836">
        <v>2013</v>
      </c>
    </row>
    <row r="837" spans="1:17" x14ac:dyDescent="0.3">
      <c r="A837" t="str">
        <f t="shared" ca="1" si="13"/>
        <v>ORD-2014-Ca0-9976</v>
      </c>
      <c r="B837" t="s">
        <v>33</v>
      </c>
      <c r="C837" t="s">
        <v>18</v>
      </c>
      <c r="D837" t="s">
        <v>19</v>
      </c>
      <c r="E837" t="s">
        <v>48</v>
      </c>
      <c r="F837">
        <v>1496</v>
      </c>
      <c r="G837">
        <v>3</v>
      </c>
      <c r="H837">
        <v>300</v>
      </c>
      <c r="I837">
        <v>448800</v>
      </c>
      <c r="J837">
        <v>62832</v>
      </c>
      <c r="K837">
        <v>385968</v>
      </c>
      <c r="L837">
        <v>374000</v>
      </c>
      <c r="M837">
        <v>11968</v>
      </c>
      <c r="N837" s="1">
        <v>41913</v>
      </c>
      <c r="O837">
        <v>10</v>
      </c>
      <c r="P837" t="s">
        <v>36</v>
      </c>
      <c r="Q837">
        <v>2014</v>
      </c>
    </row>
    <row r="838" spans="1:17" x14ac:dyDescent="0.3">
      <c r="A838" t="str">
        <f t="shared" ca="1" si="13"/>
        <v>ORD-2014-Uni-2625</v>
      </c>
      <c r="B838" t="s">
        <v>33</v>
      </c>
      <c r="C838" t="s">
        <v>37</v>
      </c>
      <c r="D838" t="s">
        <v>19</v>
      </c>
      <c r="E838" t="s">
        <v>48</v>
      </c>
      <c r="F838">
        <v>1010</v>
      </c>
      <c r="G838">
        <v>3</v>
      </c>
      <c r="H838">
        <v>300</v>
      </c>
      <c r="I838">
        <v>303000</v>
      </c>
      <c r="J838">
        <v>42420</v>
      </c>
      <c r="K838">
        <v>260580</v>
      </c>
      <c r="L838">
        <v>252500</v>
      </c>
      <c r="M838">
        <v>8080</v>
      </c>
      <c r="N838" s="1">
        <v>41913</v>
      </c>
      <c r="O838">
        <v>10</v>
      </c>
      <c r="P838" t="s">
        <v>36</v>
      </c>
      <c r="Q838">
        <v>2014</v>
      </c>
    </row>
    <row r="839" spans="1:17" x14ac:dyDescent="0.3">
      <c r="A839" t="str">
        <f t="shared" ca="1" si="13"/>
        <v>ORD-2014-Ger-3627</v>
      </c>
      <c r="B839" t="s">
        <v>23</v>
      </c>
      <c r="C839" t="s">
        <v>22</v>
      </c>
      <c r="D839" t="s">
        <v>19</v>
      </c>
      <c r="E839" t="s">
        <v>48</v>
      </c>
      <c r="F839">
        <v>1513</v>
      </c>
      <c r="G839">
        <v>3</v>
      </c>
      <c r="H839">
        <v>15</v>
      </c>
      <c r="I839">
        <v>22695</v>
      </c>
      <c r="J839">
        <v>3177.3</v>
      </c>
      <c r="K839">
        <v>19517.7</v>
      </c>
      <c r="L839">
        <v>15130</v>
      </c>
      <c r="M839">
        <v>4387.7</v>
      </c>
      <c r="N839" s="1">
        <v>41944</v>
      </c>
      <c r="O839">
        <v>11</v>
      </c>
      <c r="P839" t="s">
        <v>40</v>
      </c>
      <c r="Q839">
        <v>2014</v>
      </c>
    </row>
    <row r="840" spans="1:17" x14ac:dyDescent="0.3">
      <c r="A840" t="str">
        <f t="shared" ca="1" si="13"/>
        <v>ORD-2014-Ca0-3564</v>
      </c>
      <c r="B840" t="s">
        <v>23</v>
      </c>
      <c r="C840" t="s">
        <v>18</v>
      </c>
      <c r="D840" t="s">
        <v>19</v>
      </c>
      <c r="E840" t="s">
        <v>48</v>
      </c>
      <c r="F840">
        <v>2300</v>
      </c>
      <c r="G840">
        <v>3</v>
      </c>
      <c r="H840">
        <v>15</v>
      </c>
      <c r="I840">
        <v>34500</v>
      </c>
      <c r="J840">
        <v>4830</v>
      </c>
      <c r="K840">
        <v>29670</v>
      </c>
      <c r="L840">
        <v>23000</v>
      </c>
      <c r="M840">
        <v>6670</v>
      </c>
      <c r="N840" s="1">
        <v>41974</v>
      </c>
      <c r="O840">
        <v>12</v>
      </c>
      <c r="P840" t="s">
        <v>27</v>
      </c>
      <c r="Q840">
        <v>2014</v>
      </c>
    </row>
    <row r="841" spans="1:17" x14ac:dyDescent="0.3">
      <c r="A841" t="str">
        <f t="shared" ca="1" si="13"/>
        <v>ORD-2013-Mex-5614</v>
      </c>
      <c r="B841" t="s">
        <v>31</v>
      </c>
      <c r="C841" t="s">
        <v>26</v>
      </c>
      <c r="D841" t="s">
        <v>19</v>
      </c>
      <c r="E841" t="s">
        <v>48</v>
      </c>
      <c r="F841">
        <v>2821</v>
      </c>
      <c r="G841">
        <v>3</v>
      </c>
      <c r="H841">
        <v>125</v>
      </c>
      <c r="I841">
        <v>352625</v>
      </c>
      <c r="J841">
        <v>49367.5</v>
      </c>
      <c r="K841">
        <v>303257.5</v>
      </c>
      <c r="L841">
        <v>338520</v>
      </c>
      <c r="M841">
        <f>K841-L841</f>
        <v>-35262.5</v>
      </c>
      <c r="N841" s="1">
        <v>41609</v>
      </c>
      <c r="O841">
        <v>12</v>
      </c>
      <c r="P841" t="s">
        <v>27</v>
      </c>
      <c r="Q841">
        <v>2013</v>
      </c>
    </row>
    <row r="842" spans="1:17" x14ac:dyDescent="0.3">
      <c r="A842" t="str">
        <f t="shared" ca="1" si="13"/>
        <v>ORD-2014-Ca0-6617</v>
      </c>
      <c r="B842" t="s">
        <v>17</v>
      </c>
      <c r="C842" t="s">
        <v>18</v>
      </c>
      <c r="D842" t="s">
        <v>28</v>
      </c>
      <c r="E842" t="s">
        <v>48</v>
      </c>
      <c r="F842">
        <v>2227.5</v>
      </c>
      <c r="G842">
        <v>5</v>
      </c>
      <c r="H842">
        <v>350</v>
      </c>
      <c r="I842">
        <v>779625</v>
      </c>
      <c r="J842">
        <v>109147.5</v>
      </c>
      <c r="K842">
        <v>670477.5</v>
      </c>
      <c r="L842">
        <v>579150</v>
      </c>
      <c r="M842">
        <v>91327.5</v>
      </c>
      <c r="N842" s="1">
        <v>41640</v>
      </c>
      <c r="O842">
        <v>1</v>
      </c>
      <c r="P842" t="s">
        <v>21</v>
      </c>
      <c r="Q842">
        <v>2014</v>
      </c>
    </row>
    <row r="843" spans="1:17" x14ac:dyDescent="0.3">
      <c r="A843" t="str">
        <f t="shared" ca="1" si="13"/>
        <v>ORD-2014-Ger-3268</v>
      </c>
      <c r="B843" t="s">
        <v>17</v>
      </c>
      <c r="C843" t="s">
        <v>22</v>
      </c>
      <c r="D843" t="s">
        <v>28</v>
      </c>
      <c r="E843" t="s">
        <v>48</v>
      </c>
      <c r="F843">
        <v>1199</v>
      </c>
      <c r="G843">
        <v>5</v>
      </c>
      <c r="H843">
        <v>350</v>
      </c>
      <c r="I843">
        <v>419650</v>
      </c>
      <c r="J843">
        <v>58751</v>
      </c>
      <c r="K843">
        <v>360899</v>
      </c>
      <c r="L843">
        <v>311740</v>
      </c>
      <c r="M843">
        <v>49159</v>
      </c>
      <c r="N843" s="1">
        <v>41730</v>
      </c>
      <c r="O843">
        <v>4</v>
      </c>
      <c r="P843" t="s">
        <v>43</v>
      </c>
      <c r="Q843">
        <v>2014</v>
      </c>
    </row>
    <row r="844" spans="1:17" x14ac:dyDescent="0.3">
      <c r="A844" t="str">
        <f t="shared" ca="1" si="13"/>
        <v>ORD-2014-Ca0-4702</v>
      </c>
      <c r="B844" t="s">
        <v>17</v>
      </c>
      <c r="C844" t="s">
        <v>18</v>
      </c>
      <c r="D844" t="s">
        <v>28</v>
      </c>
      <c r="E844" t="s">
        <v>48</v>
      </c>
      <c r="F844">
        <v>200</v>
      </c>
      <c r="G844">
        <v>5</v>
      </c>
      <c r="H844">
        <v>350</v>
      </c>
      <c r="I844">
        <v>70000</v>
      </c>
      <c r="J844">
        <v>9800</v>
      </c>
      <c r="K844">
        <v>60200</v>
      </c>
      <c r="L844">
        <v>52000</v>
      </c>
      <c r="M844">
        <v>8200</v>
      </c>
      <c r="N844" s="1">
        <v>41760</v>
      </c>
      <c r="O844">
        <v>5</v>
      </c>
      <c r="P844" t="s">
        <v>46</v>
      </c>
      <c r="Q844">
        <v>2014</v>
      </c>
    </row>
    <row r="845" spans="1:17" x14ac:dyDescent="0.3">
      <c r="A845" t="str">
        <f t="shared" ca="1" si="13"/>
        <v>ORD-2014-Ca0-3625</v>
      </c>
      <c r="B845" t="s">
        <v>17</v>
      </c>
      <c r="C845" t="s">
        <v>18</v>
      </c>
      <c r="D845" t="s">
        <v>28</v>
      </c>
      <c r="E845" t="s">
        <v>48</v>
      </c>
      <c r="F845">
        <v>388</v>
      </c>
      <c r="G845">
        <v>5</v>
      </c>
      <c r="H845">
        <v>7</v>
      </c>
      <c r="I845">
        <v>2716</v>
      </c>
      <c r="J845">
        <v>380.24</v>
      </c>
      <c r="K845">
        <v>2335.7600000000002</v>
      </c>
      <c r="L845">
        <v>1940</v>
      </c>
      <c r="M845">
        <v>395.76</v>
      </c>
      <c r="N845" s="1">
        <v>41883</v>
      </c>
      <c r="O845">
        <v>9</v>
      </c>
      <c r="P845" t="s">
        <v>35</v>
      </c>
      <c r="Q845">
        <v>2014</v>
      </c>
    </row>
    <row r="846" spans="1:17" x14ac:dyDescent="0.3">
      <c r="A846" t="str">
        <f t="shared" ca="1" si="13"/>
        <v>ORD-2013-Mex-5391</v>
      </c>
      <c r="B846" t="s">
        <v>17</v>
      </c>
      <c r="C846" t="s">
        <v>26</v>
      </c>
      <c r="D846" t="s">
        <v>28</v>
      </c>
      <c r="E846" t="s">
        <v>48</v>
      </c>
      <c r="F846">
        <v>1727</v>
      </c>
      <c r="G846">
        <v>5</v>
      </c>
      <c r="H846">
        <v>7</v>
      </c>
      <c r="I846">
        <v>12089</v>
      </c>
      <c r="J846">
        <v>1692.46</v>
      </c>
      <c r="K846">
        <v>10396.540000000001</v>
      </c>
      <c r="L846">
        <v>8635</v>
      </c>
      <c r="M846">
        <v>1761.54</v>
      </c>
      <c r="N846" s="1">
        <v>41548</v>
      </c>
      <c r="O846">
        <v>10</v>
      </c>
      <c r="P846" t="s">
        <v>36</v>
      </c>
      <c r="Q846">
        <v>2013</v>
      </c>
    </row>
    <row r="847" spans="1:17" x14ac:dyDescent="0.3">
      <c r="A847" t="str">
        <f t="shared" ca="1" si="13"/>
        <v>ORD-2014-Ca0-1667</v>
      </c>
      <c r="B847" t="s">
        <v>23</v>
      </c>
      <c r="C847" t="s">
        <v>18</v>
      </c>
      <c r="D847" t="s">
        <v>28</v>
      </c>
      <c r="E847" t="s">
        <v>48</v>
      </c>
      <c r="F847">
        <v>2300</v>
      </c>
      <c r="G847">
        <v>5</v>
      </c>
      <c r="H847">
        <v>15</v>
      </c>
      <c r="I847">
        <v>34500</v>
      </c>
      <c r="J847">
        <v>4830</v>
      </c>
      <c r="K847">
        <v>29670</v>
      </c>
      <c r="L847">
        <v>23000</v>
      </c>
      <c r="M847">
        <v>6670</v>
      </c>
      <c r="N847" s="1">
        <v>41974</v>
      </c>
      <c r="O847">
        <v>12</v>
      </c>
      <c r="P847" t="s">
        <v>27</v>
      </c>
      <c r="Q847">
        <v>2014</v>
      </c>
    </row>
    <row r="848" spans="1:17" x14ac:dyDescent="0.3">
      <c r="A848" t="str">
        <f t="shared" ca="1" si="13"/>
        <v>ORD-2014-Mex-6655</v>
      </c>
      <c r="B848" t="s">
        <v>17</v>
      </c>
      <c r="C848" t="s">
        <v>26</v>
      </c>
      <c r="D848" t="s">
        <v>38</v>
      </c>
      <c r="E848" t="s">
        <v>48</v>
      </c>
      <c r="F848">
        <v>260</v>
      </c>
      <c r="G848">
        <v>10</v>
      </c>
      <c r="H848">
        <v>20</v>
      </c>
      <c r="I848">
        <v>5200</v>
      </c>
      <c r="J848">
        <v>728</v>
      </c>
      <c r="K848">
        <v>4472</v>
      </c>
      <c r="L848">
        <v>2600</v>
      </c>
      <c r="M848">
        <v>1872</v>
      </c>
      <c r="N848" s="1">
        <v>41671</v>
      </c>
      <c r="O848">
        <v>2</v>
      </c>
      <c r="P848" t="s">
        <v>39</v>
      </c>
      <c r="Q848">
        <v>2014</v>
      </c>
    </row>
    <row r="849" spans="1:17" x14ac:dyDescent="0.3">
      <c r="A849" t="str">
        <f t="shared" ca="1" si="13"/>
        <v>ORD-2013-Ca0-7802</v>
      </c>
      <c r="B849" t="s">
        <v>23</v>
      </c>
      <c r="C849" t="s">
        <v>18</v>
      </c>
      <c r="D849" t="s">
        <v>38</v>
      </c>
      <c r="E849" t="s">
        <v>48</v>
      </c>
      <c r="F849">
        <v>2470</v>
      </c>
      <c r="G849">
        <v>10</v>
      </c>
      <c r="H849">
        <v>15</v>
      </c>
      <c r="I849">
        <v>37050</v>
      </c>
      <c r="J849">
        <v>5187</v>
      </c>
      <c r="K849">
        <v>31863</v>
      </c>
      <c r="L849">
        <v>24700</v>
      </c>
      <c r="M849">
        <v>7163</v>
      </c>
      <c r="N849" s="1">
        <v>41518</v>
      </c>
      <c r="O849">
        <v>9</v>
      </c>
      <c r="P849" t="s">
        <v>35</v>
      </c>
      <c r="Q849">
        <v>2013</v>
      </c>
    </row>
    <row r="850" spans="1:17" x14ac:dyDescent="0.3">
      <c r="A850" t="str">
        <f t="shared" ca="1" si="13"/>
        <v>ORD-2013-Ca0-2604</v>
      </c>
      <c r="B850" t="s">
        <v>23</v>
      </c>
      <c r="C850" t="s">
        <v>18</v>
      </c>
      <c r="D850" t="s">
        <v>38</v>
      </c>
      <c r="E850" t="s">
        <v>48</v>
      </c>
      <c r="F850">
        <v>1743</v>
      </c>
      <c r="G850">
        <v>10</v>
      </c>
      <c r="H850">
        <v>15</v>
      </c>
      <c r="I850">
        <v>26145</v>
      </c>
      <c r="J850">
        <v>3660.3</v>
      </c>
      <c r="K850">
        <v>22484.7</v>
      </c>
      <c r="L850">
        <v>17430</v>
      </c>
      <c r="M850">
        <v>5054.7</v>
      </c>
      <c r="N850" s="1">
        <v>41548</v>
      </c>
      <c r="O850">
        <v>10</v>
      </c>
      <c r="P850" t="s">
        <v>36</v>
      </c>
      <c r="Q850">
        <v>2013</v>
      </c>
    </row>
    <row r="851" spans="1:17" x14ac:dyDescent="0.3">
      <c r="A851" t="str">
        <f t="shared" ca="1" si="13"/>
        <v>ORD-2014-Uni-5952</v>
      </c>
      <c r="B851" t="s">
        <v>30</v>
      </c>
      <c r="C851" t="s">
        <v>37</v>
      </c>
      <c r="D851" t="s">
        <v>38</v>
      </c>
      <c r="E851" t="s">
        <v>48</v>
      </c>
      <c r="F851">
        <v>2914</v>
      </c>
      <c r="G851">
        <v>10</v>
      </c>
      <c r="H851">
        <v>12</v>
      </c>
      <c r="I851">
        <v>34968</v>
      </c>
      <c r="J851">
        <v>4895.5200000000004</v>
      </c>
      <c r="K851">
        <v>30072.48</v>
      </c>
      <c r="L851">
        <v>8742</v>
      </c>
      <c r="M851">
        <v>21330.48</v>
      </c>
      <c r="N851" s="1">
        <v>41913</v>
      </c>
      <c r="O851">
        <v>10</v>
      </c>
      <c r="P851" t="s">
        <v>36</v>
      </c>
      <c r="Q851">
        <v>2014</v>
      </c>
    </row>
    <row r="852" spans="1:17" x14ac:dyDescent="0.3">
      <c r="A852" t="str">
        <f t="shared" ca="1" si="13"/>
        <v>ORD-2014-Fra-6520</v>
      </c>
      <c r="B852" t="s">
        <v>17</v>
      </c>
      <c r="C852" t="s">
        <v>24</v>
      </c>
      <c r="D852" t="s">
        <v>38</v>
      </c>
      <c r="E852" t="s">
        <v>48</v>
      </c>
      <c r="F852">
        <v>1731</v>
      </c>
      <c r="G852">
        <v>10</v>
      </c>
      <c r="H852">
        <v>7</v>
      </c>
      <c r="I852">
        <v>12117</v>
      </c>
      <c r="J852">
        <v>1696.38</v>
      </c>
      <c r="K852">
        <v>10420.620000000001</v>
      </c>
      <c r="L852">
        <v>8655</v>
      </c>
      <c r="M852">
        <v>1765.62</v>
      </c>
      <c r="N852" s="1">
        <v>41913</v>
      </c>
      <c r="O852">
        <v>10</v>
      </c>
      <c r="P852" t="s">
        <v>36</v>
      </c>
      <c r="Q852">
        <v>2014</v>
      </c>
    </row>
    <row r="853" spans="1:17" x14ac:dyDescent="0.3">
      <c r="A853" t="str">
        <f t="shared" ca="1" si="13"/>
        <v>ORD-2014-Ca0-1837</v>
      </c>
      <c r="B853" t="s">
        <v>17</v>
      </c>
      <c r="C853" t="s">
        <v>18</v>
      </c>
      <c r="D853" t="s">
        <v>38</v>
      </c>
      <c r="E853" t="s">
        <v>48</v>
      </c>
      <c r="F853">
        <v>700</v>
      </c>
      <c r="G853">
        <v>10</v>
      </c>
      <c r="H853">
        <v>350</v>
      </c>
      <c r="I853">
        <v>245000</v>
      </c>
      <c r="J853">
        <v>34300</v>
      </c>
      <c r="K853">
        <v>210700</v>
      </c>
      <c r="L853">
        <v>182000</v>
      </c>
      <c r="M853">
        <v>28700</v>
      </c>
      <c r="N853" s="1">
        <v>41944</v>
      </c>
      <c r="O853">
        <v>11</v>
      </c>
      <c r="P853" t="s">
        <v>40</v>
      </c>
      <c r="Q853">
        <v>2014</v>
      </c>
    </row>
    <row r="854" spans="1:17" x14ac:dyDescent="0.3">
      <c r="A854" t="str">
        <f t="shared" ca="1" si="13"/>
        <v>ORD-2013-Ca0-6655</v>
      </c>
      <c r="B854" t="s">
        <v>30</v>
      </c>
      <c r="C854" t="s">
        <v>18</v>
      </c>
      <c r="D854" t="s">
        <v>38</v>
      </c>
      <c r="E854" t="s">
        <v>48</v>
      </c>
      <c r="F854">
        <v>2222</v>
      </c>
      <c r="G854">
        <v>10</v>
      </c>
      <c r="H854">
        <v>12</v>
      </c>
      <c r="I854">
        <v>26664</v>
      </c>
      <c r="J854">
        <v>3732.96</v>
      </c>
      <c r="K854">
        <v>22931.040000000001</v>
      </c>
      <c r="L854">
        <v>6666</v>
      </c>
      <c r="M854">
        <v>16265.04</v>
      </c>
      <c r="N854" s="1">
        <v>41579</v>
      </c>
      <c r="O854">
        <v>11</v>
      </c>
      <c r="P854" t="s">
        <v>40</v>
      </c>
      <c r="Q854">
        <v>2013</v>
      </c>
    </row>
    <row r="855" spans="1:17" x14ac:dyDescent="0.3">
      <c r="A855" t="str">
        <f t="shared" ca="1" si="13"/>
        <v>ORD-2014-Uni-1964</v>
      </c>
      <c r="B855" t="s">
        <v>17</v>
      </c>
      <c r="C855" t="s">
        <v>37</v>
      </c>
      <c r="D855" t="s">
        <v>38</v>
      </c>
      <c r="E855" t="s">
        <v>48</v>
      </c>
      <c r="F855">
        <v>1177</v>
      </c>
      <c r="G855">
        <v>10</v>
      </c>
      <c r="H855">
        <v>350</v>
      </c>
      <c r="I855">
        <v>411950</v>
      </c>
      <c r="J855">
        <v>57673</v>
      </c>
      <c r="K855">
        <v>354277</v>
      </c>
      <c r="L855">
        <v>306020</v>
      </c>
      <c r="M855">
        <v>48257</v>
      </c>
      <c r="N855" s="1">
        <v>41944</v>
      </c>
      <c r="O855">
        <v>11</v>
      </c>
      <c r="P855" t="s">
        <v>40</v>
      </c>
      <c r="Q855">
        <v>2014</v>
      </c>
    </row>
    <row r="856" spans="1:17" x14ac:dyDescent="0.3">
      <c r="A856" t="str">
        <f t="shared" ca="1" si="13"/>
        <v>ORD-2013-Fra-8397</v>
      </c>
      <c r="B856" t="s">
        <v>17</v>
      </c>
      <c r="C856" t="s">
        <v>24</v>
      </c>
      <c r="D856" t="s">
        <v>38</v>
      </c>
      <c r="E856" t="s">
        <v>48</v>
      </c>
      <c r="F856">
        <v>1922</v>
      </c>
      <c r="G856">
        <v>10</v>
      </c>
      <c r="H856">
        <v>350</v>
      </c>
      <c r="I856">
        <v>672700</v>
      </c>
      <c r="J856">
        <v>94178</v>
      </c>
      <c r="K856">
        <v>578522</v>
      </c>
      <c r="L856">
        <v>499720</v>
      </c>
      <c r="M856">
        <v>78802</v>
      </c>
      <c r="N856" s="1">
        <v>41579</v>
      </c>
      <c r="O856">
        <v>11</v>
      </c>
      <c r="P856" t="s">
        <v>40</v>
      </c>
      <c r="Q856">
        <v>2013</v>
      </c>
    </row>
    <row r="857" spans="1:17" x14ac:dyDescent="0.3">
      <c r="A857" t="str">
        <f t="shared" ca="1" si="13"/>
        <v>ORD-2014-Mex-9744</v>
      </c>
      <c r="B857" t="s">
        <v>31</v>
      </c>
      <c r="C857" t="s">
        <v>26</v>
      </c>
      <c r="D857" t="s">
        <v>41</v>
      </c>
      <c r="E857" t="s">
        <v>48</v>
      </c>
      <c r="F857">
        <v>1575</v>
      </c>
      <c r="G857">
        <v>120</v>
      </c>
      <c r="H857">
        <v>125</v>
      </c>
      <c r="I857">
        <v>196875</v>
      </c>
      <c r="J857">
        <v>27562.5</v>
      </c>
      <c r="K857">
        <v>169312.5</v>
      </c>
      <c r="L857">
        <v>189000</v>
      </c>
      <c r="M857">
        <f>K857-L857</f>
        <v>-19687.5</v>
      </c>
      <c r="N857" s="1">
        <v>41671</v>
      </c>
      <c r="O857">
        <v>2</v>
      </c>
      <c r="P857" t="s">
        <v>39</v>
      </c>
      <c r="Q857">
        <v>2014</v>
      </c>
    </row>
    <row r="858" spans="1:17" x14ac:dyDescent="0.3">
      <c r="A858" t="str">
        <f t="shared" ca="1" si="13"/>
        <v>ORD-2014-Uni-3311</v>
      </c>
      <c r="B858" t="s">
        <v>17</v>
      </c>
      <c r="C858" t="s">
        <v>37</v>
      </c>
      <c r="D858" t="s">
        <v>41</v>
      </c>
      <c r="E858" t="s">
        <v>48</v>
      </c>
      <c r="F858">
        <v>606</v>
      </c>
      <c r="G858">
        <v>120</v>
      </c>
      <c r="H858">
        <v>20</v>
      </c>
      <c r="I858">
        <v>12120</v>
      </c>
      <c r="J858">
        <v>1696.8</v>
      </c>
      <c r="K858">
        <v>10423.200000000001</v>
      </c>
      <c r="L858">
        <v>6060</v>
      </c>
      <c r="M858">
        <v>4363.2</v>
      </c>
      <c r="N858" s="1">
        <v>41730</v>
      </c>
      <c r="O858">
        <v>4</v>
      </c>
      <c r="P858" t="s">
        <v>43</v>
      </c>
      <c r="Q858">
        <v>2014</v>
      </c>
    </row>
    <row r="859" spans="1:17" x14ac:dyDescent="0.3">
      <c r="A859" t="str">
        <f t="shared" ca="1" si="13"/>
        <v>ORD-2014-Uni-8107</v>
      </c>
      <c r="B859" t="s">
        <v>33</v>
      </c>
      <c r="C859" t="s">
        <v>37</v>
      </c>
      <c r="D859" t="s">
        <v>41</v>
      </c>
      <c r="E859" t="s">
        <v>48</v>
      </c>
      <c r="F859">
        <v>2460</v>
      </c>
      <c r="G859">
        <v>120</v>
      </c>
      <c r="H859">
        <v>300</v>
      </c>
      <c r="I859">
        <v>738000</v>
      </c>
      <c r="J859">
        <v>103320</v>
      </c>
      <c r="K859">
        <v>634680</v>
      </c>
      <c r="L859">
        <v>615000</v>
      </c>
      <c r="M859">
        <v>19680</v>
      </c>
      <c r="N859" s="1">
        <v>41821</v>
      </c>
      <c r="O859">
        <v>7</v>
      </c>
      <c r="P859" t="s">
        <v>32</v>
      </c>
      <c r="Q859">
        <v>2014</v>
      </c>
    </row>
    <row r="860" spans="1:17" x14ac:dyDescent="0.3">
      <c r="A860" t="str">
        <f t="shared" ca="1" si="13"/>
        <v>ORD-2013-Ca0-6030</v>
      </c>
      <c r="B860" t="s">
        <v>33</v>
      </c>
      <c r="C860" t="s">
        <v>18</v>
      </c>
      <c r="D860" t="s">
        <v>41</v>
      </c>
      <c r="E860" t="s">
        <v>48</v>
      </c>
      <c r="F860">
        <v>269</v>
      </c>
      <c r="G860">
        <v>120</v>
      </c>
      <c r="H860">
        <v>300</v>
      </c>
      <c r="I860">
        <v>80700</v>
      </c>
      <c r="J860">
        <v>11298</v>
      </c>
      <c r="K860">
        <v>69402</v>
      </c>
      <c r="L860">
        <v>67250</v>
      </c>
      <c r="M860">
        <v>2152</v>
      </c>
      <c r="N860" s="1">
        <v>41548</v>
      </c>
      <c r="O860">
        <v>10</v>
      </c>
      <c r="P860" t="s">
        <v>36</v>
      </c>
      <c r="Q860">
        <v>2013</v>
      </c>
    </row>
    <row r="861" spans="1:17" x14ac:dyDescent="0.3">
      <c r="A861" t="str">
        <f t="shared" ca="1" si="13"/>
        <v>ORD-2013-Ger-2202</v>
      </c>
      <c r="B861" t="s">
        <v>33</v>
      </c>
      <c r="C861" t="s">
        <v>22</v>
      </c>
      <c r="D861" t="s">
        <v>41</v>
      </c>
      <c r="E861" t="s">
        <v>48</v>
      </c>
      <c r="F861">
        <v>2536</v>
      </c>
      <c r="G861">
        <v>120</v>
      </c>
      <c r="H861">
        <v>300</v>
      </c>
      <c r="I861">
        <v>760800</v>
      </c>
      <c r="J861">
        <v>106512</v>
      </c>
      <c r="K861">
        <v>654288</v>
      </c>
      <c r="L861">
        <v>634000</v>
      </c>
      <c r="M861">
        <v>20288</v>
      </c>
      <c r="N861" s="1">
        <v>41579</v>
      </c>
      <c r="O861">
        <v>11</v>
      </c>
      <c r="P861" t="s">
        <v>40</v>
      </c>
      <c r="Q861">
        <v>2013</v>
      </c>
    </row>
    <row r="862" spans="1:17" x14ac:dyDescent="0.3">
      <c r="A862" t="str">
        <f t="shared" ca="1" si="13"/>
        <v>ORD-2014-Mex-5098</v>
      </c>
      <c r="B862" t="s">
        <v>17</v>
      </c>
      <c r="C862" t="s">
        <v>26</v>
      </c>
      <c r="D862" t="s">
        <v>42</v>
      </c>
      <c r="E862" t="s">
        <v>48</v>
      </c>
      <c r="F862">
        <v>2903</v>
      </c>
      <c r="G862">
        <v>250</v>
      </c>
      <c r="H862">
        <v>7</v>
      </c>
      <c r="I862">
        <v>20321</v>
      </c>
      <c r="J862">
        <v>2844.94</v>
      </c>
      <c r="K862">
        <v>17476.060000000001</v>
      </c>
      <c r="L862">
        <v>14515</v>
      </c>
      <c r="M862">
        <v>2961.06</v>
      </c>
      <c r="N862" s="1">
        <v>41699</v>
      </c>
      <c r="O862">
        <v>3</v>
      </c>
      <c r="P862" t="s">
        <v>29</v>
      </c>
      <c r="Q862">
        <v>2014</v>
      </c>
    </row>
    <row r="863" spans="1:17" x14ac:dyDescent="0.3">
      <c r="A863" t="str">
        <f t="shared" ca="1" si="13"/>
        <v>ORD-2014-Uni-7593</v>
      </c>
      <c r="B863" t="s">
        <v>33</v>
      </c>
      <c r="C863" t="s">
        <v>37</v>
      </c>
      <c r="D863" t="s">
        <v>42</v>
      </c>
      <c r="E863" t="s">
        <v>48</v>
      </c>
      <c r="F863">
        <v>2541</v>
      </c>
      <c r="G863">
        <v>250</v>
      </c>
      <c r="H863">
        <v>300</v>
      </c>
      <c r="I863">
        <v>762300</v>
      </c>
      <c r="J863">
        <v>106722</v>
      </c>
      <c r="K863">
        <v>655578</v>
      </c>
      <c r="L863">
        <v>635250</v>
      </c>
      <c r="M863">
        <v>20328</v>
      </c>
      <c r="N863" s="1">
        <v>41852</v>
      </c>
      <c r="O863">
        <v>8</v>
      </c>
      <c r="P863" t="s">
        <v>34</v>
      </c>
      <c r="Q863">
        <v>2014</v>
      </c>
    </row>
    <row r="864" spans="1:17" x14ac:dyDescent="0.3">
      <c r="A864" t="str">
        <f t="shared" ca="1" si="13"/>
        <v>ORD-2013-Ca0-4914</v>
      </c>
      <c r="B864" t="s">
        <v>33</v>
      </c>
      <c r="C864" t="s">
        <v>18</v>
      </c>
      <c r="D864" t="s">
        <v>42</v>
      </c>
      <c r="E864" t="s">
        <v>48</v>
      </c>
      <c r="F864">
        <v>269</v>
      </c>
      <c r="G864">
        <v>250</v>
      </c>
      <c r="H864">
        <v>300</v>
      </c>
      <c r="I864">
        <v>80700</v>
      </c>
      <c r="J864">
        <v>11298</v>
      </c>
      <c r="K864">
        <v>69402</v>
      </c>
      <c r="L864">
        <v>67250</v>
      </c>
      <c r="M864">
        <v>2152</v>
      </c>
      <c r="N864" s="1">
        <v>41548</v>
      </c>
      <c r="O864">
        <v>10</v>
      </c>
      <c r="P864" t="s">
        <v>36</v>
      </c>
      <c r="Q864">
        <v>2013</v>
      </c>
    </row>
    <row r="865" spans="1:17" x14ac:dyDescent="0.3">
      <c r="A865" t="str">
        <f t="shared" ca="1" si="13"/>
        <v>ORD-2014-Ca0-7376</v>
      </c>
      <c r="B865" t="s">
        <v>33</v>
      </c>
      <c r="C865" t="s">
        <v>18</v>
      </c>
      <c r="D865" t="s">
        <v>42</v>
      </c>
      <c r="E865" t="s">
        <v>48</v>
      </c>
      <c r="F865">
        <v>1496</v>
      </c>
      <c r="G865">
        <v>250</v>
      </c>
      <c r="H865">
        <v>300</v>
      </c>
      <c r="I865">
        <v>448800</v>
      </c>
      <c r="J865">
        <v>62832</v>
      </c>
      <c r="K865">
        <v>385968</v>
      </c>
      <c r="L865">
        <v>374000</v>
      </c>
      <c r="M865">
        <v>11968</v>
      </c>
      <c r="N865" s="1">
        <v>41913</v>
      </c>
      <c r="O865">
        <v>10</v>
      </c>
      <c r="P865" t="s">
        <v>36</v>
      </c>
      <c r="Q865">
        <v>2014</v>
      </c>
    </row>
    <row r="866" spans="1:17" x14ac:dyDescent="0.3">
      <c r="A866" t="str">
        <f t="shared" ca="1" si="13"/>
        <v>ORD-2014-Uni-2889</v>
      </c>
      <c r="B866" t="s">
        <v>33</v>
      </c>
      <c r="C866" t="s">
        <v>37</v>
      </c>
      <c r="D866" t="s">
        <v>42</v>
      </c>
      <c r="E866" t="s">
        <v>48</v>
      </c>
      <c r="F866">
        <v>1010</v>
      </c>
      <c r="G866">
        <v>250</v>
      </c>
      <c r="H866">
        <v>300</v>
      </c>
      <c r="I866">
        <v>303000</v>
      </c>
      <c r="J866">
        <v>42420</v>
      </c>
      <c r="K866">
        <v>260580</v>
      </c>
      <c r="L866">
        <v>252500</v>
      </c>
      <c r="M866">
        <v>8080</v>
      </c>
      <c r="N866" s="1">
        <v>41913</v>
      </c>
      <c r="O866">
        <v>10</v>
      </c>
      <c r="P866" t="s">
        <v>36</v>
      </c>
      <c r="Q866">
        <v>2014</v>
      </c>
    </row>
    <row r="867" spans="1:17" x14ac:dyDescent="0.3">
      <c r="A867" t="str">
        <f t="shared" ca="1" si="13"/>
        <v>ORD-2013-Fra-1397</v>
      </c>
      <c r="B867" t="s">
        <v>17</v>
      </c>
      <c r="C867" t="s">
        <v>24</v>
      </c>
      <c r="D867" t="s">
        <v>42</v>
      </c>
      <c r="E867" t="s">
        <v>48</v>
      </c>
      <c r="F867">
        <v>1281</v>
      </c>
      <c r="G867">
        <v>250</v>
      </c>
      <c r="H867">
        <v>350</v>
      </c>
      <c r="I867">
        <v>448350</v>
      </c>
      <c r="J867">
        <v>62769</v>
      </c>
      <c r="K867">
        <v>385581</v>
      </c>
      <c r="L867">
        <v>333060</v>
      </c>
      <c r="M867">
        <v>52521</v>
      </c>
      <c r="N867" s="1">
        <v>41609</v>
      </c>
      <c r="O867">
        <v>12</v>
      </c>
      <c r="P867" t="s">
        <v>27</v>
      </c>
      <c r="Q867">
        <v>2013</v>
      </c>
    </row>
    <row r="868" spans="1:17" x14ac:dyDescent="0.3">
      <c r="A868" t="str">
        <f t="shared" ca="1" si="13"/>
        <v>ORD-2014-Ca0-1369</v>
      </c>
      <c r="B868" t="s">
        <v>33</v>
      </c>
      <c r="C868" t="s">
        <v>18</v>
      </c>
      <c r="D868" t="s">
        <v>44</v>
      </c>
      <c r="E868" t="s">
        <v>48</v>
      </c>
      <c r="F868">
        <v>888</v>
      </c>
      <c r="G868">
        <v>260</v>
      </c>
      <c r="H868">
        <v>300</v>
      </c>
      <c r="I868">
        <v>266400</v>
      </c>
      <c r="J868">
        <v>37296</v>
      </c>
      <c r="K868">
        <v>229104</v>
      </c>
      <c r="L868">
        <v>222000</v>
      </c>
      <c r="M868">
        <v>7104</v>
      </c>
      <c r="N868" s="1">
        <v>41699</v>
      </c>
      <c r="O868">
        <v>3</v>
      </c>
      <c r="P868" t="s">
        <v>29</v>
      </c>
      <c r="Q868">
        <v>2014</v>
      </c>
    </row>
    <row r="869" spans="1:17" x14ac:dyDescent="0.3">
      <c r="A869" t="str">
        <f t="shared" ca="1" si="13"/>
        <v>ORD-2014-Uni-2431</v>
      </c>
      <c r="B869" t="s">
        <v>31</v>
      </c>
      <c r="C869" t="s">
        <v>37</v>
      </c>
      <c r="D869" t="s">
        <v>44</v>
      </c>
      <c r="E869" t="s">
        <v>48</v>
      </c>
      <c r="F869">
        <v>2844</v>
      </c>
      <c r="G869">
        <v>260</v>
      </c>
      <c r="H869">
        <v>125</v>
      </c>
      <c r="I869">
        <v>355500</v>
      </c>
      <c r="J869">
        <v>49770</v>
      </c>
      <c r="K869">
        <v>305730</v>
      </c>
      <c r="L869">
        <v>341280</v>
      </c>
      <c r="M869">
        <f>K869-L869</f>
        <v>-35550</v>
      </c>
      <c r="N869" s="1">
        <v>41760</v>
      </c>
      <c r="O869">
        <v>5</v>
      </c>
      <c r="P869" t="s">
        <v>46</v>
      </c>
      <c r="Q869">
        <v>2014</v>
      </c>
    </row>
    <row r="870" spans="1:17" x14ac:dyDescent="0.3">
      <c r="A870" t="str">
        <f t="shared" ca="1" si="13"/>
        <v>ORD-2014-Fra-8570</v>
      </c>
      <c r="B870" t="s">
        <v>30</v>
      </c>
      <c r="C870" t="s">
        <v>24</v>
      </c>
      <c r="D870" t="s">
        <v>44</v>
      </c>
      <c r="E870" t="s">
        <v>48</v>
      </c>
      <c r="F870">
        <v>2475</v>
      </c>
      <c r="G870">
        <v>260</v>
      </c>
      <c r="H870">
        <v>12</v>
      </c>
      <c r="I870">
        <v>29700</v>
      </c>
      <c r="J870">
        <v>4158</v>
      </c>
      <c r="K870">
        <v>25542</v>
      </c>
      <c r="L870">
        <v>7425</v>
      </c>
      <c r="M870">
        <v>18117</v>
      </c>
      <c r="N870" s="1">
        <v>41852</v>
      </c>
      <c r="O870">
        <v>8</v>
      </c>
      <c r="P870" t="s">
        <v>34</v>
      </c>
      <c r="Q870">
        <v>2014</v>
      </c>
    </row>
    <row r="871" spans="1:17" x14ac:dyDescent="0.3">
      <c r="A871" t="str">
        <f t="shared" ca="1" si="13"/>
        <v>ORD-2013-Ca0-1142</v>
      </c>
      <c r="B871" t="s">
        <v>23</v>
      </c>
      <c r="C871" t="s">
        <v>18</v>
      </c>
      <c r="D871" t="s">
        <v>44</v>
      </c>
      <c r="E871" t="s">
        <v>48</v>
      </c>
      <c r="F871">
        <v>1743</v>
      </c>
      <c r="G871">
        <v>260</v>
      </c>
      <c r="H871">
        <v>15</v>
      </c>
      <c r="I871">
        <v>26145</v>
      </c>
      <c r="J871">
        <v>3660.3</v>
      </c>
      <c r="K871">
        <v>22484.7</v>
      </c>
      <c r="L871">
        <v>17430</v>
      </c>
      <c r="M871">
        <v>5054.7</v>
      </c>
      <c r="N871" s="1">
        <v>41548</v>
      </c>
      <c r="O871">
        <v>10</v>
      </c>
      <c r="P871" t="s">
        <v>36</v>
      </c>
      <c r="Q871">
        <v>2013</v>
      </c>
    </row>
    <row r="872" spans="1:17" x14ac:dyDescent="0.3">
      <c r="A872" t="str">
        <f t="shared" ca="1" si="13"/>
        <v>ORD-2014-Uni-9291</v>
      </c>
      <c r="B872" t="s">
        <v>30</v>
      </c>
      <c r="C872" t="s">
        <v>37</v>
      </c>
      <c r="D872" t="s">
        <v>44</v>
      </c>
      <c r="E872" t="s">
        <v>48</v>
      </c>
      <c r="F872">
        <v>2914</v>
      </c>
      <c r="G872">
        <v>260</v>
      </c>
      <c r="H872">
        <v>12</v>
      </c>
      <c r="I872">
        <v>34968</v>
      </c>
      <c r="J872">
        <v>4895.5200000000004</v>
      </c>
      <c r="K872">
        <v>30072.48</v>
      </c>
      <c r="L872">
        <v>8742</v>
      </c>
      <c r="M872">
        <v>21330.48</v>
      </c>
      <c r="N872" s="1">
        <v>41913</v>
      </c>
      <c r="O872">
        <v>10</v>
      </c>
      <c r="P872" t="s">
        <v>36</v>
      </c>
      <c r="Q872">
        <v>2014</v>
      </c>
    </row>
    <row r="873" spans="1:17" x14ac:dyDescent="0.3">
      <c r="A873" t="str">
        <f t="shared" ca="1" si="13"/>
        <v>ORD-2014-Fra-1128</v>
      </c>
      <c r="B873" t="s">
        <v>17</v>
      </c>
      <c r="C873" t="s">
        <v>24</v>
      </c>
      <c r="D873" t="s">
        <v>44</v>
      </c>
      <c r="E873" t="s">
        <v>48</v>
      </c>
      <c r="F873">
        <v>1731</v>
      </c>
      <c r="G873">
        <v>260</v>
      </c>
      <c r="H873">
        <v>7</v>
      </c>
      <c r="I873">
        <v>12117</v>
      </c>
      <c r="J873">
        <v>1696.38</v>
      </c>
      <c r="K873">
        <v>10420.620000000001</v>
      </c>
      <c r="L873">
        <v>8655</v>
      </c>
      <c r="M873">
        <v>1765.62</v>
      </c>
      <c r="N873" s="1">
        <v>41913</v>
      </c>
      <c r="O873">
        <v>10</v>
      </c>
      <c r="P873" t="s">
        <v>36</v>
      </c>
      <c r="Q873">
        <v>2014</v>
      </c>
    </row>
    <row r="874" spans="1:17" x14ac:dyDescent="0.3">
      <c r="A874" t="str">
        <f t="shared" ca="1" si="13"/>
        <v>ORD-2013-Mex-4106</v>
      </c>
      <c r="B874" t="s">
        <v>17</v>
      </c>
      <c r="C874" t="s">
        <v>26</v>
      </c>
      <c r="D874" t="s">
        <v>44</v>
      </c>
      <c r="E874" t="s">
        <v>48</v>
      </c>
      <c r="F874">
        <v>1727</v>
      </c>
      <c r="G874">
        <v>260</v>
      </c>
      <c r="H874">
        <v>7</v>
      </c>
      <c r="I874">
        <v>12089</v>
      </c>
      <c r="J874">
        <v>1692.46</v>
      </c>
      <c r="K874">
        <v>10396.540000000001</v>
      </c>
      <c r="L874">
        <v>8635</v>
      </c>
      <c r="M874">
        <v>1761.54</v>
      </c>
      <c r="N874" s="1">
        <v>41548</v>
      </c>
      <c r="O874">
        <v>10</v>
      </c>
      <c r="P874" t="s">
        <v>36</v>
      </c>
      <c r="Q874">
        <v>2013</v>
      </c>
    </row>
    <row r="875" spans="1:17" x14ac:dyDescent="0.3">
      <c r="A875" t="str">
        <f t="shared" ca="1" si="13"/>
        <v>ORD-2013-Mex-2112</v>
      </c>
      <c r="B875" t="s">
        <v>23</v>
      </c>
      <c r="C875" t="s">
        <v>26</v>
      </c>
      <c r="D875" t="s">
        <v>44</v>
      </c>
      <c r="E875" t="s">
        <v>48</v>
      </c>
      <c r="F875">
        <v>1870</v>
      </c>
      <c r="G875">
        <v>260</v>
      </c>
      <c r="H875">
        <v>15</v>
      </c>
      <c r="I875">
        <v>28050</v>
      </c>
      <c r="J875">
        <v>3927</v>
      </c>
      <c r="K875">
        <v>24123</v>
      </c>
      <c r="L875">
        <v>18700</v>
      </c>
      <c r="M875">
        <v>5423</v>
      </c>
      <c r="N875" s="1">
        <v>41579</v>
      </c>
      <c r="O875">
        <v>11</v>
      </c>
      <c r="P875" t="s">
        <v>40</v>
      </c>
      <c r="Q875">
        <v>2013</v>
      </c>
    </row>
    <row r="876" spans="1:17" x14ac:dyDescent="0.3">
      <c r="A876" t="str">
        <f t="shared" ca="1" si="13"/>
        <v>ORD-2014-Fra-9624</v>
      </c>
      <c r="B876" t="s">
        <v>31</v>
      </c>
      <c r="C876" t="s">
        <v>24</v>
      </c>
      <c r="D876" t="s">
        <v>19</v>
      </c>
      <c r="E876" t="s">
        <v>48</v>
      </c>
      <c r="F876">
        <v>1174</v>
      </c>
      <c r="G876">
        <v>3</v>
      </c>
      <c r="H876">
        <v>125</v>
      </c>
      <c r="I876">
        <v>146750</v>
      </c>
      <c r="J876">
        <v>22012.5</v>
      </c>
      <c r="K876">
        <v>124737.5</v>
      </c>
      <c r="L876">
        <v>140880</v>
      </c>
      <c r="M876">
        <f>K876-L876</f>
        <v>-16142.5</v>
      </c>
      <c r="N876" s="1">
        <v>41852</v>
      </c>
      <c r="O876">
        <v>8</v>
      </c>
      <c r="P876" t="s">
        <v>34</v>
      </c>
      <c r="Q876">
        <v>2014</v>
      </c>
    </row>
    <row r="877" spans="1:17" x14ac:dyDescent="0.3">
      <c r="A877" t="str">
        <f t="shared" ca="1" si="13"/>
        <v>ORD-2014-Ger-6335</v>
      </c>
      <c r="B877" t="s">
        <v>31</v>
      </c>
      <c r="C877" t="s">
        <v>22</v>
      </c>
      <c r="D877" t="s">
        <v>19</v>
      </c>
      <c r="E877" t="s">
        <v>48</v>
      </c>
      <c r="F877">
        <v>2767</v>
      </c>
      <c r="G877">
        <v>3</v>
      </c>
      <c r="H877">
        <v>125</v>
      </c>
      <c r="I877">
        <v>345875</v>
      </c>
      <c r="J877">
        <v>51881.25</v>
      </c>
      <c r="K877">
        <v>293993.75</v>
      </c>
      <c r="L877">
        <v>332040</v>
      </c>
      <c r="M877">
        <f>K877-L877</f>
        <v>-38046.25</v>
      </c>
      <c r="N877" s="1">
        <v>41852</v>
      </c>
      <c r="O877">
        <v>8</v>
      </c>
      <c r="P877" t="s">
        <v>34</v>
      </c>
      <c r="Q877">
        <v>2014</v>
      </c>
    </row>
    <row r="878" spans="1:17" x14ac:dyDescent="0.3">
      <c r="A878" t="str">
        <f t="shared" ca="1" si="13"/>
        <v>ORD-2014-Ger-2474</v>
      </c>
      <c r="B878" t="s">
        <v>31</v>
      </c>
      <c r="C878" t="s">
        <v>22</v>
      </c>
      <c r="D878" t="s">
        <v>19</v>
      </c>
      <c r="E878" t="s">
        <v>48</v>
      </c>
      <c r="F878">
        <v>1085</v>
      </c>
      <c r="G878">
        <v>3</v>
      </c>
      <c r="H878">
        <v>125</v>
      </c>
      <c r="I878">
        <v>135625</v>
      </c>
      <c r="J878">
        <v>20343.75</v>
      </c>
      <c r="K878">
        <v>115281.25</v>
      </c>
      <c r="L878">
        <v>130200</v>
      </c>
      <c r="M878">
        <f>K878-L878</f>
        <v>-14918.75</v>
      </c>
      <c r="N878" s="1">
        <v>41913</v>
      </c>
      <c r="O878">
        <v>10</v>
      </c>
      <c r="P878" t="s">
        <v>36</v>
      </c>
      <c r="Q878">
        <v>2014</v>
      </c>
    </row>
    <row r="879" spans="1:17" x14ac:dyDescent="0.3">
      <c r="A879" t="str">
        <f t="shared" ca="1" si="13"/>
        <v>ORD-2014-Mex-8838</v>
      </c>
      <c r="B879" t="s">
        <v>33</v>
      </c>
      <c r="C879" t="s">
        <v>26</v>
      </c>
      <c r="D879" t="s">
        <v>28</v>
      </c>
      <c r="E879" t="s">
        <v>48</v>
      </c>
      <c r="F879">
        <v>546</v>
      </c>
      <c r="G879">
        <v>5</v>
      </c>
      <c r="H879">
        <v>300</v>
      </c>
      <c r="I879">
        <v>163800</v>
      </c>
      <c r="J879">
        <v>24570</v>
      </c>
      <c r="K879">
        <v>139230</v>
      </c>
      <c r="L879">
        <v>136500</v>
      </c>
      <c r="M879">
        <v>2730</v>
      </c>
      <c r="N879" s="1">
        <v>41913</v>
      </c>
      <c r="O879">
        <v>10</v>
      </c>
      <c r="P879" t="s">
        <v>36</v>
      </c>
      <c r="Q879">
        <v>2014</v>
      </c>
    </row>
    <row r="880" spans="1:17" x14ac:dyDescent="0.3">
      <c r="A880" t="str">
        <f t="shared" ca="1" si="13"/>
        <v>ORD-2014-Ger-5242</v>
      </c>
      <c r="B880" t="s">
        <v>17</v>
      </c>
      <c r="C880" t="s">
        <v>22</v>
      </c>
      <c r="D880" t="s">
        <v>38</v>
      </c>
      <c r="E880" t="s">
        <v>48</v>
      </c>
      <c r="F880">
        <v>1158</v>
      </c>
      <c r="G880">
        <v>10</v>
      </c>
      <c r="H880">
        <v>20</v>
      </c>
      <c r="I880">
        <v>23160</v>
      </c>
      <c r="J880">
        <v>3474</v>
      </c>
      <c r="K880">
        <v>19686</v>
      </c>
      <c r="L880">
        <v>11580</v>
      </c>
      <c r="M880">
        <v>8106</v>
      </c>
      <c r="N880" s="1">
        <v>41699</v>
      </c>
      <c r="O880">
        <v>3</v>
      </c>
      <c r="P880" t="s">
        <v>29</v>
      </c>
      <c r="Q880">
        <v>2014</v>
      </c>
    </row>
    <row r="881" spans="1:17" x14ac:dyDescent="0.3">
      <c r="A881" t="str">
        <f t="shared" ca="1" si="13"/>
        <v>ORD-2014-Ca0-5595</v>
      </c>
      <c r="B881" t="s">
        <v>23</v>
      </c>
      <c r="C881" t="s">
        <v>18</v>
      </c>
      <c r="D881" t="s">
        <v>38</v>
      </c>
      <c r="E881" t="s">
        <v>48</v>
      </c>
      <c r="F881">
        <v>1614</v>
      </c>
      <c r="G881">
        <v>10</v>
      </c>
      <c r="H881">
        <v>15</v>
      </c>
      <c r="I881">
        <v>24210</v>
      </c>
      <c r="J881">
        <v>3631.5</v>
      </c>
      <c r="K881">
        <v>20578.5</v>
      </c>
      <c r="L881">
        <v>16140</v>
      </c>
      <c r="M881">
        <v>4438.5</v>
      </c>
      <c r="N881" s="1">
        <v>41730</v>
      </c>
      <c r="O881">
        <v>4</v>
      </c>
      <c r="P881" t="s">
        <v>43</v>
      </c>
      <c r="Q881">
        <v>2014</v>
      </c>
    </row>
    <row r="882" spans="1:17" x14ac:dyDescent="0.3">
      <c r="A882" t="str">
        <f t="shared" ca="1" si="13"/>
        <v>ORD-2014-Mex-7649</v>
      </c>
      <c r="B882" t="s">
        <v>17</v>
      </c>
      <c r="C882" t="s">
        <v>26</v>
      </c>
      <c r="D882" t="s">
        <v>38</v>
      </c>
      <c r="E882" t="s">
        <v>48</v>
      </c>
      <c r="F882">
        <v>2535</v>
      </c>
      <c r="G882">
        <v>10</v>
      </c>
      <c r="H882">
        <v>7</v>
      </c>
      <c r="I882">
        <v>17745</v>
      </c>
      <c r="J882">
        <v>2661.75</v>
      </c>
      <c r="K882">
        <v>15083.25</v>
      </c>
      <c r="L882">
        <v>12675</v>
      </c>
      <c r="M882">
        <v>2408.25</v>
      </c>
      <c r="N882" s="1">
        <v>41730</v>
      </c>
      <c r="O882">
        <v>4</v>
      </c>
      <c r="P882" t="s">
        <v>43</v>
      </c>
      <c r="Q882">
        <v>2014</v>
      </c>
    </row>
    <row r="883" spans="1:17" x14ac:dyDescent="0.3">
      <c r="A883" t="str">
        <f t="shared" ca="1" si="13"/>
        <v>ORD-2014-Mex-8893</v>
      </c>
      <c r="B883" t="s">
        <v>17</v>
      </c>
      <c r="C883" t="s">
        <v>26</v>
      </c>
      <c r="D883" t="s">
        <v>38</v>
      </c>
      <c r="E883" t="s">
        <v>48</v>
      </c>
      <c r="F883">
        <v>2851</v>
      </c>
      <c r="G883">
        <v>10</v>
      </c>
      <c r="H883">
        <v>350</v>
      </c>
      <c r="I883">
        <v>997850</v>
      </c>
      <c r="J883">
        <v>149677.5</v>
      </c>
      <c r="K883">
        <v>848172.5</v>
      </c>
      <c r="L883">
        <v>741260</v>
      </c>
      <c r="M883">
        <v>106912.5</v>
      </c>
      <c r="N883" s="1">
        <v>41760</v>
      </c>
      <c r="O883">
        <v>5</v>
      </c>
      <c r="P883" t="s">
        <v>46</v>
      </c>
      <c r="Q883">
        <v>2014</v>
      </c>
    </row>
    <row r="884" spans="1:17" x14ac:dyDescent="0.3">
      <c r="A884" t="str">
        <f t="shared" ca="1" si="13"/>
        <v>ORD-2014-Ca0-4488</v>
      </c>
      <c r="B884" t="s">
        <v>23</v>
      </c>
      <c r="C884" t="s">
        <v>18</v>
      </c>
      <c r="D884" t="s">
        <v>38</v>
      </c>
      <c r="E884" t="s">
        <v>48</v>
      </c>
      <c r="F884">
        <v>2559</v>
      </c>
      <c r="G884">
        <v>10</v>
      </c>
      <c r="H884">
        <v>15</v>
      </c>
      <c r="I884">
        <v>38385</v>
      </c>
      <c r="J884">
        <v>5757.75</v>
      </c>
      <c r="K884">
        <v>32627.25</v>
      </c>
      <c r="L884">
        <v>25590</v>
      </c>
      <c r="M884">
        <v>7037.25</v>
      </c>
      <c r="N884" s="1">
        <v>41852</v>
      </c>
      <c r="O884">
        <v>8</v>
      </c>
      <c r="P884" t="s">
        <v>34</v>
      </c>
      <c r="Q884">
        <v>2014</v>
      </c>
    </row>
    <row r="885" spans="1:17" x14ac:dyDescent="0.3">
      <c r="A885" t="str">
        <f t="shared" ca="1" si="13"/>
        <v>ORD-2013-Uni-3135</v>
      </c>
      <c r="B885" t="s">
        <v>17</v>
      </c>
      <c r="C885" t="s">
        <v>37</v>
      </c>
      <c r="D885" t="s">
        <v>38</v>
      </c>
      <c r="E885" t="s">
        <v>48</v>
      </c>
      <c r="F885">
        <v>267</v>
      </c>
      <c r="G885">
        <v>10</v>
      </c>
      <c r="H885">
        <v>20</v>
      </c>
      <c r="I885">
        <v>5340</v>
      </c>
      <c r="J885">
        <v>801</v>
      </c>
      <c r="K885">
        <v>4539</v>
      </c>
      <c r="L885">
        <v>2670</v>
      </c>
      <c r="M885">
        <v>1869</v>
      </c>
      <c r="N885" s="1">
        <v>41548</v>
      </c>
      <c r="O885">
        <v>10</v>
      </c>
      <c r="P885" t="s">
        <v>36</v>
      </c>
      <c r="Q885">
        <v>2013</v>
      </c>
    </row>
    <row r="886" spans="1:17" x14ac:dyDescent="0.3">
      <c r="A886" t="str">
        <f t="shared" ca="1" si="13"/>
        <v>ORD-2014-Ger-6806</v>
      </c>
      <c r="B886" t="s">
        <v>31</v>
      </c>
      <c r="C886" t="s">
        <v>22</v>
      </c>
      <c r="D886" t="s">
        <v>38</v>
      </c>
      <c r="E886" t="s">
        <v>48</v>
      </c>
      <c r="F886">
        <v>1085</v>
      </c>
      <c r="G886">
        <v>10</v>
      </c>
      <c r="H886">
        <v>125</v>
      </c>
      <c r="I886">
        <v>135625</v>
      </c>
      <c r="J886">
        <v>20343.75</v>
      </c>
      <c r="K886">
        <v>115281.25</v>
      </c>
      <c r="L886">
        <v>130200</v>
      </c>
      <c r="M886">
        <f>K886-L886</f>
        <v>-14918.75</v>
      </c>
      <c r="N886" s="1">
        <v>41913</v>
      </c>
      <c r="O886">
        <v>10</v>
      </c>
      <c r="P886" t="s">
        <v>36</v>
      </c>
      <c r="Q886">
        <v>2014</v>
      </c>
    </row>
    <row r="887" spans="1:17" x14ac:dyDescent="0.3">
      <c r="A887" t="str">
        <f t="shared" ca="1" si="13"/>
        <v>ORD-2014-Ger-6368</v>
      </c>
      <c r="B887" t="s">
        <v>23</v>
      </c>
      <c r="C887" t="s">
        <v>22</v>
      </c>
      <c r="D887" t="s">
        <v>38</v>
      </c>
      <c r="E887" t="s">
        <v>48</v>
      </c>
      <c r="F887">
        <v>1175</v>
      </c>
      <c r="G887">
        <v>10</v>
      </c>
      <c r="H887">
        <v>15</v>
      </c>
      <c r="I887">
        <v>17625</v>
      </c>
      <c r="J887">
        <v>2643.75</v>
      </c>
      <c r="K887">
        <v>14981.25</v>
      </c>
      <c r="L887">
        <v>11750</v>
      </c>
      <c r="M887">
        <v>3231.25</v>
      </c>
      <c r="N887" s="1">
        <v>41913</v>
      </c>
      <c r="O887">
        <v>10</v>
      </c>
      <c r="P887" t="s">
        <v>36</v>
      </c>
      <c r="Q887">
        <v>2014</v>
      </c>
    </row>
    <row r="888" spans="1:17" x14ac:dyDescent="0.3">
      <c r="A888" t="str">
        <f t="shared" ca="1" si="13"/>
        <v>ORD-2013-Uni-6731</v>
      </c>
      <c r="B888" t="s">
        <v>17</v>
      </c>
      <c r="C888" t="s">
        <v>37</v>
      </c>
      <c r="D888" t="s">
        <v>38</v>
      </c>
      <c r="E888" t="s">
        <v>48</v>
      </c>
      <c r="F888">
        <v>2007</v>
      </c>
      <c r="G888">
        <v>10</v>
      </c>
      <c r="H888">
        <v>350</v>
      </c>
      <c r="I888">
        <v>702450</v>
      </c>
      <c r="J888">
        <v>105367.5</v>
      </c>
      <c r="K888">
        <v>597082.5</v>
      </c>
      <c r="L888">
        <v>521820</v>
      </c>
      <c r="M888">
        <v>75262.5</v>
      </c>
      <c r="N888" s="1">
        <v>41579</v>
      </c>
      <c r="O888">
        <v>11</v>
      </c>
      <c r="P888" t="s">
        <v>40</v>
      </c>
      <c r="Q888">
        <v>2013</v>
      </c>
    </row>
    <row r="889" spans="1:17" x14ac:dyDescent="0.3">
      <c r="A889" t="str">
        <f t="shared" ca="1" si="13"/>
        <v>ORD-2013-Mex-6653</v>
      </c>
      <c r="B889" t="s">
        <v>17</v>
      </c>
      <c r="C889" t="s">
        <v>26</v>
      </c>
      <c r="D889" t="s">
        <v>38</v>
      </c>
      <c r="E889" t="s">
        <v>48</v>
      </c>
      <c r="F889">
        <v>2151</v>
      </c>
      <c r="G889">
        <v>10</v>
      </c>
      <c r="H889">
        <v>350</v>
      </c>
      <c r="I889">
        <v>752850</v>
      </c>
      <c r="J889">
        <v>112927.5</v>
      </c>
      <c r="K889">
        <v>639922.5</v>
      </c>
      <c r="L889">
        <v>559260</v>
      </c>
      <c r="M889">
        <v>80662.5</v>
      </c>
      <c r="N889" s="1">
        <v>41579</v>
      </c>
      <c r="O889">
        <v>11</v>
      </c>
      <c r="P889" t="s">
        <v>40</v>
      </c>
      <c r="Q889">
        <v>2013</v>
      </c>
    </row>
    <row r="890" spans="1:17" x14ac:dyDescent="0.3">
      <c r="A890" t="str">
        <f t="shared" ca="1" si="13"/>
        <v>ORD-2014-Uni-7082</v>
      </c>
      <c r="B890" t="s">
        <v>30</v>
      </c>
      <c r="C890" t="s">
        <v>37</v>
      </c>
      <c r="D890" t="s">
        <v>38</v>
      </c>
      <c r="E890" t="s">
        <v>48</v>
      </c>
      <c r="F890">
        <v>914</v>
      </c>
      <c r="G890">
        <v>10</v>
      </c>
      <c r="H890">
        <v>12</v>
      </c>
      <c r="I890">
        <v>10968</v>
      </c>
      <c r="J890">
        <v>1645.2</v>
      </c>
      <c r="K890">
        <v>9322.7999999999993</v>
      </c>
      <c r="L890">
        <v>2742</v>
      </c>
      <c r="M890">
        <v>6580.8</v>
      </c>
      <c r="N890" s="1">
        <v>41974</v>
      </c>
      <c r="O890">
        <v>12</v>
      </c>
      <c r="P890" t="s">
        <v>27</v>
      </c>
      <c r="Q890">
        <v>2014</v>
      </c>
    </row>
    <row r="891" spans="1:17" x14ac:dyDescent="0.3">
      <c r="A891" t="str">
        <f t="shared" ca="1" si="13"/>
        <v>ORD-2014-Fra-6943</v>
      </c>
      <c r="B891" t="s">
        <v>17</v>
      </c>
      <c r="C891" t="s">
        <v>24</v>
      </c>
      <c r="D891" t="s">
        <v>38</v>
      </c>
      <c r="E891" t="s">
        <v>48</v>
      </c>
      <c r="F891">
        <v>293</v>
      </c>
      <c r="G891">
        <v>10</v>
      </c>
      <c r="H891">
        <v>20</v>
      </c>
      <c r="I891">
        <v>5860</v>
      </c>
      <c r="J891">
        <v>879</v>
      </c>
      <c r="K891">
        <v>4981</v>
      </c>
      <c r="L891">
        <v>2930</v>
      </c>
      <c r="M891">
        <v>2051</v>
      </c>
      <c r="N891" s="1">
        <v>41974</v>
      </c>
      <c r="O891">
        <v>12</v>
      </c>
      <c r="P891" t="s">
        <v>27</v>
      </c>
      <c r="Q891">
        <v>2014</v>
      </c>
    </row>
    <row r="892" spans="1:17" x14ac:dyDescent="0.3">
      <c r="A892" t="str">
        <f t="shared" ca="1" si="13"/>
        <v>ORD-2014-Mex-5468</v>
      </c>
      <c r="B892" t="s">
        <v>30</v>
      </c>
      <c r="C892" t="s">
        <v>26</v>
      </c>
      <c r="D892" t="s">
        <v>41</v>
      </c>
      <c r="E892" t="s">
        <v>48</v>
      </c>
      <c r="F892">
        <v>500</v>
      </c>
      <c r="G892">
        <v>120</v>
      </c>
      <c r="H892">
        <v>12</v>
      </c>
      <c r="I892">
        <v>6000</v>
      </c>
      <c r="J892">
        <v>900</v>
      </c>
      <c r="K892">
        <v>5100</v>
      </c>
      <c r="L892">
        <v>1500</v>
      </c>
      <c r="M892">
        <v>3600</v>
      </c>
      <c r="N892" s="1">
        <v>41699</v>
      </c>
      <c r="O892">
        <v>3</v>
      </c>
      <c r="P892" t="s">
        <v>29</v>
      </c>
      <c r="Q892">
        <v>2014</v>
      </c>
    </row>
    <row r="893" spans="1:17" x14ac:dyDescent="0.3">
      <c r="A893" t="str">
        <f t="shared" ca="1" si="13"/>
        <v>ORD-2014-Fra-3914</v>
      </c>
      <c r="B893" t="s">
        <v>23</v>
      </c>
      <c r="C893" t="s">
        <v>24</v>
      </c>
      <c r="D893" t="s">
        <v>41</v>
      </c>
      <c r="E893" t="s">
        <v>48</v>
      </c>
      <c r="F893">
        <v>2826</v>
      </c>
      <c r="G893">
        <v>120</v>
      </c>
      <c r="H893">
        <v>15</v>
      </c>
      <c r="I893">
        <v>42390</v>
      </c>
      <c r="J893">
        <v>6358.5</v>
      </c>
      <c r="K893">
        <v>36031.5</v>
      </c>
      <c r="L893">
        <v>28260</v>
      </c>
      <c r="M893">
        <v>7771.5</v>
      </c>
      <c r="N893" s="1">
        <v>41760</v>
      </c>
      <c r="O893">
        <v>5</v>
      </c>
      <c r="P893" t="s">
        <v>46</v>
      </c>
      <c r="Q893">
        <v>2014</v>
      </c>
    </row>
    <row r="894" spans="1:17" x14ac:dyDescent="0.3">
      <c r="A894" t="str">
        <f t="shared" ca="1" si="13"/>
        <v>ORD-2014-Fra-5419</v>
      </c>
      <c r="B894" t="s">
        <v>31</v>
      </c>
      <c r="C894" t="s">
        <v>24</v>
      </c>
      <c r="D894" t="s">
        <v>41</v>
      </c>
      <c r="E894" t="s">
        <v>48</v>
      </c>
      <c r="F894">
        <v>663</v>
      </c>
      <c r="G894">
        <v>120</v>
      </c>
      <c r="H894">
        <v>125</v>
      </c>
      <c r="I894">
        <v>82875</v>
      </c>
      <c r="J894">
        <v>12431.25</v>
      </c>
      <c r="K894">
        <v>70443.75</v>
      </c>
      <c r="L894">
        <v>79560</v>
      </c>
      <c r="M894">
        <f>K894-L894</f>
        <v>-9116.25</v>
      </c>
      <c r="N894" s="1">
        <v>41883</v>
      </c>
      <c r="O894">
        <v>9</v>
      </c>
      <c r="P894" t="s">
        <v>35</v>
      </c>
      <c r="Q894">
        <v>2014</v>
      </c>
    </row>
    <row r="895" spans="1:17" x14ac:dyDescent="0.3">
      <c r="A895" t="str">
        <f t="shared" ca="1" si="13"/>
        <v>ORD-2013-Uni-3979</v>
      </c>
      <c r="B895" t="s">
        <v>33</v>
      </c>
      <c r="C895" t="s">
        <v>37</v>
      </c>
      <c r="D895" t="s">
        <v>41</v>
      </c>
      <c r="E895" t="s">
        <v>48</v>
      </c>
      <c r="F895">
        <v>2574</v>
      </c>
      <c r="G895">
        <v>120</v>
      </c>
      <c r="H895">
        <v>300</v>
      </c>
      <c r="I895">
        <v>772200</v>
      </c>
      <c r="J895">
        <v>115830</v>
      </c>
      <c r="K895">
        <v>656370</v>
      </c>
      <c r="L895">
        <v>643500</v>
      </c>
      <c r="M895">
        <v>12870</v>
      </c>
      <c r="N895" s="1">
        <v>41579</v>
      </c>
      <c r="O895">
        <v>11</v>
      </c>
      <c r="P895" t="s">
        <v>40</v>
      </c>
      <c r="Q895">
        <v>2013</v>
      </c>
    </row>
    <row r="896" spans="1:17" x14ac:dyDescent="0.3">
      <c r="A896" t="str">
        <f t="shared" ca="1" si="13"/>
        <v>ORD-2013-Uni-7226</v>
      </c>
      <c r="B896" t="s">
        <v>31</v>
      </c>
      <c r="C896" t="s">
        <v>37</v>
      </c>
      <c r="D896" t="s">
        <v>41</v>
      </c>
      <c r="E896" t="s">
        <v>48</v>
      </c>
      <c r="F896">
        <v>2438</v>
      </c>
      <c r="G896">
        <v>120</v>
      </c>
      <c r="H896">
        <v>125</v>
      </c>
      <c r="I896">
        <v>304750</v>
      </c>
      <c r="J896">
        <v>45712.5</v>
      </c>
      <c r="K896">
        <v>259037.5</v>
      </c>
      <c r="L896">
        <v>292560</v>
      </c>
      <c r="M896">
        <f>K896-L896</f>
        <v>-33522.5</v>
      </c>
      <c r="N896" s="1">
        <v>41609</v>
      </c>
      <c r="O896">
        <v>12</v>
      </c>
      <c r="P896" t="s">
        <v>27</v>
      </c>
      <c r="Q896">
        <v>2013</v>
      </c>
    </row>
    <row r="897" spans="1:17" x14ac:dyDescent="0.3">
      <c r="A897" t="str">
        <f t="shared" ca="1" si="13"/>
        <v>ORD-2014-Uni-1825</v>
      </c>
      <c r="B897" t="s">
        <v>30</v>
      </c>
      <c r="C897" t="s">
        <v>37</v>
      </c>
      <c r="D897" t="s">
        <v>41</v>
      </c>
      <c r="E897" t="s">
        <v>48</v>
      </c>
      <c r="F897">
        <v>914</v>
      </c>
      <c r="G897">
        <v>120</v>
      </c>
      <c r="H897">
        <v>12</v>
      </c>
      <c r="I897">
        <v>10968</v>
      </c>
      <c r="J897">
        <v>1645.2</v>
      </c>
      <c r="K897">
        <v>9322.7999999999993</v>
      </c>
      <c r="L897">
        <v>2742</v>
      </c>
      <c r="M897">
        <v>6580.8</v>
      </c>
      <c r="N897" s="1">
        <v>41974</v>
      </c>
      <c r="O897">
        <v>12</v>
      </c>
      <c r="P897" t="s">
        <v>27</v>
      </c>
      <c r="Q897">
        <v>2014</v>
      </c>
    </row>
    <row r="898" spans="1:17" x14ac:dyDescent="0.3">
      <c r="A898" t="str">
        <f t="shared" ca="1" si="13"/>
        <v>ORD-2014-Ca0-8697</v>
      </c>
      <c r="B898" t="s">
        <v>17</v>
      </c>
      <c r="C898" t="s">
        <v>18</v>
      </c>
      <c r="D898" t="s">
        <v>42</v>
      </c>
      <c r="E898" t="s">
        <v>48</v>
      </c>
      <c r="F898">
        <v>865.5</v>
      </c>
      <c r="G898">
        <v>250</v>
      </c>
      <c r="H898">
        <v>20</v>
      </c>
      <c r="I898">
        <v>17310</v>
      </c>
      <c r="J898">
        <v>2596.5</v>
      </c>
      <c r="K898">
        <v>14713.5</v>
      </c>
      <c r="L898">
        <v>8655</v>
      </c>
      <c r="M898">
        <v>6058.5</v>
      </c>
      <c r="N898" s="1">
        <v>41821</v>
      </c>
      <c r="O898">
        <v>7</v>
      </c>
      <c r="P898" t="s">
        <v>32</v>
      </c>
      <c r="Q898">
        <v>2014</v>
      </c>
    </row>
    <row r="899" spans="1:17" x14ac:dyDescent="0.3">
      <c r="A899" t="str">
        <f t="shared" ref="A899:A962" ca="1" si="14">"ORD-" &amp; YEAR(N899) &amp; "-"  &amp; LEFT(C899,3) &amp; "-" &amp; RANDBETWEEN(1000,9999)</f>
        <v>ORD-2014-Ger-1167</v>
      </c>
      <c r="B899" t="s">
        <v>23</v>
      </c>
      <c r="C899" t="s">
        <v>22</v>
      </c>
      <c r="D899" t="s">
        <v>42</v>
      </c>
      <c r="E899" t="s">
        <v>48</v>
      </c>
      <c r="F899">
        <v>492</v>
      </c>
      <c r="G899">
        <v>250</v>
      </c>
      <c r="H899">
        <v>15</v>
      </c>
      <c r="I899">
        <v>7380</v>
      </c>
      <c r="J899">
        <v>1107</v>
      </c>
      <c r="K899">
        <v>6273</v>
      </c>
      <c r="L899">
        <v>4920</v>
      </c>
      <c r="M899">
        <v>1353</v>
      </c>
      <c r="N899" s="1">
        <v>41821</v>
      </c>
      <c r="O899">
        <v>7</v>
      </c>
      <c r="P899" t="s">
        <v>32</v>
      </c>
      <c r="Q899">
        <v>2014</v>
      </c>
    </row>
    <row r="900" spans="1:17" x14ac:dyDescent="0.3">
      <c r="A900" t="str">
        <f t="shared" ca="1" si="14"/>
        <v>ORD-2013-Uni-9198</v>
      </c>
      <c r="B900" t="s">
        <v>17</v>
      </c>
      <c r="C900" t="s">
        <v>37</v>
      </c>
      <c r="D900" t="s">
        <v>42</v>
      </c>
      <c r="E900" t="s">
        <v>48</v>
      </c>
      <c r="F900">
        <v>267</v>
      </c>
      <c r="G900">
        <v>250</v>
      </c>
      <c r="H900">
        <v>20</v>
      </c>
      <c r="I900">
        <v>5340</v>
      </c>
      <c r="J900">
        <v>801</v>
      </c>
      <c r="K900">
        <v>4539</v>
      </c>
      <c r="L900">
        <v>2670</v>
      </c>
      <c r="M900">
        <v>1869</v>
      </c>
      <c r="N900" s="1">
        <v>41548</v>
      </c>
      <c r="O900">
        <v>10</v>
      </c>
      <c r="P900" t="s">
        <v>36</v>
      </c>
      <c r="Q900">
        <v>2013</v>
      </c>
    </row>
    <row r="901" spans="1:17" x14ac:dyDescent="0.3">
      <c r="A901" t="str">
        <f t="shared" ca="1" si="14"/>
        <v>ORD-2014-Ger-5375</v>
      </c>
      <c r="B901" t="s">
        <v>23</v>
      </c>
      <c r="C901" t="s">
        <v>22</v>
      </c>
      <c r="D901" t="s">
        <v>42</v>
      </c>
      <c r="E901" t="s">
        <v>48</v>
      </c>
      <c r="F901">
        <v>1175</v>
      </c>
      <c r="G901">
        <v>250</v>
      </c>
      <c r="H901">
        <v>15</v>
      </c>
      <c r="I901">
        <v>17625</v>
      </c>
      <c r="J901">
        <v>2643.75</v>
      </c>
      <c r="K901">
        <v>14981.25</v>
      </c>
      <c r="L901">
        <v>11750</v>
      </c>
      <c r="M901">
        <v>3231.25</v>
      </c>
      <c r="N901" s="1">
        <v>41913</v>
      </c>
      <c r="O901">
        <v>10</v>
      </c>
      <c r="P901" t="s">
        <v>36</v>
      </c>
      <c r="Q901">
        <v>2014</v>
      </c>
    </row>
    <row r="902" spans="1:17" x14ac:dyDescent="0.3">
      <c r="A902" t="str">
        <f t="shared" ca="1" si="14"/>
        <v>ORD-2013-Ca0-8049</v>
      </c>
      <c r="B902" t="s">
        <v>31</v>
      </c>
      <c r="C902" t="s">
        <v>18</v>
      </c>
      <c r="D902" t="s">
        <v>42</v>
      </c>
      <c r="E902" t="s">
        <v>48</v>
      </c>
      <c r="F902">
        <v>2954</v>
      </c>
      <c r="G902">
        <v>250</v>
      </c>
      <c r="H902">
        <v>125</v>
      </c>
      <c r="I902">
        <v>369250</v>
      </c>
      <c r="J902">
        <v>55387.5</v>
      </c>
      <c r="K902">
        <v>313862.5</v>
      </c>
      <c r="L902">
        <v>354480</v>
      </c>
      <c r="M902">
        <f>K902-L902</f>
        <v>-40617.5</v>
      </c>
      <c r="N902" s="1">
        <v>41579</v>
      </c>
      <c r="O902">
        <v>11</v>
      </c>
      <c r="P902" t="s">
        <v>40</v>
      </c>
      <c r="Q902">
        <v>2013</v>
      </c>
    </row>
    <row r="903" spans="1:17" x14ac:dyDescent="0.3">
      <c r="A903" t="str">
        <f t="shared" ca="1" si="14"/>
        <v>ORD-2014-Ger-9644</v>
      </c>
      <c r="B903" t="s">
        <v>31</v>
      </c>
      <c r="C903" t="s">
        <v>22</v>
      </c>
      <c r="D903" t="s">
        <v>42</v>
      </c>
      <c r="E903" t="s">
        <v>48</v>
      </c>
      <c r="F903">
        <v>552</v>
      </c>
      <c r="G903">
        <v>250</v>
      </c>
      <c r="H903">
        <v>125</v>
      </c>
      <c r="I903">
        <v>69000</v>
      </c>
      <c r="J903">
        <v>10350</v>
      </c>
      <c r="K903">
        <v>58650</v>
      </c>
      <c r="L903">
        <v>66240</v>
      </c>
      <c r="M903">
        <f>K903-L903</f>
        <v>-7590</v>
      </c>
      <c r="N903" s="1">
        <v>41944</v>
      </c>
      <c r="O903">
        <v>11</v>
      </c>
      <c r="P903" t="s">
        <v>40</v>
      </c>
      <c r="Q903">
        <v>2014</v>
      </c>
    </row>
    <row r="904" spans="1:17" x14ac:dyDescent="0.3">
      <c r="A904" t="str">
        <f t="shared" ca="1" si="14"/>
        <v>ORD-2014-Fra-1927</v>
      </c>
      <c r="B904" t="s">
        <v>17</v>
      </c>
      <c r="C904" t="s">
        <v>24</v>
      </c>
      <c r="D904" t="s">
        <v>42</v>
      </c>
      <c r="E904" t="s">
        <v>48</v>
      </c>
      <c r="F904">
        <v>293</v>
      </c>
      <c r="G904">
        <v>250</v>
      </c>
      <c r="H904">
        <v>20</v>
      </c>
      <c r="I904">
        <v>5860</v>
      </c>
      <c r="J904">
        <v>879</v>
      </c>
      <c r="K904">
        <v>4981</v>
      </c>
      <c r="L904">
        <v>2930</v>
      </c>
      <c r="M904">
        <v>2051</v>
      </c>
      <c r="N904" s="1">
        <v>41974</v>
      </c>
      <c r="O904">
        <v>12</v>
      </c>
      <c r="P904" t="s">
        <v>27</v>
      </c>
      <c r="Q904">
        <v>2014</v>
      </c>
    </row>
    <row r="905" spans="1:17" x14ac:dyDescent="0.3">
      <c r="A905" t="str">
        <f t="shared" ca="1" si="14"/>
        <v>ORD-2014-Fra-4812</v>
      </c>
      <c r="B905" t="s">
        <v>33</v>
      </c>
      <c r="C905" t="s">
        <v>24</v>
      </c>
      <c r="D905" t="s">
        <v>44</v>
      </c>
      <c r="E905" t="s">
        <v>48</v>
      </c>
      <c r="F905">
        <v>2475</v>
      </c>
      <c r="G905">
        <v>260</v>
      </c>
      <c r="H905">
        <v>300</v>
      </c>
      <c r="I905">
        <v>742500</v>
      </c>
      <c r="J905">
        <v>111375</v>
      </c>
      <c r="K905">
        <v>631125</v>
      </c>
      <c r="L905">
        <v>618750</v>
      </c>
      <c r="M905">
        <v>12375</v>
      </c>
      <c r="N905" s="1">
        <v>41699</v>
      </c>
      <c r="O905">
        <v>3</v>
      </c>
      <c r="P905" t="s">
        <v>29</v>
      </c>
      <c r="Q905">
        <v>2014</v>
      </c>
    </row>
    <row r="906" spans="1:17" x14ac:dyDescent="0.3">
      <c r="A906" t="str">
        <f t="shared" ca="1" si="14"/>
        <v>ORD-2014-Mex-2598</v>
      </c>
      <c r="B906" t="s">
        <v>33</v>
      </c>
      <c r="C906" t="s">
        <v>26</v>
      </c>
      <c r="D906" t="s">
        <v>44</v>
      </c>
      <c r="E906" t="s">
        <v>48</v>
      </c>
      <c r="F906">
        <v>546</v>
      </c>
      <c r="G906">
        <v>260</v>
      </c>
      <c r="H906">
        <v>300</v>
      </c>
      <c r="I906">
        <v>163800</v>
      </c>
      <c r="J906">
        <v>24570</v>
      </c>
      <c r="K906">
        <v>139230</v>
      </c>
      <c r="L906">
        <v>136500</v>
      </c>
      <c r="M906">
        <v>2730</v>
      </c>
      <c r="N906" s="1">
        <v>41913</v>
      </c>
      <c r="O906">
        <v>10</v>
      </c>
      <c r="P906" t="s">
        <v>36</v>
      </c>
      <c r="Q906">
        <v>2014</v>
      </c>
    </row>
    <row r="907" spans="1:17" x14ac:dyDescent="0.3">
      <c r="A907" t="str">
        <f t="shared" ca="1" si="14"/>
        <v>ORD-2014-Mex-4354</v>
      </c>
      <c r="B907" t="s">
        <v>17</v>
      </c>
      <c r="C907" t="s">
        <v>26</v>
      </c>
      <c r="D907" t="s">
        <v>28</v>
      </c>
      <c r="E907" t="s">
        <v>48</v>
      </c>
      <c r="F907">
        <v>1368</v>
      </c>
      <c r="G907">
        <v>5</v>
      </c>
      <c r="H907">
        <v>7</v>
      </c>
      <c r="I907">
        <v>9576</v>
      </c>
      <c r="J907">
        <v>1436.4</v>
      </c>
      <c r="K907">
        <v>8139.6</v>
      </c>
      <c r="L907">
        <v>6840</v>
      </c>
      <c r="M907">
        <v>1299.5999999999999</v>
      </c>
      <c r="N907" s="1">
        <v>41671</v>
      </c>
      <c r="O907">
        <v>2</v>
      </c>
      <c r="P907" t="s">
        <v>39</v>
      </c>
      <c r="Q907">
        <v>2014</v>
      </c>
    </row>
    <row r="908" spans="1:17" x14ac:dyDescent="0.3">
      <c r="A908" t="str">
        <f t="shared" ca="1" si="14"/>
        <v>ORD-2014-Ca0-6035</v>
      </c>
      <c r="B908" t="s">
        <v>17</v>
      </c>
      <c r="C908" t="s">
        <v>18</v>
      </c>
      <c r="D908" t="s">
        <v>38</v>
      </c>
      <c r="E908" t="s">
        <v>48</v>
      </c>
      <c r="F908">
        <v>723</v>
      </c>
      <c r="G908">
        <v>10</v>
      </c>
      <c r="H908">
        <v>7</v>
      </c>
      <c r="I908">
        <v>5061</v>
      </c>
      <c r="J908">
        <v>759.15</v>
      </c>
      <c r="K908">
        <v>4301.8500000000004</v>
      </c>
      <c r="L908">
        <v>3615</v>
      </c>
      <c r="M908">
        <v>686.85</v>
      </c>
      <c r="N908" s="1">
        <v>41730</v>
      </c>
      <c r="O908">
        <v>4</v>
      </c>
      <c r="P908" t="s">
        <v>43</v>
      </c>
      <c r="Q908">
        <v>2014</v>
      </c>
    </row>
    <row r="909" spans="1:17" x14ac:dyDescent="0.3">
      <c r="A909" t="str">
        <f t="shared" ca="1" si="14"/>
        <v>ORD-2014-Uni-7672</v>
      </c>
      <c r="B909" t="s">
        <v>30</v>
      </c>
      <c r="C909" t="s">
        <v>37</v>
      </c>
      <c r="D909" t="s">
        <v>42</v>
      </c>
      <c r="E909" t="s">
        <v>48</v>
      </c>
      <c r="F909">
        <v>1806</v>
      </c>
      <c r="G909">
        <v>250</v>
      </c>
      <c r="H909">
        <v>12</v>
      </c>
      <c r="I909">
        <v>21672</v>
      </c>
      <c r="J909">
        <v>3250.8</v>
      </c>
      <c r="K909">
        <v>18421.2</v>
      </c>
      <c r="L909">
        <v>5418</v>
      </c>
      <c r="M909">
        <v>13003.2</v>
      </c>
      <c r="N909" s="1">
        <v>41760</v>
      </c>
      <c r="O909">
        <v>5</v>
      </c>
      <c r="P909" t="s">
        <v>46</v>
      </c>
      <c r="Q909">
        <v>2014</v>
      </c>
    </row>
    <row r="910" spans="1:17" x14ac:dyDescent="0.3">
      <c r="A910" t="str">
        <f t="shared" ca="1" si="14"/>
        <v>ORD-2014-Fra-2358</v>
      </c>
      <c r="B910" t="s">
        <v>17</v>
      </c>
      <c r="C910" t="s">
        <v>24</v>
      </c>
      <c r="D910" t="s">
        <v>41</v>
      </c>
      <c r="E910" t="s">
        <v>47</v>
      </c>
      <c r="F910">
        <v>1579</v>
      </c>
      <c r="G910">
        <v>120</v>
      </c>
      <c r="H910">
        <v>20</v>
      </c>
      <c r="I910">
        <v>31580</v>
      </c>
      <c r="J910">
        <v>1579</v>
      </c>
      <c r="K910">
        <v>30001</v>
      </c>
      <c r="L910">
        <v>15790</v>
      </c>
      <c r="M910">
        <v>14211</v>
      </c>
      <c r="N910" s="1">
        <v>41852</v>
      </c>
      <c r="O910">
        <v>8</v>
      </c>
      <c r="P910" t="s">
        <v>34</v>
      </c>
      <c r="Q910">
        <v>2014</v>
      </c>
    </row>
    <row r="911" spans="1:17" x14ac:dyDescent="0.3">
      <c r="A911" t="str">
        <f t="shared" ca="1" si="14"/>
        <v>ORD-2014-Uni-2505</v>
      </c>
      <c r="B911" t="s">
        <v>31</v>
      </c>
      <c r="C911" t="s">
        <v>37</v>
      </c>
      <c r="D911" t="s">
        <v>41</v>
      </c>
      <c r="E911" t="s">
        <v>47</v>
      </c>
      <c r="F911">
        <v>861</v>
      </c>
      <c r="G911">
        <v>120</v>
      </c>
      <c r="H911">
        <v>125</v>
      </c>
      <c r="I911">
        <v>107625</v>
      </c>
      <c r="J911">
        <v>5381.25</v>
      </c>
      <c r="K911">
        <v>102243.75</v>
      </c>
      <c r="L911">
        <v>103320</v>
      </c>
      <c r="M911">
        <f>K911-L911</f>
        <v>-1076.25</v>
      </c>
      <c r="N911" s="1">
        <v>41913</v>
      </c>
      <c r="O911">
        <v>10</v>
      </c>
      <c r="P911" t="s">
        <v>36</v>
      </c>
      <c r="Q911">
        <v>2014</v>
      </c>
    </row>
    <row r="912" spans="1:17" x14ac:dyDescent="0.3">
      <c r="A912" t="str">
        <f t="shared" ca="1" si="14"/>
        <v>ORD-2013-Fra-3232</v>
      </c>
      <c r="B912" t="s">
        <v>31</v>
      </c>
      <c r="C912" t="s">
        <v>24</v>
      </c>
      <c r="D912" t="s">
        <v>41</v>
      </c>
      <c r="E912" t="s">
        <v>47</v>
      </c>
      <c r="F912">
        <v>704</v>
      </c>
      <c r="G912">
        <v>120</v>
      </c>
      <c r="H912">
        <v>125</v>
      </c>
      <c r="I912">
        <v>88000</v>
      </c>
      <c r="J912">
        <v>4400</v>
      </c>
      <c r="K912">
        <v>83600</v>
      </c>
      <c r="L912">
        <v>84480</v>
      </c>
      <c r="M912">
        <f>K912-L912</f>
        <v>-880</v>
      </c>
      <c r="N912" s="1">
        <v>41548</v>
      </c>
      <c r="O912">
        <v>10</v>
      </c>
      <c r="P912" t="s">
        <v>36</v>
      </c>
      <c r="Q912">
        <v>2013</v>
      </c>
    </row>
    <row r="913" spans="1:17" x14ac:dyDescent="0.3">
      <c r="A913" t="str">
        <f t="shared" ca="1" si="14"/>
        <v>ORD-2013-Fra-8018</v>
      </c>
      <c r="B913" t="s">
        <v>17</v>
      </c>
      <c r="C913" t="s">
        <v>24</v>
      </c>
      <c r="D913" t="s">
        <v>41</v>
      </c>
      <c r="E913" t="s">
        <v>47</v>
      </c>
      <c r="F913">
        <v>1033</v>
      </c>
      <c r="G913">
        <v>120</v>
      </c>
      <c r="H913">
        <v>20</v>
      </c>
      <c r="I913">
        <v>20660</v>
      </c>
      <c r="J913">
        <v>1033</v>
      </c>
      <c r="K913">
        <v>19627</v>
      </c>
      <c r="L913">
        <v>10330</v>
      </c>
      <c r="M913">
        <v>9297</v>
      </c>
      <c r="N913" s="1">
        <v>41609</v>
      </c>
      <c r="O913">
        <v>12</v>
      </c>
      <c r="P913" t="s">
        <v>27</v>
      </c>
      <c r="Q913">
        <v>2013</v>
      </c>
    </row>
    <row r="914" spans="1:17" x14ac:dyDescent="0.3">
      <c r="A914" t="str">
        <f t="shared" ca="1" si="14"/>
        <v>ORD-2014-Ger-4443</v>
      </c>
      <c r="B914" t="s">
        <v>33</v>
      </c>
      <c r="C914" t="s">
        <v>22</v>
      </c>
      <c r="D914" t="s">
        <v>41</v>
      </c>
      <c r="E914" t="s">
        <v>47</v>
      </c>
      <c r="F914">
        <v>1250</v>
      </c>
      <c r="G914">
        <v>120</v>
      </c>
      <c r="H914">
        <v>300</v>
      </c>
      <c r="I914">
        <v>375000</v>
      </c>
      <c r="J914">
        <v>18750</v>
      </c>
      <c r="K914">
        <v>356250</v>
      </c>
      <c r="L914">
        <v>312500</v>
      </c>
      <c r="M914">
        <v>43750</v>
      </c>
      <c r="N914" s="1">
        <v>41974</v>
      </c>
      <c r="O914">
        <v>12</v>
      </c>
      <c r="P914" t="s">
        <v>27</v>
      </c>
      <c r="Q914">
        <v>2014</v>
      </c>
    </row>
    <row r="915" spans="1:17" x14ac:dyDescent="0.3">
      <c r="A915" t="str">
        <f t="shared" ca="1" si="14"/>
        <v>ORD-2013-Ca0-7293</v>
      </c>
      <c r="B915" t="s">
        <v>17</v>
      </c>
      <c r="C915" t="s">
        <v>18</v>
      </c>
      <c r="D915" t="s">
        <v>42</v>
      </c>
      <c r="E915" t="s">
        <v>47</v>
      </c>
      <c r="F915">
        <v>1389</v>
      </c>
      <c r="G915">
        <v>250</v>
      </c>
      <c r="H915">
        <v>20</v>
      </c>
      <c r="I915">
        <v>27780</v>
      </c>
      <c r="J915">
        <v>1389</v>
      </c>
      <c r="K915">
        <v>26391</v>
      </c>
      <c r="L915">
        <v>13890</v>
      </c>
      <c r="M915">
        <v>12501</v>
      </c>
      <c r="N915" s="1">
        <v>41548</v>
      </c>
      <c r="O915">
        <v>10</v>
      </c>
      <c r="P915" t="s">
        <v>36</v>
      </c>
      <c r="Q915">
        <v>2013</v>
      </c>
    </row>
    <row r="916" spans="1:17" x14ac:dyDescent="0.3">
      <c r="A916" t="str">
        <f t="shared" ca="1" si="14"/>
        <v>ORD-2013-Uni-6246</v>
      </c>
      <c r="B916" t="s">
        <v>17</v>
      </c>
      <c r="C916" t="s">
        <v>37</v>
      </c>
      <c r="D916" t="s">
        <v>42</v>
      </c>
      <c r="E916" t="s">
        <v>47</v>
      </c>
      <c r="F916">
        <v>1265</v>
      </c>
      <c r="G916">
        <v>250</v>
      </c>
      <c r="H916">
        <v>20</v>
      </c>
      <c r="I916">
        <v>25300</v>
      </c>
      <c r="J916">
        <v>1265</v>
      </c>
      <c r="K916">
        <v>24035</v>
      </c>
      <c r="L916">
        <v>12650</v>
      </c>
      <c r="M916">
        <v>11385</v>
      </c>
      <c r="N916" s="1">
        <v>41579</v>
      </c>
      <c r="O916">
        <v>11</v>
      </c>
      <c r="P916" t="s">
        <v>40</v>
      </c>
      <c r="Q916">
        <v>2013</v>
      </c>
    </row>
    <row r="917" spans="1:17" x14ac:dyDescent="0.3">
      <c r="A917" t="str">
        <f t="shared" ca="1" si="14"/>
        <v>ORD-2013-Ger-3209</v>
      </c>
      <c r="B917" t="s">
        <v>17</v>
      </c>
      <c r="C917" t="s">
        <v>22</v>
      </c>
      <c r="D917" t="s">
        <v>42</v>
      </c>
      <c r="E917" t="s">
        <v>47</v>
      </c>
      <c r="F917">
        <v>2297</v>
      </c>
      <c r="G917">
        <v>250</v>
      </c>
      <c r="H917">
        <v>20</v>
      </c>
      <c r="I917">
        <v>45940</v>
      </c>
      <c r="J917">
        <v>2297</v>
      </c>
      <c r="K917">
        <v>43643</v>
      </c>
      <c r="L917">
        <v>22970</v>
      </c>
      <c r="M917">
        <v>20673</v>
      </c>
      <c r="N917" s="1">
        <v>41579</v>
      </c>
      <c r="O917">
        <v>11</v>
      </c>
      <c r="P917" t="s">
        <v>40</v>
      </c>
      <c r="Q917">
        <v>2013</v>
      </c>
    </row>
    <row r="918" spans="1:17" x14ac:dyDescent="0.3">
      <c r="A918" t="str">
        <f t="shared" ca="1" si="14"/>
        <v>ORD-2014-Uni-3578</v>
      </c>
      <c r="B918" t="s">
        <v>17</v>
      </c>
      <c r="C918" t="s">
        <v>37</v>
      </c>
      <c r="D918" t="s">
        <v>42</v>
      </c>
      <c r="E918" t="s">
        <v>47</v>
      </c>
      <c r="F918">
        <v>2663</v>
      </c>
      <c r="G918">
        <v>250</v>
      </c>
      <c r="H918">
        <v>20</v>
      </c>
      <c r="I918">
        <v>53260</v>
      </c>
      <c r="J918">
        <v>2663</v>
      </c>
      <c r="K918">
        <v>50597</v>
      </c>
      <c r="L918">
        <v>26630</v>
      </c>
      <c r="M918">
        <v>23967</v>
      </c>
      <c r="N918" s="1">
        <v>41974</v>
      </c>
      <c r="O918">
        <v>12</v>
      </c>
      <c r="P918" t="s">
        <v>27</v>
      </c>
      <c r="Q918">
        <v>2014</v>
      </c>
    </row>
    <row r="919" spans="1:17" x14ac:dyDescent="0.3">
      <c r="A919" t="str">
        <f t="shared" ca="1" si="14"/>
        <v>ORD-2014-Uni-1961</v>
      </c>
      <c r="B919" t="s">
        <v>17</v>
      </c>
      <c r="C919" t="s">
        <v>37</v>
      </c>
      <c r="D919" t="s">
        <v>42</v>
      </c>
      <c r="E919" t="s">
        <v>47</v>
      </c>
      <c r="F919">
        <v>570</v>
      </c>
      <c r="G919">
        <v>250</v>
      </c>
      <c r="H919">
        <v>7</v>
      </c>
      <c r="I919">
        <v>3990</v>
      </c>
      <c r="J919">
        <v>199.5</v>
      </c>
      <c r="K919">
        <v>3790.5</v>
      </c>
      <c r="L919">
        <v>2850</v>
      </c>
      <c r="M919">
        <v>940.5</v>
      </c>
      <c r="N919" s="1">
        <v>41974</v>
      </c>
      <c r="O919">
        <v>12</v>
      </c>
      <c r="P919" t="s">
        <v>27</v>
      </c>
      <c r="Q919">
        <v>2014</v>
      </c>
    </row>
    <row r="920" spans="1:17" x14ac:dyDescent="0.3">
      <c r="A920" t="str">
        <f t="shared" ca="1" si="14"/>
        <v>ORD-2014-Fra-2250</v>
      </c>
      <c r="B920" t="s">
        <v>17</v>
      </c>
      <c r="C920" t="s">
        <v>24</v>
      </c>
      <c r="D920" t="s">
        <v>42</v>
      </c>
      <c r="E920" t="s">
        <v>47</v>
      </c>
      <c r="F920">
        <v>2487</v>
      </c>
      <c r="G920">
        <v>250</v>
      </c>
      <c r="H920">
        <v>7</v>
      </c>
      <c r="I920">
        <v>17409</v>
      </c>
      <c r="J920">
        <v>870.45</v>
      </c>
      <c r="K920">
        <v>16538.55</v>
      </c>
      <c r="L920">
        <v>12435</v>
      </c>
      <c r="M920">
        <v>4103.55</v>
      </c>
      <c r="N920" s="1">
        <v>41974</v>
      </c>
      <c r="O920">
        <v>12</v>
      </c>
      <c r="P920" t="s">
        <v>27</v>
      </c>
      <c r="Q920">
        <v>2014</v>
      </c>
    </row>
    <row r="921" spans="1:17" x14ac:dyDescent="0.3">
      <c r="A921" t="str">
        <f t="shared" ca="1" si="14"/>
        <v>ORD-2014-Ger-2663</v>
      </c>
      <c r="B921" t="s">
        <v>17</v>
      </c>
      <c r="C921" t="s">
        <v>22</v>
      </c>
      <c r="D921" t="s">
        <v>44</v>
      </c>
      <c r="E921" t="s">
        <v>47</v>
      </c>
      <c r="F921">
        <v>1350</v>
      </c>
      <c r="G921">
        <v>260</v>
      </c>
      <c r="H921">
        <v>350</v>
      </c>
      <c r="I921">
        <v>472500</v>
      </c>
      <c r="J921">
        <v>23625</v>
      </c>
      <c r="K921">
        <v>448875</v>
      </c>
      <c r="L921">
        <v>351000</v>
      </c>
      <c r="M921">
        <v>97875</v>
      </c>
      <c r="N921" s="1">
        <v>41671</v>
      </c>
      <c r="O921">
        <v>2</v>
      </c>
      <c r="P921" t="s">
        <v>39</v>
      </c>
      <c r="Q921">
        <v>2014</v>
      </c>
    </row>
    <row r="922" spans="1:17" x14ac:dyDescent="0.3">
      <c r="A922" t="str">
        <f t="shared" ca="1" si="14"/>
        <v>ORD-2014-Ca0-7836</v>
      </c>
      <c r="B922" t="s">
        <v>17</v>
      </c>
      <c r="C922" t="s">
        <v>18</v>
      </c>
      <c r="D922" t="s">
        <v>44</v>
      </c>
      <c r="E922" t="s">
        <v>47</v>
      </c>
      <c r="F922">
        <v>552</v>
      </c>
      <c r="G922">
        <v>260</v>
      </c>
      <c r="H922">
        <v>350</v>
      </c>
      <c r="I922">
        <v>193200</v>
      </c>
      <c r="J922">
        <v>9660</v>
      </c>
      <c r="K922">
        <v>183540</v>
      </c>
      <c r="L922">
        <v>143520</v>
      </c>
      <c r="M922">
        <v>40020</v>
      </c>
      <c r="N922" s="1">
        <v>41852</v>
      </c>
      <c r="O922">
        <v>8</v>
      </c>
      <c r="P922" t="s">
        <v>34</v>
      </c>
      <c r="Q922">
        <v>2014</v>
      </c>
    </row>
    <row r="923" spans="1:17" x14ac:dyDescent="0.3">
      <c r="A923" t="str">
        <f t="shared" ca="1" si="14"/>
        <v>ORD-2013-Ca0-9116</v>
      </c>
      <c r="B923" t="s">
        <v>17</v>
      </c>
      <c r="C923" t="s">
        <v>18</v>
      </c>
      <c r="D923" t="s">
        <v>44</v>
      </c>
      <c r="E923" t="s">
        <v>47</v>
      </c>
      <c r="F923">
        <v>1228</v>
      </c>
      <c r="G923">
        <v>260</v>
      </c>
      <c r="H923">
        <v>350</v>
      </c>
      <c r="I923">
        <v>429800</v>
      </c>
      <c r="J923">
        <v>21490</v>
      </c>
      <c r="K923">
        <v>408310</v>
      </c>
      <c r="L923">
        <v>319280</v>
      </c>
      <c r="M923">
        <v>89030</v>
      </c>
      <c r="N923" s="1">
        <v>41548</v>
      </c>
      <c r="O923">
        <v>10</v>
      </c>
      <c r="P923" t="s">
        <v>36</v>
      </c>
      <c r="Q923">
        <v>2013</v>
      </c>
    </row>
    <row r="924" spans="1:17" x14ac:dyDescent="0.3">
      <c r="A924" t="str">
        <f t="shared" ca="1" si="14"/>
        <v>ORD-2014-Ger-2061</v>
      </c>
      <c r="B924" t="s">
        <v>33</v>
      </c>
      <c r="C924" t="s">
        <v>22</v>
      </c>
      <c r="D924" t="s">
        <v>44</v>
      </c>
      <c r="E924" t="s">
        <v>47</v>
      </c>
      <c r="F924">
        <v>1250</v>
      </c>
      <c r="G924">
        <v>260</v>
      </c>
      <c r="H924">
        <v>300</v>
      </c>
      <c r="I924">
        <v>375000</v>
      </c>
      <c r="J924">
        <v>18750</v>
      </c>
      <c r="K924">
        <v>356250</v>
      </c>
      <c r="L924">
        <v>312500</v>
      </c>
      <c r="M924">
        <v>43750</v>
      </c>
      <c r="N924" s="1">
        <v>41974</v>
      </c>
      <c r="O924">
        <v>12</v>
      </c>
      <c r="P924" t="s">
        <v>27</v>
      </c>
      <c r="Q924">
        <v>2014</v>
      </c>
    </row>
    <row r="925" spans="1:17" x14ac:dyDescent="0.3">
      <c r="A925" t="str">
        <f t="shared" ca="1" si="14"/>
        <v>ORD-2014-Fra-8763</v>
      </c>
      <c r="B925" t="s">
        <v>23</v>
      </c>
      <c r="C925" t="s">
        <v>24</v>
      </c>
      <c r="D925" t="s">
        <v>38</v>
      </c>
      <c r="E925" t="s">
        <v>47</v>
      </c>
      <c r="F925">
        <v>3801</v>
      </c>
      <c r="G925">
        <v>10</v>
      </c>
      <c r="H925">
        <v>15</v>
      </c>
      <c r="I925">
        <v>57015</v>
      </c>
      <c r="J925">
        <v>3420.9</v>
      </c>
      <c r="K925">
        <v>53594.1</v>
      </c>
      <c r="L925">
        <v>38010</v>
      </c>
      <c r="M925">
        <v>15584.1</v>
      </c>
      <c r="N925" s="1">
        <v>41730</v>
      </c>
      <c r="O925">
        <v>4</v>
      </c>
      <c r="P925" t="s">
        <v>43</v>
      </c>
      <c r="Q925">
        <v>2014</v>
      </c>
    </row>
    <row r="926" spans="1:17" x14ac:dyDescent="0.3">
      <c r="A926" t="str">
        <f t="shared" ca="1" si="14"/>
        <v>ORD-2014-Uni-9305</v>
      </c>
      <c r="B926" t="s">
        <v>17</v>
      </c>
      <c r="C926" t="s">
        <v>37</v>
      </c>
      <c r="D926" t="s">
        <v>19</v>
      </c>
      <c r="E926" t="s">
        <v>47</v>
      </c>
      <c r="F926">
        <v>1117.5</v>
      </c>
      <c r="G926">
        <v>3</v>
      </c>
      <c r="H926">
        <v>20</v>
      </c>
      <c r="I926">
        <v>22350</v>
      </c>
      <c r="J926">
        <v>1341</v>
      </c>
      <c r="K926">
        <v>21009</v>
      </c>
      <c r="L926">
        <v>11175</v>
      </c>
      <c r="M926">
        <v>9834</v>
      </c>
      <c r="N926" s="1">
        <v>41640</v>
      </c>
      <c r="O926">
        <v>1</v>
      </c>
      <c r="P926" t="s">
        <v>21</v>
      </c>
      <c r="Q926">
        <v>2014</v>
      </c>
    </row>
    <row r="927" spans="1:17" x14ac:dyDescent="0.3">
      <c r="A927" t="str">
        <f t="shared" ca="1" si="14"/>
        <v>ORD-2014-Ca0-1921</v>
      </c>
      <c r="B927" t="s">
        <v>23</v>
      </c>
      <c r="C927" t="s">
        <v>18</v>
      </c>
      <c r="D927" t="s">
        <v>19</v>
      </c>
      <c r="E927" t="s">
        <v>47</v>
      </c>
      <c r="F927">
        <v>2844</v>
      </c>
      <c r="G927">
        <v>3</v>
      </c>
      <c r="H927">
        <v>15</v>
      </c>
      <c r="I927">
        <v>42660</v>
      </c>
      <c r="J927">
        <v>2559.6</v>
      </c>
      <c r="K927">
        <v>40100.400000000001</v>
      </c>
      <c r="L927">
        <v>28440</v>
      </c>
      <c r="M927">
        <v>11660.4</v>
      </c>
      <c r="N927" s="1">
        <v>41791</v>
      </c>
      <c r="O927">
        <v>6</v>
      </c>
      <c r="P927" t="s">
        <v>25</v>
      </c>
      <c r="Q927">
        <v>2014</v>
      </c>
    </row>
    <row r="928" spans="1:17" x14ac:dyDescent="0.3">
      <c r="A928" t="str">
        <f t="shared" ca="1" si="14"/>
        <v>ORD-2014-Mex-3621</v>
      </c>
      <c r="B928" t="s">
        <v>30</v>
      </c>
      <c r="C928" t="s">
        <v>26</v>
      </c>
      <c r="D928" t="s">
        <v>19</v>
      </c>
      <c r="E928" t="s">
        <v>47</v>
      </c>
      <c r="F928">
        <v>562</v>
      </c>
      <c r="G928">
        <v>3</v>
      </c>
      <c r="H928">
        <v>12</v>
      </c>
      <c r="I928">
        <v>6744</v>
      </c>
      <c r="J928">
        <v>404.64</v>
      </c>
      <c r="K928">
        <v>6339.36</v>
      </c>
      <c r="L928">
        <v>1686</v>
      </c>
      <c r="M928">
        <v>4653.3599999999997</v>
      </c>
      <c r="N928" s="1">
        <v>41883</v>
      </c>
      <c r="O928">
        <v>9</v>
      </c>
      <c r="P928" t="s">
        <v>35</v>
      </c>
      <c r="Q928">
        <v>2014</v>
      </c>
    </row>
    <row r="929" spans="1:17" x14ac:dyDescent="0.3">
      <c r="A929" t="str">
        <f t="shared" ca="1" si="14"/>
        <v>ORD-2013-Ca0-1909</v>
      </c>
      <c r="B929" t="s">
        <v>30</v>
      </c>
      <c r="C929" t="s">
        <v>18</v>
      </c>
      <c r="D929" t="s">
        <v>19</v>
      </c>
      <c r="E929" t="s">
        <v>47</v>
      </c>
      <c r="F929">
        <v>2299</v>
      </c>
      <c r="G929">
        <v>3</v>
      </c>
      <c r="H929">
        <v>12</v>
      </c>
      <c r="I929">
        <v>27588</v>
      </c>
      <c r="J929">
        <v>1655.28</v>
      </c>
      <c r="K929">
        <v>25932.720000000001</v>
      </c>
      <c r="L929">
        <v>6897</v>
      </c>
      <c r="M929">
        <v>19035.72</v>
      </c>
      <c r="N929" s="1">
        <v>41548</v>
      </c>
      <c r="O929">
        <v>10</v>
      </c>
      <c r="P929" t="s">
        <v>36</v>
      </c>
      <c r="Q929">
        <v>2013</v>
      </c>
    </row>
    <row r="930" spans="1:17" x14ac:dyDescent="0.3">
      <c r="A930" t="str">
        <f t="shared" ca="1" si="14"/>
        <v>ORD-2014-Uni-9492</v>
      </c>
      <c r="B930" t="s">
        <v>23</v>
      </c>
      <c r="C930" t="s">
        <v>37</v>
      </c>
      <c r="D930" t="s">
        <v>19</v>
      </c>
      <c r="E930" t="s">
        <v>47</v>
      </c>
      <c r="F930">
        <v>2030</v>
      </c>
      <c r="G930">
        <v>3</v>
      </c>
      <c r="H930">
        <v>15</v>
      </c>
      <c r="I930">
        <v>30450</v>
      </c>
      <c r="J930">
        <v>1827</v>
      </c>
      <c r="K930">
        <v>28623</v>
      </c>
      <c r="L930">
        <v>20300</v>
      </c>
      <c r="M930">
        <v>8323</v>
      </c>
      <c r="N930" s="1">
        <v>41944</v>
      </c>
      <c r="O930">
        <v>11</v>
      </c>
      <c r="P930" t="s">
        <v>40</v>
      </c>
      <c r="Q930">
        <v>2014</v>
      </c>
    </row>
    <row r="931" spans="1:17" x14ac:dyDescent="0.3">
      <c r="A931" t="str">
        <f t="shared" ca="1" si="14"/>
        <v>ORD-2013-Uni-8998</v>
      </c>
      <c r="B931" t="s">
        <v>17</v>
      </c>
      <c r="C931" t="s">
        <v>37</v>
      </c>
      <c r="D931" t="s">
        <v>19</v>
      </c>
      <c r="E931" t="s">
        <v>47</v>
      </c>
      <c r="F931">
        <v>263</v>
      </c>
      <c r="G931">
        <v>3</v>
      </c>
      <c r="H931">
        <v>7</v>
      </c>
      <c r="I931">
        <v>1841</v>
      </c>
      <c r="J931">
        <v>110.46</v>
      </c>
      <c r="K931">
        <v>1730.54</v>
      </c>
      <c r="L931">
        <v>1315</v>
      </c>
      <c r="M931">
        <v>415.54</v>
      </c>
      <c r="N931" s="1">
        <v>41579</v>
      </c>
      <c r="O931">
        <v>11</v>
      </c>
      <c r="P931" t="s">
        <v>40</v>
      </c>
      <c r="Q931">
        <v>2013</v>
      </c>
    </row>
    <row r="932" spans="1:17" x14ac:dyDescent="0.3">
      <c r="A932" t="str">
        <f t="shared" ca="1" si="14"/>
        <v>ORD-2013-Ger-3294</v>
      </c>
      <c r="B932" t="s">
        <v>31</v>
      </c>
      <c r="C932" t="s">
        <v>22</v>
      </c>
      <c r="D932" t="s">
        <v>19</v>
      </c>
      <c r="E932" t="s">
        <v>47</v>
      </c>
      <c r="F932">
        <v>887</v>
      </c>
      <c r="G932">
        <v>3</v>
      </c>
      <c r="H932">
        <v>125</v>
      </c>
      <c r="I932">
        <v>110875</v>
      </c>
      <c r="J932">
        <v>6652.5</v>
      </c>
      <c r="K932">
        <v>104222.5</v>
      </c>
      <c r="L932">
        <v>106440</v>
      </c>
      <c r="M932">
        <f>K932-L932</f>
        <v>-2217.5</v>
      </c>
      <c r="N932" s="1">
        <v>41609</v>
      </c>
      <c r="O932">
        <v>12</v>
      </c>
      <c r="P932" t="s">
        <v>27</v>
      </c>
      <c r="Q932">
        <v>2013</v>
      </c>
    </row>
    <row r="933" spans="1:17" x14ac:dyDescent="0.3">
      <c r="A933" t="str">
        <f t="shared" ca="1" si="14"/>
        <v>ORD-2014-Mex-7942</v>
      </c>
      <c r="B933" t="s">
        <v>17</v>
      </c>
      <c r="C933" t="s">
        <v>26</v>
      </c>
      <c r="D933" t="s">
        <v>28</v>
      </c>
      <c r="E933" t="s">
        <v>47</v>
      </c>
      <c r="F933">
        <v>980</v>
      </c>
      <c r="G933">
        <v>5</v>
      </c>
      <c r="H933">
        <v>350</v>
      </c>
      <c r="I933">
        <v>343000</v>
      </c>
      <c r="J933">
        <v>20580</v>
      </c>
      <c r="K933">
        <v>322420</v>
      </c>
      <c r="L933">
        <v>254800</v>
      </c>
      <c r="M933">
        <v>67620</v>
      </c>
      <c r="N933" s="1">
        <v>41730</v>
      </c>
      <c r="O933">
        <v>4</v>
      </c>
      <c r="P933" t="s">
        <v>43</v>
      </c>
      <c r="Q933">
        <v>2014</v>
      </c>
    </row>
    <row r="934" spans="1:17" x14ac:dyDescent="0.3">
      <c r="A934" t="str">
        <f t="shared" ca="1" si="14"/>
        <v>ORD-2014-Ger-3319</v>
      </c>
      <c r="B934" t="s">
        <v>17</v>
      </c>
      <c r="C934" t="s">
        <v>22</v>
      </c>
      <c r="D934" t="s">
        <v>28</v>
      </c>
      <c r="E934" t="s">
        <v>47</v>
      </c>
      <c r="F934">
        <v>1460</v>
      </c>
      <c r="G934">
        <v>5</v>
      </c>
      <c r="H934">
        <v>350</v>
      </c>
      <c r="I934">
        <v>511000</v>
      </c>
      <c r="J934">
        <v>30660</v>
      </c>
      <c r="K934">
        <v>480340</v>
      </c>
      <c r="L934">
        <v>379600</v>
      </c>
      <c r="M934">
        <v>100740</v>
      </c>
      <c r="N934" s="1">
        <v>41760</v>
      </c>
      <c r="O934">
        <v>5</v>
      </c>
      <c r="P934" t="s">
        <v>46</v>
      </c>
      <c r="Q934">
        <v>2014</v>
      </c>
    </row>
    <row r="935" spans="1:17" x14ac:dyDescent="0.3">
      <c r="A935" t="str">
        <f t="shared" ca="1" si="14"/>
        <v>ORD-2013-Fra-8219</v>
      </c>
      <c r="B935" t="s">
        <v>17</v>
      </c>
      <c r="C935" t="s">
        <v>24</v>
      </c>
      <c r="D935" t="s">
        <v>28</v>
      </c>
      <c r="E935" t="s">
        <v>47</v>
      </c>
      <c r="F935">
        <v>1403</v>
      </c>
      <c r="G935">
        <v>5</v>
      </c>
      <c r="H935">
        <v>7</v>
      </c>
      <c r="I935">
        <v>9821</v>
      </c>
      <c r="J935">
        <v>589.26</v>
      </c>
      <c r="K935">
        <v>9231.74</v>
      </c>
      <c r="L935">
        <v>7015</v>
      </c>
      <c r="M935">
        <v>2216.7399999999998</v>
      </c>
      <c r="N935" s="1">
        <v>41548</v>
      </c>
      <c r="O935">
        <v>10</v>
      </c>
      <c r="P935" t="s">
        <v>36</v>
      </c>
      <c r="Q935">
        <v>2013</v>
      </c>
    </row>
    <row r="936" spans="1:17" x14ac:dyDescent="0.3">
      <c r="A936" t="str">
        <f t="shared" ca="1" si="14"/>
        <v>ORD-2014-Uni-6368</v>
      </c>
      <c r="B936" t="s">
        <v>30</v>
      </c>
      <c r="C936" t="s">
        <v>37</v>
      </c>
      <c r="D936" t="s">
        <v>28</v>
      </c>
      <c r="E936" t="s">
        <v>47</v>
      </c>
      <c r="F936">
        <v>2723</v>
      </c>
      <c r="G936">
        <v>5</v>
      </c>
      <c r="H936">
        <v>12</v>
      </c>
      <c r="I936">
        <v>32676</v>
      </c>
      <c r="J936">
        <v>1960.56</v>
      </c>
      <c r="K936">
        <v>30715.439999999999</v>
      </c>
      <c r="L936">
        <v>8169</v>
      </c>
      <c r="M936">
        <v>22546.44</v>
      </c>
      <c r="N936" s="1">
        <v>41944</v>
      </c>
      <c r="O936">
        <v>11</v>
      </c>
      <c r="P936" t="s">
        <v>40</v>
      </c>
      <c r="Q936">
        <v>2014</v>
      </c>
    </row>
    <row r="937" spans="1:17" x14ac:dyDescent="0.3">
      <c r="A937" t="str">
        <f t="shared" ca="1" si="14"/>
        <v>ORD-2014-Fra-1966</v>
      </c>
      <c r="B937" t="s">
        <v>17</v>
      </c>
      <c r="C937" t="s">
        <v>24</v>
      </c>
      <c r="D937" t="s">
        <v>38</v>
      </c>
      <c r="E937" t="s">
        <v>47</v>
      </c>
      <c r="F937">
        <v>1496</v>
      </c>
      <c r="G937">
        <v>10</v>
      </c>
      <c r="H937">
        <v>350</v>
      </c>
      <c r="I937">
        <v>523600</v>
      </c>
      <c r="J937">
        <v>31416</v>
      </c>
      <c r="K937">
        <v>492184</v>
      </c>
      <c r="L937">
        <v>388960</v>
      </c>
      <c r="M937">
        <v>103224</v>
      </c>
      <c r="N937" s="1">
        <v>41791</v>
      </c>
      <c r="O937">
        <v>6</v>
      </c>
      <c r="P937" t="s">
        <v>25</v>
      </c>
      <c r="Q937">
        <v>2014</v>
      </c>
    </row>
    <row r="938" spans="1:17" x14ac:dyDescent="0.3">
      <c r="A938" t="str">
        <f t="shared" ca="1" si="14"/>
        <v>ORD-2013-Ca0-2061</v>
      </c>
      <c r="B938" t="s">
        <v>30</v>
      </c>
      <c r="C938" t="s">
        <v>18</v>
      </c>
      <c r="D938" t="s">
        <v>38</v>
      </c>
      <c r="E938" t="s">
        <v>47</v>
      </c>
      <c r="F938">
        <v>2299</v>
      </c>
      <c r="G938">
        <v>10</v>
      </c>
      <c r="H938">
        <v>12</v>
      </c>
      <c r="I938">
        <v>27588</v>
      </c>
      <c r="J938">
        <v>1655.28</v>
      </c>
      <c r="K938">
        <v>25932.720000000001</v>
      </c>
      <c r="L938">
        <v>6897</v>
      </c>
      <c r="M938">
        <v>19035.72</v>
      </c>
      <c r="N938" s="1">
        <v>41548</v>
      </c>
      <c r="O938">
        <v>10</v>
      </c>
      <c r="P938" t="s">
        <v>36</v>
      </c>
      <c r="Q938">
        <v>2013</v>
      </c>
    </row>
    <row r="939" spans="1:17" x14ac:dyDescent="0.3">
      <c r="A939" t="str">
        <f t="shared" ca="1" si="14"/>
        <v>ORD-2013-Uni-4878</v>
      </c>
      <c r="B939" t="s">
        <v>17</v>
      </c>
      <c r="C939" t="s">
        <v>37</v>
      </c>
      <c r="D939" t="s">
        <v>38</v>
      </c>
      <c r="E939" t="s">
        <v>47</v>
      </c>
      <c r="F939">
        <v>727</v>
      </c>
      <c r="G939">
        <v>10</v>
      </c>
      <c r="H939">
        <v>350</v>
      </c>
      <c r="I939">
        <v>254450</v>
      </c>
      <c r="J939">
        <v>15267</v>
      </c>
      <c r="K939">
        <v>239183</v>
      </c>
      <c r="L939">
        <v>189020</v>
      </c>
      <c r="M939">
        <v>50163</v>
      </c>
      <c r="N939" s="1">
        <v>41548</v>
      </c>
      <c r="O939">
        <v>10</v>
      </c>
      <c r="P939" t="s">
        <v>36</v>
      </c>
      <c r="Q939">
        <v>2013</v>
      </c>
    </row>
    <row r="940" spans="1:17" x14ac:dyDescent="0.3">
      <c r="A940" t="str">
        <f t="shared" ca="1" si="14"/>
        <v>ORD-2014-Ca0-2746</v>
      </c>
      <c r="B940" t="s">
        <v>31</v>
      </c>
      <c r="C940" t="s">
        <v>18</v>
      </c>
      <c r="D940" t="s">
        <v>41</v>
      </c>
      <c r="E940" t="s">
        <v>47</v>
      </c>
      <c r="F940">
        <v>952</v>
      </c>
      <c r="G940">
        <v>120</v>
      </c>
      <c r="H940">
        <v>125</v>
      </c>
      <c r="I940">
        <v>119000</v>
      </c>
      <c r="J940">
        <v>7140</v>
      </c>
      <c r="K940">
        <v>111860</v>
      </c>
      <c r="L940">
        <v>114240</v>
      </c>
      <c r="M940">
        <f>K940-L940</f>
        <v>-2380</v>
      </c>
      <c r="N940" s="1">
        <v>41671</v>
      </c>
      <c r="O940">
        <v>2</v>
      </c>
      <c r="P940" t="s">
        <v>39</v>
      </c>
      <c r="Q940">
        <v>2014</v>
      </c>
    </row>
    <row r="941" spans="1:17" x14ac:dyDescent="0.3">
      <c r="A941" t="str">
        <f t="shared" ca="1" si="14"/>
        <v>ORD-2014-Uni-2979</v>
      </c>
      <c r="B941" t="s">
        <v>31</v>
      </c>
      <c r="C941" t="s">
        <v>37</v>
      </c>
      <c r="D941" t="s">
        <v>41</v>
      </c>
      <c r="E941" t="s">
        <v>47</v>
      </c>
      <c r="F941">
        <v>2755</v>
      </c>
      <c r="G941">
        <v>120</v>
      </c>
      <c r="H941">
        <v>125</v>
      </c>
      <c r="I941">
        <v>344375</v>
      </c>
      <c r="J941">
        <v>20662.5</v>
      </c>
      <c r="K941">
        <v>323712.5</v>
      </c>
      <c r="L941">
        <v>330600</v>
      </c>
      <c r="M941">
        <f>K941-L941</f>
        <v>-6887.5</v>
      </c>
      <c r="N941" s="1">
        <v>41671</v>
      </c>
      <c r="O941">
        <v>2</v>
      </c>
      <c r="P941" t="s">
        <v>39</v>
      </c>
      <c r="Q941">
        <v>2014</v>
      </c>
    </row>
    <row r="942" spans="1:17" x14ac:dyDescent="0.3">
      <c r="A942" t="str">
        <f t="shared" ca="1" si="14"/>
        <v>ORD-2014-Ger-5192</v>
      </c>
      <c r="B942" t="s">
        <v>23</v>
      </c>
      <c r="C942" t="s">
        <v>22</v>
      </c>
      <c r="D942" t="s">
        <v>41</v>
      </c>
      <c r="E942" t="s">
        <v>47</v>
      </c>
      <c r="F942">
        <v>1530</v>
      </c>
      <c r="G942">
        <v>120</v>
      </c>
      <c r="H942">
        <v>15</v>
      </c>
      <c r="I942">
        <v>22950</v>
      </c>
      <c r="J942">
        <v>1377</v>
      </c>
      <c r="K942">
        <v>21573</v>
      </c>
      <c r="L942">
        <v>15300</v>
      </c>
      <c r="M942">
        <v>6273</v>
      </c>
      <c r="N942" s="1">
        <v>41760</v>
      </c>
      <c r="O942">
        <v>5</v>
      </c>
      <c r="P942" t="s">
        <v>46</v>
      </c>
      <c r="Q942">
        <v>2014</v>
      </c>
    </row>
    <row r="943" spans="1:17" x14ac:dyDescent="0.3">
      <c r="A943" t="str">
        <f t="shared" ca="1" si="14"/>
        <v>ORD-2014-Fra-9889</v>
      </c>
      <c r="B943" t="s">
        <v>17</v>
      </c>
      <c r="C943" t="s">
        <v>24</v>
      </c>
      <c r="D943" t="s">
        <v>41</v>
      </c>
      <c r="E943" t="s">
        <v>47</v>
      </c>
      <c r="F943">
        <v>1496</v>
      </c>
      <c r="G943">
        <v>120</v>
      </c>
      <c r="H943">
        <v>350</v>
      </c>
      <c r="I943">
        <v>523600</v>
      </c>
      <c r="J943">
        <v>31416</v>
      </c>
      <c r="K943">
        <v>492184</v>
      </c>
      <c r="L943">
        <v>388960</v>
      </c>
      <c r="M943">
        <v>103224</v>
      </c>
      <c r="N943" s="1">
        <v>41791</v>
      </c>
      <c r="O943">
        <v>6</v>
      </c>
      <c r="P943" t="s">
        <v>25</v>
      </c>
      <c r="Q943">
        <v>2014</v>
      </c>
    </row>
    <row r="944" spans="1:17" x14ac:dyDescent="0.3">
      <c r="A944" t="str">
        <f t="shared" ca="1" si="14"/>
        <v>ORD-2014-Mex-7887</v>
      </c>
      <c r="B944" t="s">
        <v>17</v>
      </c>
      <c r="C944" t="s">
        <v>26</v>
      </c>
      <c r="D944" t="s">
        <v>41</v>
      </c>
      <c r="E944" t="s">
        <v>47</v>
      </c>
      <c r="F944">
        <v>1498</v>
      </c>
      <c r="G944">
        <v>120</v>
      </c>
      <c r="H944">
        <v>7</v>
      </c>
      <c r="I944">
        <v>10486</v>
      </c>
      <c r="J944">
        <v>629.16</v>
      </c>
      <c r="K944">
        <v>9856.84</v>
      </c>
      <c r="L944">
        <v>7490</v>
      </c>
      <c r="M944">
        <v>2366.84</v>
      </c>
      <c r="N944" s="1">
        <v>41791</v>
      </c>
      <c r="O944">
        <v>6</v>
      </c>
      <c r="P944" t="s">
        <v>25</v>
      </c>
      <c r="Q944">
        <v>2014</v>
      </c>
    </row>
    <row r="945" spans="1:17" x14ac:dyDescent="0.3">
      <c r="A945" t="str">
        <f t="shared" ca="1" si="14"/>
        <v>ORD-2013-Fra-1078</v>
      </c>
      <c r="B945" t="s">
        <v>33</v>
      </c>
      <c r="C945" t="s">
        <v>24</v>
      </c>
      <c r="D945" t="s">
        <v>41</v>
      </c>
      <c r="E945" t="s">
        <v>47</v>
      </c>
      <c r="F945">
        <v>1221</v>
      </c>
      <c r="G945">
        <v>120</v>
      </c>
      <c r="H945">
        <v>300</v>
      </c>
      <c r="I945">
        <v>366300</v>
      </c>
      <c r="J945">
        <v>21978</v>
      </c>
      <c r="K945">
        <v>344322</v>
      </c>
      <c r="L945">
        <v>305250</v>
      </c>
      <c r="M945">
        <v>39072</v>
      </c>
      <c r="N945" s="1">
        <v>41548</v>
      </c>
      <c r="O945">
        <v>10</v>
      </c>
      <c r="P945" t="s">
        <v>36</v>
      </c>
      <c r="Q945">
        <v>2013</v>
      </c>
    </row>
    <row r="946" spans="1:17" x14ac:dyDescent="0.3">
      <c r="A946" t="str">
        <f t="shared" ca="1" si="14"/>
        <v>ORD-2013-Fra-1850</v>
      </c>
      <c r="B946" t="s">
        <v>17</v>
      </c>
      <c r="C946" t="s">
        <v>24</v>
      </c>
      <c r="D946" t="s">
        <v>41</v>
      </c>
      <c r="E946" t="s">
        <v>47</v>
      </c>
      <c r="F946">
        <v>2076</v>
      </c>
      <c r="G946">
        <v>120</v>
      </c>
      <c r="H946">
        <v>350</v>
      </c>
      <c r="I946">
        <v>726600</v>
      </c>
      <c r="J946">
        <v>43596</v>
      </c>
      <c r="K946">
        <v>683004</v>
      </c>
      <c r="L946">
        <v>539760</v>
      </c>
      <c r="M946">
        <v>143244</v>
      </c>
      <c r="N946" s="1">
        <v>41548</v>
      </c>
      <c r="O946">
        <v>10</v>
      </c>
      <c r="P946" t="s">
        <v>36</v>
      </c>
      <c r="Q946">
        <v>2013</v>
      </c>
    </row>
    <row r="947" spans="1:17" x14ac:dyDescent="0.3">
      <c r="A947" t="str">
        <f t="shared" ca="1" si="14"/>
        <v>ORD-2014-Ca0-8650</v>
      </c>
      <c r="B947" t="s">
        <v>23</v>
      </c>
      <c r="C947" t="s">
        <v>18</v>
      </c>
      <c r="D947" t="s">
        <v>42</v>
      </c>
      <c r="E947" t="s">
        <v>47</v>
      </c>
      <c r="F947">
        <v>2844</v>
      </c>
      <c r="G947">
        <v>250</v>
      </c>
      <c r="H947">
        <v>15</v>
      </c>
      <c r="I947">
        <v>42660</v>
      </c>
      <c r="J947">
        <v>2559.6</v>
      </c>
      <c r="K947">
        <v>40100.400000000001</v>
      </c>
      <c r="L947">
        <v>28440</v>
      </c>
      <c r="M947">
        <v>11660.4</v>
      </c>
      <c r="N947" s="1">
        <v>41791</v>
      </c>
      <c r="O947">
        <v>6</v>
      </c>
      <c r="P947" t="s">
        <v>25</v>
      </c>
      <c r="Q947">
        <v>2014</v>
      </c>
    </row>
    <row r="948" spans="1:17" x14ac:dyDescent="0.3">
      <c r="A948" t="str">
        <f t="shared" ca="1" si="14"/>
        <v>ORD-2014-Mex-1821</v>
      </c>
      <c r="B948" t="s">
        <v>17</v>
      </c>
      <c r="C948" t="s">
        <v>26</v>
      </c>
      <c r="D948" t="s">
        <v>42</v>
      </c>
      <c r="E948" t="s">
        <v>47</v>
      </c>
      <c r="F948">
        <v>1498</v>
      </c>
      <c r="G948">
        <v>250</v>
      </c>
      <c r="H948">
        <v>7</v>
      </c>
      <c r="I948">
        <v>10486</v>
      </c>
      <c r="J948">
        <v>629.16</v>
      </c>
      <c r="K948">
        <v>9856.84</v>
      </c>
      <c r="L948">
        <v>7490</v>
      </c>
      <c r="M948">
        <v>2366.84</v>
      </c>
      <c r="N948" s="1">
        <v>41791</v>
      </c>
      <c r="O948">
        <v>6</v>
      </c>
      <c r="P948" t="s">
        <v>25</v>
      </c>
      <c r="Q948">
        <v>2014</v>
      </c>
    </row>
    <row r="949" spans="1:17" x14ac:dyDescent="0.3">
      <c r="A949" t="str">
        <f t="shared" ca="1" si="14"/>
        <v>ORD-2013-Fra-2470</v>
      </c>
      <c r="B949" t="s">
        <v>33</v>
      </c>
      <c r="C949" t="s">
        <v>24</v>
      </c>
      <c r="D949" t="s">
        <v>42</v>
      </c>
      <c r="E949" t="s">
        <v>47</v>
      </c>
      <c r="F949">
        <v>1221</v>
      </c>
      <c r="G949">
        <v>250</v>
      </c>
      <c r="H949">
        <v>300</v>
      </c>
      <c r="I949">
        <v>366300</v>
      </c>
      <c r="J949">
        <v>21978</v>
      </c>
      <c r="K949">
        <v>344322</v>
      </c>
      <c r="L949">
        <v>305250</v>
      </c>
      <c r="M949">
        <v>39072</v>
      </c>
      <c r="N949" s="1">
        <v>41548</v>
      </c>
      <c r="O949">
        <v>10</v>
      </c>
      <c r="P949" t="s">
        <v>36</v>
      </c>
      <c r="Q949">
        <v>2013</v>
      </c>
    </row>
    <row r="950" spans="1:17" x14ac:dyDescent="0.3">
      <c r="A950" t="str">
        <f t="shared" ca="1" si="14"/>
        <v>ORD-2013-Mex-1332</v>
      </c>
      <c r="B950" t="s">
        <v>17</v>
      </c>
      <c r="C950" t="s">
        <v>26</v>
      </c>
      <c r="D950" t="s">
        <v>42</v>
      </c>
      <c r="E950" t="s">
        <v>47</v>
      </c>
      <c r="F950">
        <v>1123</v>
      </c>
      <c r="G950">
        <v>250</v>
      </c>
      <c r="H950">
        <v>20</v>
      </c>
      <c r="I950">
        <v>22460</v>
      </c>
      <c r="J950">
        <v>1347.6</v>
      </c>
      <c r="K950">
        <v>21112.400000000001</v>
      </c>
      <c r="L950">
        <v>11230</v>
      </c>
      <c r="M950">
        <v>9882.4</v>
      </c>
      <c r="N950" s="1">
        <v>41579</v>
      </c>
      <c r="O950">
        <v>11</v>
      </c>
      <c r="P950" t="s">
        <v>40</v>
      </c>
      <c r="Q950">
        <v>2013</v>
      </c>
    </row>
    <row r="951" spans="1:17" x14ac:dyDescent="0.3">
      <c r="A951" t="str">
        <f t="shared" ca="1" si="14"/>
        <v>ORD-2013-Ca0-8315</v>
      </c>
      <c r="B951" t="s">
        <v>33</v>
      </c>
      <c r="C951" t="s">
        <v>18</v>
      </c>
      <c r="D951" t="s">
        <v>42</v>
      </c>
      <c r="E951" t="s">
        <v>47</v>
      </c>
      <c r="F951">
        <v>2436</v>
      </c>
      <c r="G951">
        <v>250</v>
      </c>
      <c r="H951">
        <v>300</v>
      </c>
      <c r="I951">
        <v>730800</v>
      </c>
      <c r="J951">
        <v>43848</v>
      </c>
      <c r="K951">
        <v>686952</v>
      </c>
      <c r="L951">
        <v>609000</v>
      </c>
      <c r="M951">
        <v>77952</v>
      </c>
      <c r="N951" s="1">
        <v>41609</v>
      </c>
      <c r="O951">
        <v>12</v>
      </c>
      <c r="P951" t="s">
        <v>27</v>
      </c>
      <c r="Q951">
        <v>2013</v>
      </c>
    </row>
    <row r="952" spans="1:17" x14ac:dyDescent="0.3">
      <c r="A952" t="str">
        <f t="shared" ca="1" si="14"/>
        <v>ORD-2014-Fra-9575</v>
      </c>
      <c r="B952" t="s">
        <v>31</v>
      </c>
      <c r="C952" t="s">
        <v>24</v>
      </c>
      <c r="D952" t="s">
        <v>44</v>
      </c>
      <c r="E952" t="s">
        <v>47</v>
      </c>
      <c r="F952">
        <v>1987.5</v>
      </c>
      <c r="G952">
        <v>260</v>
      </c>
      <c r="H952">
        <v>125</v>
      </c>
      <c r="I952">
        <v>248437.5</v>
      </c>
      <c r="J952">
        <v>14906.25</v>
      </c>
      <c r="K952">
        <v>233531.25</v>
      </c>
      <c r="L952">
        <v>238500</v>
      </c>
      <c r="M952">
        <f>K952-L952</f>
        <v>-4968.75</v>
      </c>
      <c r="N952" s="1">
        <v>41640</v>
      </c>
      <c r="O952">
        <v>1</v>
      </c>
      <c r="P952" t="s">
        <v>21</v>
      </c>
      <c r="Q952">
        <v>2014</v>
      </c>
    </row>
    <row r="953" spans="1:17" x14ac:dyDescent="0.3">
      <c r="A953" t="str">
        <f t="shared" ca="1" si="14"/>
        <v>ORD-2014-Mex-8705</v>
      </c>
      <c r="B953" t="s">
        <v>17</v>
      </c>
      <c r="C953" t="s">
        <v>26</v>
      </c>
      <c r="D953" t="s">
        <v>44</v>
      </c>
      <c r="E953" t="s">
        <v>47</v>
      </c>
      <c r="F953">
        <v>1679</v>
      </c>
      <c r="G953">
        <v>260</v>
      </c>
      <c r="H953">
        <v>350</v>
      </c>
      <c r="I953">
        <v>587650</v>
      </c>
      <c r="J953">
        <v>35259</v>
      </c>
      <c r="K953">
        <v>552391</v>
      </c>
      <c r="L953">
        <v>436540</v>
      </c>
      <c r="M953">
        <v>115851</v>
      </c>
      <c r="N953" s="1">
        <v>41883</v>
      </c>
      <c r="O953">
        <v>9</v>
      </c>
      <c r="P953" t="s">
        <v>35</v>
      </c>
      <c r="Q953">
        <v>2014</v>
      </c>
    </row>
    <row r="954" spans="1:17" x14ac:dyDescent="0.3">
      <c r="A954" t="str">
        <f t="shared" ca="1" si="14"/>
        <v>ORD-2013-Uni-7459</v>
      </c>
      <c r="B954" t="s">
        <v>17</v>
      </c>
      <c r="C954" t="s">
        <v>37</v>
      </c>
      <c r="D954" t="s">
        <v>44</v>
      </c>
      <c r="E954" t="s">
        <v>47</v>
      </c>
      <c r="F954">
        <v>727</v>
      </c>
      <c r="G954">
        <v>260</v>
      </c>
      <c r="H954">
        <v>350</v>
      </c>
      <c r="I954">
        <v>254450</v>
      </c>
      <c r="J954">
        <v>15267</v>
      </c>
      <c r="K954">
        <v>239183</v>
      </c>
      <c r="L954">
        <v>189020</v>
      </c>
      <c r="M954">
        <v>50163</v>
      </c>
      <c r="N954" s="1">
        <v>41548</v>
      </c>
      <c r="O954">
        <v>10</v>
      </c>
      <c r="P954" t="s">
        <v>36</v>
      </c>
      <c r="Q954">
        <v>2013</v>
      </c>
    </row>
    <row r="955" spans="1:17" x14ac:dyDescent="0.3">
      <c r="A955" t="str">
        <f t="shared" ca="1" si="14"/>
        <v>ORD-2013-Fra-6072</v>
      </c>
      <c r="B955" t="s">
        <v>17</v>
      </c>
      <c r="C955" t="s">
        <v>24</v>
      </c>
      <c r="D955" t="s">
        <v>44</v>
      </c>
      <c r="E955" t="s">
        <v>47</v>
      </c>
      <c r="F955">
        <v>1403</v>
      </c>
      <c r="G955">
        <v>260</v>
      </c>
      <c r="H955">
        <v>7</v>
      </c>
      <c r="I955">
        <v>9821</v>
      </c>
      <c r="J955">
        <v>589.26</v>
      </c>
      <c r="K955">
        <v>9231.74</v>
      </c>
      <c r="L955">
        <v>7015</v>
      </c>
      <c r="M955">
        <v>2216.7399999999998</v>
      </c>
      <c r="N955" s="1">
        <v>41548</v>
      </c>
      <c r="O955">
        <v>10</v>
      </c>
      <c r="P955" t="s">
        <v>36</v>
      </c>
      <c r="Q955">
        <v>2013</v>
      </c>
    </row>
    <row r="956" spans="1:17" x14ac:dyDescent="0.3">
      <c r="A956" t="str">
        <f t="shared" ca="1" si="14"/>
        <v>ORD-2013-Fra-5731</v>
      </c>
      <c r="B956" t="s">
        <v>17</v>
      </c>
      <c r="C956" t="s">
        <v>24</v>
      </c>
      <c r="D956" t="s">
        <v>44</v>
      </c>
      <c r="E956" t="s">
        <v>47</v>
      </c>
      <c r="F956">
        <v>2076</v>
      </c>
      <c r="G956">
        <v>260</v>
      </c>
      <c r="H956">
        <v>350</v>
      </c>
      <c r="I956">
        <v>726600</v>
      </c>
      <c r="J956">
        <v>43596</v>
      </c>
      <c r="K956">
        <v>683004</v>
      </c>
      <c r="L956">
        <v>539760</v>
      </c>
      <c r="M956">
        <v>143244</v>
      </c>
      <c r="N956" s="1">
        <v>41548</v>
      </c>
      <c r="O956">
        <v>10</v>
      </c>
      <c r="P956" t="s">
        <v>36</v>
      </c>
      <c r="Q956">
        <v>2013</v>
      </c>
    </row>
    <row r="957" spans="1:17" x14ac:dyDescent="0.3">
      <c r="A957" t="str">
        <f t="shared" ca="1" si="14"/>
        <v>ORD-2013-Fra-7361</v>
      </c>
      <c r="B957" t="s">
        <v>17</v>
      </c>
      <c r="C957" t="s">
        <v>24</v>
      </c>
      <c r="D957" t="s">
        <v>28</v>
      </c>
      <c r="E957" t="s">
        <v>47</v>
      </c>
      <c r="F957">
        <v>1757</v>
      </c>
      <c r="G957">
        <v>5</v>
      </c>
      <c r="H957">
        <v>20</v>
      </c>
      <c r="I957">
        <v>35140</v>
      </c>
      <c r="J957">
        <v>2108.4</v>
      </c>
      <c r="K957">
        <v>33031.599999999999</v>
      </c>
      <c r="L957">
        <v>17570</v>
      </c>
      <c r="M957">
        <v>15461.6</v>
      </c>
      <c r="N957" s="1">
        <v>41548</v>
      </c>
      <c r="O957">
        <v>10</v>
      </c>
      <c r="P957" t="s">
        <v>36</v>
      </c>
      <c r="Q957">
        <v>2013</v>
      </c>
    </row>
    <row r="958" spans="1:17" x14ac:dyDescent="0.3">
      <c r="A958" t="str">
        <f t="shared" ca="1" si="14"/>
        <v>ORD-2014-Uni-7111</v>
      </c>
      <c r="B958" t="s">
        <v>23</v>
      </c>
      <c r="C958" t="s">
        <v>37</v>
      </c>
      <c r="D958" t="s">
        <v>38</v>
      </c>
      <c r="E958" t="s">
        <v>47</v>
      </c>
      <c r="F958">
        <v>2198</v>
      </c>
      <c r="G958">
        <v>10</v>
      </c>
      <c r="H958">
        <v>15</v>
      </c>
      <c r="I958">
        <v>32970</v>
      </c>
      <c r="J958">
        <v>1978.2</v>
      </c>
      <c r="K958">
        <v>30991.8</v>
      </c>
      <c r="L958">
        <v>21980</v>
      </c>
      <c r="M958">
        <v>9011.7999999999993</v>
      </c>
      <c r="N958" s="1">
        <v>41852</v>
      </c>
      <c r="O958">
        <v>8</v>
      </c>
      <c r="P958" t="s">
        <v>34</v>
      </c>
      <c r="Q958">
        <v>2014</v>
      </c>
    </row>
    <row r="959" spans="1:17" x14ac:dyDescent="0.3">
      <c r="A959" t="str">
        <f t="shared" ca="1" si="14"/>
        <v>ORD-2014-Ger-6472</v>
      </c>
      <c r="B959" t="s">
        <v>23</v>
      </c>
      <c r="C959" t="s">
        <v>22</v>
      </c>
      <c r="D959" t="s">
        <v>38</v>
      </c>
      <c r="E959" t="s">
        <v>47</v>
      </c>
      <c r="F959">
        <v>1743</v>
      </c>
      <c r="G959">
        <v>10</v>
      </c>
      <c r="H959">
        <v>15</v>
      </c>
      <c r="I959">
        <v>26145</v>
      </c>
      <c r="J959">
        <v>1568.7</v>
      </c>
      <c r="K959">
        <v>24576.3</v>
      </c>
      <c r="L959">
        <v>17430</v>
      </c>
      <c r="M959">
        <v>7146.3</v>
      </c>
      <c r="N959" s="1">
        <v>41852</v>
      </c>
      <c r="O959">
        <v>8</v>
      </c>
      <c r="P959" t="s">
        <v>34</v>
      </c>
      <c r="Q959">
        <v>2014</v>
      </c>
    </row>
    <row r="960" spans="1:17" x14ac:dyDescent="0.3">
      <c r="A960" t="str">
        <f t="shared" ca="1" si="14"/>
        <v>ORD-2014-Uni-6910</v>
      </c>
      <c r="B960" t="s">
        <v>23</v>
      </c>
      <c r="C960" t="s">
        <v>37</v>
      </c>
      <c r="D960" t="s">
        <v>38</v>
      </c>
      <c r="E960" t="s">
        <v>47</v>
      </c>
      <c r="F960">
        <v>1153</v>
      </c>
      <c r="G960">
        <v>10</v>
      </c>
      <c r="H960">
        <v>15</v>
      </c>
      <c r="I960">
        <v>17295</v>
      </c>
      <c r="J960">
        <v>1037.7</v>
      </c>
      <c r="K960">
        <v>16257.3</v>
      </c>
      <c r="L960">
        <v>11530</v>
      </c>
      <c r="M960">
        <v>4727.3</v>
      </c>
      <c r="N960" s="1">
        <v>41913</v>
      </c>
      <c r="O960">
        <v>10</v>
      </c>
      <c r="P960" t="s">
        <v>36</v>
      </c>
      <c r="Q960">
        <v>2014</v>
      </c>
    </row>
    <row r="961" spans="1:17" x14ac:dyDescent="0.3">
      <c r="A961" t="str">
        <f t="shared" ca="1" si="14"/>
        <v>ORD-2013-Fra-5843</v>
      </c>
      <c r="B961" t="s">
        <v>17</v>
      </c>
      <c r="C961" t="s">
        <v>24</v>
      </c>
      <c r="D961" t="s">
        <v>38</v>
      </c>
      <c r="E961" t="s">
        <v>47</v>
      </c>
      <c r="F961">
        <v>1757</v>
      </c>
      <c r="G961">
        <v>10</v>
      </c>
      <c r="H961">
        <v>20</v>
      </c>
      <c r="I961">
        <v>35140</v>
      </c>
      <c r="J961">
        <v>2108.4</v>
      </c>
      <c r="K961">
        <v>33031.599999999999</v>
      </c>
      <c r="L961">
        <v>17570</v>
      </c>
      <c r="M961">
        <v>15461.6</v>
      </c>
      <c r="N961" s="1">
        <v>41548</v>
      </c>
      <c r="O961">
        <v>10</v>
      </c>
      <c r="P961" t="s">
        <v>36</v>
      </c>
      <c r="Q961">
        <v>2013</v>
      </c>
    </row>
    <row r="962" spans="1:17" x14ac:dyDescent="0.3">
      <c r="A962" t="str">
        <f t="shared" ca="1" si="14"/>
        <v>ORD-2014-Ger-1221</v>
      </c>
      <c r="B962" t="s">
        <v>17</v>
      </c>
      <c r="C962" t="s">
        <v>22</v>
      </c>
      <c r="D962" t="s">
        <v>41</v>
      </c>
      <c r="E962" t="s">
        <v>47</v>
      </c>
      <c r="F962">
        <v>1001</v>
      </c>
      <c r="G962">
        <v>120</v>
      </c>
      <c r="H962">
        <v>20</v>
      </c>
      <c r="I962">
        <v>20020</v>
      </c>
      <c r="J962">
        <v>1201.2</v>
      </c>
      <c r="K962">
        <v>18818.8</v>
      </c>
      <c r="L962">
        <v>10010</v>
      </c>
      <c r="M962">
        <v>8808.7999999999993</v>
      </c>
      <c r="N962" s="1">
        <v>41852</v>
      </c>
      <c r="O962">
        <v>8</v>
      </c>
      <c r="P962" t="s">
        <v>34</v>
      </c>
      <c r="Q962">
        <v>2014</v>
      </c>
    </row>
    <row r="963" spans="1:17" x14ac:dyDescent="0.3">
      <c r="A963" t="str">
        <f t="shared" ref="A963:A1026" ca="1" si="15">"ORD-" &amp; YEAR(N963) &amp; "-"  &amp; LEFT(C963,3) &amp; "-" &amp; RANDBETWEEN(1000,9999)</f>
        <v>ORD-2014-Mex-2638</v>
      </c>
      <c r="B963" t="s">
        <v>17</v>
      </c>
      <c r="C963" t="s">
        <v>26</v>
      </c>
      <c r="D963" t="s">
        <v>41</v>
      </c>
      <c r="E963" t="s">
        <v>47</v>
      </c>
      <c r="F963">
        <v>1333</v>
      </c>
      <c r="G963">
        <v>120</v>
      </c>
      <c r="H963">
        <v>7</v>
      </c>
      <c r="I963">
        <v>9331</v>
      </c>
      <c r="J963">
        <v>559.86</v>
      </c>
      <c r="K963">
        <v>8771.14</v>
      </c>
      <c r="L963">
        <v>6665</v>
      </c>
      <c r="M963">
        <v>2106.14</v>
      </c>
      <c r="N963" s="1">
        <v>41944</v>
      </c>
      <c r="O963">
        <v>11</v>
      </c>
      <c r="P963" t="s">
        <v>40</v>
      </c>
      <c r="Q963">
        <v>2014</v>
      </c>
    </row>
    <row r="964" spans="1:17" x14ac:dyDescent="0.3">
      <c r="A964" t="str">
        <f t="shared" ca="1" si="15"/>
        <v>ORD-2014-Uni-6722</v>
      </c>
      <c r="B964" t="s">
        <v>23</v>
      </c>
      <c r="C964" t="s">
        <v>37</v>
      </c>
      <c r="D964" t="s">
        <v>42</v>
      </c>
      <c r="E964" t="s">
        <v>47</v>
      </c>
      <c r="F964">
        <v>1153</v>
      </c>
      <c r="G964">
        <v>250</v>
      </c>
      <c r="H964">
        <v>15</v>
      </c>
      <c r="I964">
        <v>17295</v>
      </c>
      <c r="J964">
        <v>1037.7</v>
      </c>
      <c r="K964">
        <v>16257.3</v>
      </c>
      <c r="L964">
        <v>11530</v>
      </c>
      <c r="M964">
        <v>4727.3</v>
      </c>
      <c r="N964" s="1">
        <v>41913</v>
      </c>
      <c r="O964">
        <v>10</v>
      </c>
      <c r="P964" t="s">
        <v>36</v>
      </c>
      <c r="Q964">
        <v>2014</v>
      </c>
    </row>
    <row r="965" spans="1:17" x14ac:dyDescent="0.3">
      <c r="A965" t="str">
        <f t="shared" ca="1" si="15"/>
        <v>ORD-2014-Mex-1695</v>
      </c>
      <c r="B965" t="s">
        <v>30</v>
      </c>
      <c r="C965" t="s">
        <v>26</v>
      </c>
      <c r="D965" t="s">
        <v>19</v>
      </c>
      <c r="E965" t="s">
        <v>47</v>
      </c>
      <c r="F965">
        <v>727</v>
      </c>
      <c r="G965">
        <v>3</v>
      </c>
      <c r="H965">
        <v>12</v>
      </c>
      <c r="I965">
        <v>8724</v>
      </c>
      <c r="J965">
        <v>610.67999999999995</v>
      </c>
      <c r="K965">
        <v>8113.32</v>
      </c>
      <c r="L965">
        <v>2181</v>
      </c>
      <c r="M965">
        <v>5932.32</v>
      </c>
      <c r="N965" s="1">
        <v>41671</v>
      </c>
      <c r="O965">
        <v>2</v>
      </c>
      <c r="P965" t="s">
        <v>39</v>
      </c>
      <c r="Q965">
        <v>2014</v>
      </c>
    </row>
    <row r="966" spans="1:17" x14ac:dyDescent="0.3">
      <c r="A966" t="str">
        <f t="shared" ca="1" si="15"/>
        <v>ORD-2014-Ca0-8756</v>
      </c>
      <c r="B966" t="s">
        <v>30</v>
      </c>
      <c r="C966" t="s">
        <v>18</v>
      </c>
      <c r="D966" t="s">
        <v>19</v>
      </c>
      <c r="E966" t="s">
        <v>47</v>
      </c>
      <c r="F966">
        <v>1884</v>
      </c>
      <c r="G966">
        <v>3</v>
      </c>
      <c r="H966">
        <v>12</v>
      </c>
      <c r="I966">
        <v>22608</v>
      </c>
      <c r="J966">
        <v>1582.56</v>
      </c>
      <c r="K966">
        <v>21025.439999999999</v>
      </c>
      <c r="L966">
        <v>5652</v>
      </c>
      <c r="M966">
        <v>15373.44</v>
      </c>
      <c r="N966" s="1">
        <v>41852</v>
      </c>
      <c r="O966">
        <v>8</v>
      </c>
      <c r="P966" t="s">
        <v>34</v>
      </c>
      <c r="Q966">
        <v>2014</v>
      </c>
    </row>
    <row r="967" spans="1:17" x14ac:dyDescent="0.3">
      <c r="A967" t="str">
        <f t="shared" ca="1" si="15"/>
        <v>ORD-2013-Mex-1479</v>
      </c>
      <c r="B967" t="s">
        <v>17</v>
      </c>
      <c r="C967" t="s">
        <v>26</v>
      </c>
      <c r="D967" t="s">
        <v>19</v>
      </c>
      <c r="E967" t="s">
        <v>47</v>
      </c>
      <c r="F967">
        <v>1834</v>
      </c>
      <c r="G967">
        <v>3</v>
      </c>
      <c r="H967">
        <v>20</v>
      </c>
      <c r="I967">
        <v>36680</v>
      </c>
      <c r="J967">
        <v>2567.6</v>
      </c>
      <c r="K967">
        <v>34112.400000000001</v>
      </c>
      <c r="L967">
        <v>18340</v>
      </c>
      <c r="M967">
        <v>15772.4</v>
      </c>
      <c r="N967" s="1">
        <v>41518</v>
      </c>
      <c r="O967">
        <v>9</v>
      </c>
      <c r="P967" t="s">
        <v>35</v>
      </c>
      <c r="Q967">
        <v>2013</v>
      </c>
    </row>
    <row r="968" spans="1:17" x14ac:dyDescent="0.3">
      <c r="A968" t="str">
        <f t="shared" ca="1" si="15"/>
        <v>ORD-2014-Mex-4595</v>
      </c>
      <c r="B968" t="s">
        <v>30</v>
      </c>
      <c r="C968" t="s">
        <v>26</v>
      </c>
      <c r="D968" t="s">
        <v>28</v>
      </c>
      <c r="E968" t="s">
        <v>47</v>
      </c>
      <c r="F968">
        <v>2340</v>
      </c>
      <c r="G968">
        <v>5</v>
      </c>
      <c r="H968">
        <v>12</v>
      </c>
      <c r="I968">
        <v>28080</v>
      </c>
      <c r="J968">
        <v>1965.6</v>
      </c>
      <c r="K968">
        <v>26114.400000000001</v>
      </c>
      <c r="L968">
        <v>7020</v>
      </c>
      <c r="M968">
        <v>19094.400000000001</v>
      </c>
      <c r="N968" s="1">
        <v>41640</v>
      </c>
      <c r="O968">
        <v>1</v>
      </c>
      <c r="P968" t="s">
        <v>21</v>
      </c>
      <c r="Q968">
        <v>2014</v>
      </c>
    </row>
    <row r="969" spans="1:17" x14ac:dyDescent="0.3">
      <c r="A969" t="str">
        <f t="shared" ca="1" si="15"/>
        <v>ORD-2014-Fra-3263</v>
      </c>
      <c r="B969" t="s">
        <v>30</v>
      </c>
      <c r="C969" t="s">
        <v>24</v>
      </c>
      <c r="D969" t="s">
        <v>28</v>
      </c>
      <c r="E969" t="s">
        <v>47</v>
      </c>
      <c r="F969">
        <v>2342</v>
      </c>
      <c r="G969">
        <v>5</v>
      </c>
      <c r="H969">
        <v>12</v>
      </c>
      <c r="I969">
        <v>28104</v>
      </c>
      <c r="J969">
        <v>1967.28</v>
      </c>
      <c r="K969">
        <v>26136.720000000001</v>
      </c>
      <c r="L969">
        <v>7026</v>
      </c>
      <c r="M969">
        <v>19110.72</v>
      </c>
      <c r="N969" s="1">
        <v>41944</v>
      </c>
      <c r="O969">
        <v>11</v>
      </c>
      <c r="P969" t="s">
        <v>40</v>
      </c>
      <c r="Q969">
        <v>2014</v>
      </c>
    </row>
    <row r="970" spans="1:17" x14ac:dyDescent="0.3">
      <c r="A970" t="str">
        <f t="shared" ca="1" si="15"/>
        <v>ORD-2013-Fra-1479</v>
      </c>
      <c r="B970" t="s">
        <v>17</v>
      </c>
      <c r="C970" t="s">
        <v>24</v>
      </c>
      <c r="D970" t="s">
        <v>38</v>
      </c>
      <c r="E970" t="s">
        <v>47</v>
      </c>
      <c r="F970">
        <v>1031</v>
      </c>
      <c r="G970">
        <v>10</v>
      </c>
      <c r="H970">
        <v>7</v>
      </c>
      <c r="I970">
        <v>7217</v>
      </c>
      <c r="J970">
        <v>505.19</v>
      </c>
      <c r="K970">
        <v>6711.81</v>
      </c>
      <c r="L970">
        <v>5155</v>
      </c>
      <c r="M970">
        <v>1556.81</v>
      </c>
      <c r="N970" s="1">
        <v>41518</v>
      </c>
      <c r="O970">
        <v>9</v>
      </c>
      <c r="P970" t="s">
        <v>35</v>
      </c>
      <c r="Q970">
        <v>2013</v>
      </c>
    </row>
    <row r="971" spans="1:17" x14ac:dyDescent="0.3">
      <c r="A971" t="str">
        <f t="shared" ca="1" si="15"/>
        <v>ORD-2014-Ger-9298</v>
      </c>
      <c r="B971" t="s">
        <v>31</v>
      </c>
      <c r="C971" t="s">
        <v>22</v>
      </c>
      <c r="D971" t="s">
        <v>38</v>
      </c>
      <c r="E971" t="s">
        <v>47</v>
      </c>
      <c r="F971">
        <v>3513</v>
      </c>
      <c r="G971">
        <v>10</v>
      </c>
      <c r="H971">
        <v>125</v>
      </c>
      <c r="I971">
        <v>439125</v>
      </c>
      <c r="J971">
        <v>30738.75</v>
      </c>
      <c r="K971">
        <v>408386.25</v>
      </c>
      <c r="L971">
        <v>421560</v>
      </c>
      <c r="M971">
        <f>K971-L971</f>
        <v>-13173.75</v>
      </c>
      <c r="N971" s="1">
        <v>41821</v>
      </c>
      <c r="O971">
        <v>7</v>
      </c>
      <c r="P971" t="s">
        <v>32</v>
      </c>
      <c r="Q971">
        <v>2014</v>
      </c>
    </row>
    <row r="972" spans="1:17" x14ac:dyDescent="0.3">
      <c r="A972" t="str">
        <f t="shared" ca="1" si="15"/>
        <v>ORD-2014-Fra-3340</v>
      </c>
      <c r="B972" t="s">
        <v>23</v>
      </c>
      <c r="C972" t="s">
        <v>24</v>
      </c>
      <c r="D972" t="s">
        <v>38</v>
      </c>
      <c r="E972" t="s">
        <v>47</v>
      </c>
      <c r="F972">
        <v>2101</v>
      </c>
      <c r="G972">
        <v>10</v>
      </c>
      <c r="H972">
        <v>15</v>
      </c>
      <c r="I972">
        <v>31515</v>
      </c>
      <c r="J972">
        <v>2206.0500000000002</v>
      </c>
      <c r="K972">
        <v>29308.95</v>
      </c>
      <c r="L972">
        <v>21010</v>
      </c>
      <c r="M972">
        <v>8298.9500000000007</v>
      </c>
      <c r="N972" s="1">
        <v>41852</v>
      </c>
      <c r="O972">
        <v>8</v>
      </c>
      <c r="P972" t="s">
        <v>34</v>
      </c>
      <c r="Q972">
        <v>2014</v>
      </c>
    </row>
    <row r="973" spans="1:17" x14ac:dyDescent="0.3">
      <c r="A973" t="str">
        <f t="shared" ca="1" si="15"/>
        <v>ORD-2013-Uni-1932</v>
      </c>
      <c r="B973" t="s">
        <v>23</v>
      </c>
      <c r="C973" t="s">
        <v>37</v>
      </c>
      <c r="D973" t="s">
        <v>38</v>
      </c>
      <c r="E973" t="s">
        <v>47</v>
      </c>
      <c r="F973">
        <v>2931</v>
      </c>
      <c r="G973">
        <v>10</v>
      </c>
      <c r="H973">
        <v>15</v>
      </c>
      <c r="I973">
        <v>43965</v>
      </c>
      <c r="J973">
        <v>3077.55</v>
      </c>
      <c r="K973">
        <v>40887.449999999997</v>
      </c>
      <c r="L973">
        <v>29310</v>
      </c>
      <c r="M973">
        <v>11577.45</v>
      </c>
      <c r="N973" s="1">
        <v>41518</v>
      </c>
      <c r="O973">
        <v>9</v>
      </c>
      <c r="P973" t="s">
        <v>35</v>
      </c>
      <c r="Q973">
        <v>2013</v>
      </c>
    </row>
    <row r="974" spans="1:17" x14ac:dyDescent="0.3">
      <c r="A974" t="str">
        <f t="shared" ca="1" si="15"/>
        <v>ORD-2014-Fra-5352</v>
      </c>
      <c r="B974" t="s">
        <v>17</v>
      </c>
      <c r="C974" t="s">
        <v>24</v>
      </c>
      <c r="D974" t="s">
        <v>38</v>
      </c>
      <c r="E974" t="s">
        <v>47</v>
      </c>
      <c r="F974">
        <v>1535</v>
      </c>
      <c r="G974">
        <v>10</v>
      </c>
      <c r="H974">
        <v>20</v>
      </c>
      <c r="I974">
        <v>30700</v>
      </c>
      <c r="J974">
        <v>2149</v>
      </c>
      <c r="K974">
        <v>28551</v>
      </c>
      <c r="L974">
        <v>15350</v>
      </c>
      <c r="M974">
        <v>13201</v>
      </c>
      <c r="N974" s="1">
        <v>41883</v>
      </c>
      <c r="O974">
        <v>9</v>
      </c>
      <c r="P974" t="s">
        <v>35</v>
      </c>
      <c r="Q974">
        <v>2014</v>
      </c>
    </row>
    <row r="975" spans="1:17" x14ac:dyDescent="0.3">
      <c r="A975" t="str">
        <f t="shared" ca="1" si="15"/>
        <v>ORD-2013-Ger-2505</v>
      </c>
      <c r="B975" t="s">
        <v>33</v>
      </c>
      <c r="C975" t="s">
        <v>22</v>
      </c>
      <c r="D975" t="s">
        <v>38</v>
      </c>
      <c r="E975" t="s">
        <v>47</v>
      </c>
      <c r="F975">
        <v>1123</v>
      </c>
      <c r="G975">
        <v>10</v>
      </c>
      <c r="H975">
        <v>300</v>
      </c>
      <c r="I975">
        <v>336900</v>
      </c>
      <c r="J975">
        <v>23583</v>
      </c>
      <c r="K975">
        <v>313317</v>
      </c>
      <c r="L975">
        <v>280750</v>
      </c>
      <c r="M975">
        <v>32567</v>
      </c>
      <c r="N975" s="1">
        <v>41518</v>
      </c>
      <c r="O975">
        <v>9</v>
      </c>
      <c r="P975" t="s">
        <v>35</v>
      </c>
      <c r="Q975">
        <v>2013</v>
      </c>
    </row>
    <row r="976" spans="1:17" x14ac:dyDescent="0.3">
      <c r="A976" t="str">
        <f t="shared" ca="1" si="15"/>
        <v>ORD-2013-Ca0-7099</v>
      </c>
      <c r="B976" t="s">
        <v>33</v>
      </c>
      <c r="C976" t="s">
        <v>18</v>
      </c>
      <c r="D976" t="s">
        <v>38</v>
      </c>
      <c r="E976" t="s">
        <v>47</v>
      </c>
      <c r="F976">
        <v>1404</v>
      </c>
      <c r="G976">
        <v>10</v>
      </c>
      <c r="H976">
        <v>300</v>
      </c>
      <c r="I976">
        <v>421200</v>
      </c>
      <c r="J976">
        <v>29484</v>
      </c>
      <c r="K976">
        <v>391716</v>
      </c>
      <c r="L976">
        <v>351000</v>
      </c>
      <c r="M976">
        <v>40716</v>
      </c>
      <c r="N976" s="1">
        <v>41579</v>
      </c>
      <c r="O976">
        <v>11</v>
      </c>
      <c r="P976" t="s">
        <v>40</v>
      </c>
      <c r="Q976">
        <v>2013</v>
      </c>
    </row>
    <row r="977" spans="1:17" x14ac:dyDescent="0.3">
      <c r="A977" t="str">
        <f t="shared" ca="1" si="15"/>
        <v>ORD-2013-Mex-3721</v>
      </c>
      <c r="B977" t="s">
        <v>30</v>
      </c>
      <c r="C977" t="s">
        <v>26</v>
      </c>
      <c r="D977" t="s">
        <v>38</v>
      </c>
      <c r="E977" t="s">
        <v>47</v>
      </c>
      <c r="F977">
        <v>2763</v>
      </c>
      <c r="G977">
        <v>10</v>
      </c>
      <c r="H977">
        <v>12</v>
      </c>
      <c r="I977">
        <v>33156</v>
      </c>
      <c r="J977">
        <v>2320.92</v>
      </c>
      <c r="K977">
        <v>30835.08</v>
      </c>
      <c r="L977">
        <v>8289</v>
      </c>
      <c r="M977">
        <v>22546.080000000002</v>
      </c>
      <c r="N977" s="1">
        <v>41579</v>
      </c>
      <c r="O977">
        <v>11</v>
      </c>
      <c r="P977" t="s">
        <v>40</v>
      </c>
      <c r="Q977">
        <v>2013</v>
      </c>
    </row>
    <row r="978" spans="1:17" x14ac:dyDescent="0.3">
      <c r="A978" t="str">
        <f t="shared" ca="1" si="15"/>
        <v>ORD-2013-Ger-8096</v>
      </c>
      <c r="B978" t="s">
        <v>17</v>
      </c>
      <c r="C978" t="s">
        <v>22</v>
      </c>
      <c r="D978" t="s">
        <v>38</v>
      </c>
      <c r="E978" t="s">
        <v>47</v>
      </c>
      <c r="F978">
        <v>2125</v>
      </c>
      <c r="G978">
        <v>10</v>
      </c>
      <c r="H978">
        <v>7</v>
      </c>
      <c r="I978">
        <v>14875</v>
      </c>
      <c r="J978">
        <v>1041.25</v>
      </c>
      <c r="K978">
        <v>13833.75</v>
      </c>
      <c r="L978">
        <v>10625</v>
      </c>
      <c r="M978">
        <v>3208.75</v>
      </c>
      <c r="N978" s="1">
        <v>41609</v>
      </c>
      <c r="O978">
        <v>12</v>
      </c>
      <c r="P978" t="s">
        <v>27</v>
      </c>
      <c r="Q978">
        <v>2013</v>
      </c>
    </row>
    <row r="979" spans="1:17" x14ac:dyDescent="0.3">
      <c r="A979" t="str">
        <f t="shared" ca="1" si="15"/>
        <v>ORD-2014-Fra-7386</v>
      </c>
      <c r="B979" t="s">
        <v>33</v>
      </c>
      <c r="C979" t="s">
        <v>24</v>
      </c>
      <c r="D979" t="s">
        <v>41</v>
      </c>
      <c r="E979" t="s">
        <v>47</v>
      </c>
      <c r="F979">
        <v>1659</v>
      </c>
      <c r="G979">
        <v>120</v>
      </c>
      <c r="H979">
        <v>300</v>
      </c>
      <c r="I979">
        <v>497700</v>
      </c>
      <c r="J979">
        <v>34839</v>
      </c>
      <c r="K979">
        <v>462861</v>
      </c>
      <c r="L979">
        <v>414750</v>
      </c>
      <c r="M979">
        <v>48111</v>
      </c>
      <c r="N979" s="1">
        <v>41821</v>
      </c>
      <c r="O979">
        <v>7</v>
      </c>
      <c r="P979" t="s">
        <v>32</v>
      </c>
      <c r="Q979">
        <v>2014</v>
      </c>
    </row>
    <row r="980" spans="1:17" x14ac:dyDescent="0.3">
      <c r="A980" t="str">
        <f t="shared" ca="1" si="15"/>
        <v>ORD-2014-Mex-2883</v>
      </c>
      <c r="B980" t="s">
        <v>17</v>
      </c>
      <c r="C980" t="s">
        <v>26</v>
      </c>
      <c r="D980" t="s">
        <v>41</v>
      </c>
      <c r="E980" t="s">
        <v>47</v>
      </c>
      <c r="F980">
        <v>609</v>
      </c>
      <c r="G980">
        <v>120</v>
      </c>
      <c r="H980">
        <v>20</v>
      </c>
      <c r="I980">
        <v>12180</v>
      </c>
      <c r="J980">
        <v>852.6</v>
      </c>
      <c r="K980">
        <v>11327.4</v>
      </c>
      <c r="L980">
        <v>6090</v>
      </c>
      <c r="M980">
        <v>5237.3999999999996</v>
      </c>
      <c r="N980" s="1">
        <v>41852</v>
      </c>
      <c r="O980">
        <v>8</v>
      </c>
      <c r="P980" t="s">
        <v>34</v>
      </c>
      <c r="Q980">
        <v>2014</v>
      </c>
    </row>
    <row r="981" spans="1:17" x14ac:dyDescent="0.3">
      <c r="A981" t="str">
        <f t="shared" ca="1" si="15"/>
        <v>ORD-2014-Ger-5642</v>
      </c>
      <c r="B981" t="s">
        <v>31</v>
      </c>
      <c r="C981" t="s">
        <v>22</v>
      </c>
      <c r="D981" t="s">
        <v>41</v>
      </c>
      <c r="E981" t="s">
        <v>47</v>
      </c>
      <c r="F981">
        <v>2087</v>
      </c>
      <c r="G981">
        <v>120</v>
      </c>
      <c r="H981">
        <v>125</v>
      </c>
      <c r="I981">
        <v>260875</v>
      </c>
      <c r="J981">
        <v>18261.25</v>
      </c>
      <c r="K981">
        <v>242613.75</v>
      </c>
      <c r="L981">
        <v>250440</v>
      </c>
      <c r="M981">
        <f>K981-L981</f>
        <v>-7826.25</v>
      </c>
      <c r="N981" s="1">
        <v>41883</v>
      </c>
      <c r="O981">
        <v>9</v>
      </c>
      <c r="P981" t="s">
        <v>35</v>
      </c>
      <c r="Q981">
        <v>2014</v>
      </c>
    </row>
    <row r="982" spans="1:17" x14ac:dyDescent="0.3">
      <c r="A982" t="str">
        <f t="shared" ca="1" si="15"/>
        <v>ORD-2014-Fra-9933</v>
      </c>
      <c r="B982" t="s">
        <v>17</v>
      </c>
      <c r="C982" t="s">
        <v>24</v>
      </c>
      <c r="D982" t="s">
        <v>41</v>
      </c>
      <c r="E982" t="s">
        <v>47</v>
      </c>
      <c r="F982">
        <v>1976</v>
      </c>
      <c r="G982">
        <v>120</v>
      </c>
      <c r="H982">
        <v>20</v>
      </c>
      <c r="I982">
        <v>39520</v>
      </c>
      <c r="J982">
        <v>2766.4</v>
      </c>
      <c r="K982">
        <v>36753.599999999999</v>
      </c>
      <c r="L982">
        <v>19760</v>
      </c>
      <c r="M982">
        <v>16993.599999999999</v>
      </c>
      <c r="N982" s="1">
        <v>41913</v>
      </c>
      <c r="O982">
        <v>10</v>
      </c>
      <c r="P982" t="s">
        <v>36</v>
      </c>
      <c r="Q982">
        <v>2014</v>
      </c>
    </row>
    <row r="983" spans="1:17" x14ac:dyDescent="0.3">
      <c r="A983" t="str">
        <f t="shared" ca="1" si="15"/>
        <v>ORD-2013-Uni-5450</v>
      </c>
      <c r="B983" t="s">
        <v>17</v>
      </c>
      <c r="C983" t="s">
        <v>37</v>
      </c>
      <c r="D983" t="s">
        <v>41</v>
      </c>
      <c r="E983" t="s">
        <v>47</v>
      </c>
      <c r="F983">
        <v>1421</v>
      </c>
      <c r="G983">
        <v>120</v>
      </c>
      <c r="H983">
        <v>20</v>
      </c>
      <c r="I983">
        <v>28420</v>
      </c>
      <c r="J983">
        <v>1989.4</v>
      </c>
      <c r="K983">
        <v>26430.6</v>
      </c>
      <c r="L983">
        <v>14210</v>
      </c>
      <c r="M983">
        <v>12220.6</v>
      </c>
      <c r="N983" s="1">
        <v>41609</v>
      </c>
      <c r="O983">
        <v>12</v>
      </c>
      <c r="P983" t="s">
        <v>27</v>
      </c>
      <c r="Q983">
        <v>2013</v>
      </c>
    </row>
    <row r="984" spans="1:17" x14ac:dyDescent="0.3">
      <c r="A984" t="str">
        <f t="shared" ca="1" si="15"/>
        <v>ORD-2014-Uni-4237</v>
      </c>
      <c r="B984" t="s">
        <v>33</v>
      </c>
      <c r="C984" t="s">
        <v>37</v>
      </c>
      <c r="D984" t="s">
        <v>41</v>
      </c>
      <c r="E984" t="s">
        <v>47</v>
      </c>
      <c r="F984">
        <v>1372</v>
      </c>
      <c r="G984">
        <v>120</v>
      </c>
      <c r="H984">
        <v>300</v>
      </c>
      <c r="I984">
        <v>411600</v>
      </c>
      <c r="J984">
        <v>28812</v>
      </c>
      <c r="K984">
        <v>382788</v>
      </c>
      <c r="L984">
        <v>343000</v>
      </c>
      <c r="M984">
        <v>39788</v>
      </c>
      <c r="N984" s="1">
        <v>41974</v>
      </c>
      <c r="O984">
        <v>12</v>
      </c>
      <c r="P984" t="s">
        <v>27</v>
      </c>
      <c r="Q984">
        <v>2014</v>
      </c>
    </row>
    <row r="985" spans="1:17" x14ac:dyDescent="0.3">
      <c r="A985" t="str">
        <f t="shared" ca="1" si="15"/>
        <v>ORD-2013-Ger-6258</v>
      </c>
      <c r="B985" t="s">
        <v>17</v>
      </c>
      <c r="C985" t="s">
        <v>22</v>
      </c>
      <c r="D985" t="s">
        <v>41</v>
      </c>
      <c r="E985" t="s">
        <v>47</v>
      </c>
      <c r="F985">
        <v>588</v>
      </c>
      <c r="G985">
        <v>120</v>
      </c>
      <c r="H985">
        <v>20</v>
      </c>
      <c r="I985">
        <v>11760</v>
      </c>
      <c r="J985">
        <v>823.2</v>
      </c>
      <c r="K985">
        <v>10936.8</v>
      </c>
      <c r="L985">
        <v>5880</v>
      </c>
      <c r="M985">
        <v>5056.8</v>
      </c>
      <c r="N985" s="1">
        <v>41609</v>
      </c>
      <c r="O985">
        <v>12</v>
      </c>
      <c r="P985" t="s">
        <v>27</v>
      </c>
      <c r="Q985">
        <v>2013</v>
      </c>
    </row>
    <row r="986" spans="1:17" x14ac:dyDescent="0.3">
      <c r="A986" t="str">
        <f t="shared" ca="1" si="15"/>
        <v>ORD-2014-Ca0-4265</v>
      </c>
      <c r="B986" t="s">
        <v>30</v>
      </c>
      <c r="C986" t="s">
        <v>18</v>
      </c>
      <c r="D986" t="s">
        <v>42</v>
      </c>
      <c r="E986" t="s">
        <v>47</v>
      </c>
      <c r="F986">
        <v>3244.5</v>
      </c>
      <c r="G986">
        <v>250</v>
      </c>
      <c r="H986">
        <v>12</v>
      </c>
      <c r="I986">
        <v>38934</v>
      </c>
      <c r="J986">
        <v>2725.38</v>
      </c>
      <c r="K986">
        <v>36208.620000000003</v>
      </c>
      <c r="L986">
        <v>9733.5</v>
      </c>
      <c r="M986">
        <v>26475.119999999999</v>
      </c>
      <c r="N986" s="1">
        <v>41640</v>
      </c>
      <c r="O986">
        <v>1</v>
      </c>
      <c r="P986" t="s">
        <v>21</v>
      </c>
      <c r="Q986">
        <v>2014</v>
      </c>
    </row>
    <row r="987" spans="1:17" x14ac:dyDescent="0.3">
      <c r="A987" t="str">
        <f t="shared" ca="1" si="15"/>
        <v>ORD-2014-Fra-6324</v>
      </c>
      <c r="B987" t="s">
        <v>33</v>
      </c>
      <c r="C987" t="s">
        <v>24</v>
      </c>
      <c r="D987" t="s">
        <v>42</v>
      </c>
      <c r="E987" t="s">
        <v>47</v>
      </c>
      <c r="F987">
        <v>959</v>
      </c>
      <c r="G987">
        <v>250</v>
      </c>
      <c r="H987">
        <v>300</v>
      </c>
      <c r="I987">
        <v>287700</v>
      </c>
      <c r="J987">
        <v>20139</v>
      </c>
      <c r="K987">
        <v>267561</v>
      </c>
      <c r="L987">
        <v>239750</v>
      </c>
      <c r="M987">
        <v>27811</v>
      </c>
      <c r="N987" s="1">
        <v>41671</v>
      </c>
      <c r="O987">
        <v>2</v>
      </c>
      <c r="P987" t="s">
        <v>39</v>
      </c>
      <c r="Q987">
        <v>2014</v>
      </c>
    </row>
    <row r="988" spans="1:17" x14ac:dyDescent="0.3">
      <c r="A988" t="str">
        <f t="shared" ca="1" si="15"/>
        <v>ORD-2014-Mex-6004</v>
      </c>
      <c r="B988" t="s">
        <v>33</v>
      </c>
      <c r="C988" t="s">
        <v>26</v>
      </c>
      <c r="D988" t="s">
        <v>42</v>
      </c>
      <c r="E988" t="s">
        <v>47</v>
      </c>
      <c r="F988">
        <v>2747</v>
      </c>
      <c r="G988">
        <v>250</v>
      </c>
      <c r="H988">
        <v>300</v>
      </c>
      <c r="I988">
        <v>824100</v>
      </c>
      <c r="J988">
        <v>57687</v>
      </c>
      <c r="K988">
        <v>766413</v>
      </c>
      <c r="L988">
        <v>686750</v>
      </c>
      <c r="M988">
        <v>79663</v>
      </c>
      <c r="N988" s="1">
        <v>41671</v>
      </c>
      <c r="O988">
        <v>2</v>
      </c>
      <c r="P988" t="s">
        <v>39</v>
      </c>
      <c r="Q988">
        <v>2014</v>
      </c>
    </row>
    <row r="989" spans="1:17" x14ac:dyDescent="0.3">
      <c r="A989" t="str">
        <f t="shared" ca="1" si="15"/>
        <v>ORD-2014-Ca0-7326</v>
      </c>
      <c r="B989" t="s">
        <v>31</v>
      </c>
      <c r="C989" t="s">
        <v>18</v>
      </c>
      <c r="D989" t="s">
        <v>44</v>
      </c>
      <c r="E989" t="s">
        <v>47</v>
      </c>
      <c r="F989">
        <v>1645</v>
      </c>
      <c r="G989">
        <v>260</v>
      </c>
      <c r="H989">
        <v>125</v>
      </c>
      <c r="I989">
        <v>205625</v>
      </c>
      <c r="J989">
        <v>14393.75</v>
      </c>
      <c r="K989">
        <v>191231.25</v>
      </c>
      <c r="L989">
        <v>197400</v>
      </c>
      <c r="M989">
        <f>K989-L989</f>
        <v>-6168.75</v>
      </c>
      <c r="N989" s="1">
        <v>41760</v>
      </c>
      <c r="O989">
        <v>5</v>
      </c>
      <c r="P989" t="s">
        <v>46</v>
      </c>
      <c r="Q989">
        <v>2014</v>
      </c>
    </row>
    <row r="990" spans="1:17" x14ac:dyDescent="0.3">
      <c r="A990" t="str">
        <f t="shared" ca="1" si="15"/>
        <v>ORD-2014-Fra-1154</v>
      </c>
      <c r="B990" t="s">
        <v>17</v>
      </c>
      <c r="C990" t="s">
        <v>24</v>
      </c>
      <c r="D990" t="s">
        <v>44</v>
      </c>
      <c r="E990" t="s">
        <v>47</v>
      </c>
      <c r="F990">
        <v>2876</v>
      </c>
      <c r="G990">
        <v>260</v>
      </c>
      <c r="H990">
        <v>350</v>
      </c>
      <c r="I990">
        <v>1006600</v>
      </c>
      <c r="J990">
        <v>70462</v>
      </c>
      <c r="K990">
        <v>936138</v>
      </c>
      <c r="L990">
        <v>747760</v>
      </c>
      <c r="M990">
        <v>188378</v>
      </c>
      <c r="N990" s="1">
        <v>41883</v>
      </c>
      <c r="O990">
        <v>9</v>
      </c>
      <c r="P990" t="s">
        <v>35</v>
      </c>
      <c r="Q990">
        <v>2014</v>
      </c>
    </row>
    <row r="991" spans="1:17" x14ac:dyDescent="0.3">
      <c r="A991" t="str">
        <f t="shared" ca="1" si="15"/>
        <v>ORD-2013-Ger-7615</v>
      </c>
      <c r="B991" t="s">
        <v>31</v>
      </c>
      <c r="C991" t="s">
        <v>22</v>
      </c>
      <c r="D991" t="s">
        <v>44</v>
      </c>
      <c r="E991" t="s">
        <v>47</v>
      </c>
      <c r="F991">
        <v>994</v>
      </c>
      <c r="G991">
        <v>260</v>
      </c>
      <c r="H991">
        <v>125</v>
      </c>
      <c r="I991">
        <v>124250</v>
      </c>
      <c r="J991">
        <v>8697.5</v>
      </c>
      <c r="K991">
        <v>115552.5</v>
      </c>
      <c r="L991">
        <v>119280</v>
      </c>
      <c r="M991">
        <f>K991-L991</f>
        <v>-3727.5</v>
      </c>
      <c r="N991" s="1">
        <v>41518</v>
      </c>
      <c r="O991">
        <v>9</v>
      </c>
      <c r="P991" t="s">
        <v>35</v>
      </c>
      <c r="Q991">
        <v>2013</v>
      </c>
    </row>
    <row r="992" spans="1:17" x14ac:dyDescent="0.3">
      <c r="A992" t="str">
        <f t="shared" ca="1" si="15"/>
        <v>ORD-2014-Ca0-8581</v>
      </c>
      <c r="B992" t="s">
        <v>17</v>
      </c>
      <c r="C992" t="s">
        <v>18</v>
      </c>
      <c r="D992" t="s">
        <v>44</v>
      </c>
      <c r="E992" t="s">
        <v>47</v>
      </c>
      <c r="F992">
        <v>1118</v>
      </c>
      <c r="G992">
        <v>260</v>
      </c>
      <c r="H992">
        <v>20</v>
      </c>
      <c r="I992">
        <v>22360</v>
      </c>
      <c r="J992">
        <v>1565.2</v>
      </c>
      <c r="K992">
        <v>20794.8</v>
      </c>
      <c r="L992">
        <v>11180</v>
      </c>
      <c r="M992">
        <v>9614.7999999999993</v>
      </c>
      <c r="N992" s="1">
        <v>41944</v>
      </c>
      <c r="O992">
        <v>11</v>
      </c>
      <c r="P992" t="s">
        <v>40</v>
      </c>
      <c r="Q992">
        <v>2014</v>
      </c>
    </row>
    <row r="993" spans="1:17" x14ac:dyDescent="0.3">
      <c r="A993" t="str">
        <f t="shared" ca="1" si="15"/>
        <v>ORD-2014-Uni-6229</v>
      </c>
      <c r="B993" t="s">
        <v>33</v>
      </c>
      <c r="C993" t="s">
        <v>37</v>
      </c>
      <c r="D993" t="s">
        <v>44</v>
      </c>
      <c r="E993" t="s">
        <v>47</v>
      </c>
      <c r="F993">
        <v>1372</v>
      </c>
      <c r="G993">
        <v>260</v>
      </c>
      <c r="H993">
        <v>300</v>
      </c>
      <c r="I993">
        <v>411600</v>
      </c>
      <c r="J993">
        <v>28812</v>
      </c>
      <c r="K993">
        <v>382788</v>
      </c>
      <c r="L993">
        <v>343000</v>
      </c>
      <c r="M993">
        <v>39788</v>
      </c>
      <c r="N993" s="1">
        <v>41974</v>
      </c>
      <c r="O993">
        <v>12</v>
      </c>
      <c r="P993" t="s">
        <v>27</v>
      </c>
      <c r="Q993">
        <v>2014</v>
      </c>
    </row>
    <row r="994" spans="1:17" x14ac:dyDescent="0.3">
      <c r="A994" t="str">
        <f t="shared" ca="1" si="15"/>
        <v>ORD-2014-Ca0-8916</v>
      </c>
      <c r="B994" t="s">
        <v>17</v>
      </c>
      <c r="C994" t="s">
        <v>18</v>
      </c>
      <c r="D994" t="s">
        <v>28</v>
      </c>
      <c r="E994" t="s">
        <v>47</v>
      </c>
      <c r="F994">
        <v>488</v>
      </c>
      <c r="G994">
        <v>5</v>
      </c>
      <c r="H994">
        <v>7</v>
      </c>
      <c r="I994">
        <v>3416</v>
      </c>
      <c r="J994">
        <v>273.27999999999997</v>
      </c>
      <c r="K994">
        <v>3142.72</v>
      </c>
      <c r="L994">
        <v>2440</v>
      </c>
      <c r="M994">
        <v>702.72</v>
      </c>
      <c r="N994" s="1">
        <v>41671</v>
      </c>
      <c r="O994">
        <v>2</v>
      </c>
      <c r="P994" t="s">
        <v>39</v>
      </c>
      <c r="Q994">
        <v>2014</v>
      </c>
    </row>
    <row r="995" spans="1:17" x14ac:dyDescent="0.3">
      <c r="A995" t="str">
        <f t="shared" ca="1" si="15"/>
        <v>ORD-2014-Uni-8257</v>
      </c>
      <c r="B995" t="s">
        <v>17</v>
      </c>
      <c r="C995" t="s">
        <v>37</v>
      </c>
      <c r="D995" t="s">
        <v>28</v>
      </c>
      <c r="E995" t="s">
        <v>47</v>
      </c>
      <c r="F995">
        <v>1282</v>
      </c>
      <c r="G995">
        <v>5</v>
      </c>
      <c r="H995">
        <v>20</v>
      </c>
      <c r="I995">
        <v>25640</v>
      </c>
      <c r="J995">
        <v>2051.1999999999998</v>
      </c>
      <c r="K995">
        <v>23588.799999999999</v>
      </c>
      <c r="L995">
        <v>12820</v>
      </c>
      <c r="M995">
        <v>10768.8</v>
      </c>
      <c r="N995" s="1">
        <v>41791</v>
      </c>
      <c r="O995">
        <v>6</v>
      </c>
      <c r="P995" t="s">
        <v>25</v>
      </c>
      <c r="Q995">
        <v>2014</v>
      </c>
    </row>
    <row r="996" spans="1:17" x14ac:dyDescent="0.3">
      <c r="A996" t="str">
        <f t="shared" ca="1" si="15"/>
        <v>ORD-2014-Ca0-9161</v>
      </c>
      <c r="B996" t="s">
        <v>17</v>
      </c>
      <c r="C996" t="s">
        <v>18</v>
      </c>
      <c r="D996" t="s">
        <v>38</v>
      </c>
      <c r="E996" t="s">
        <v>47</v>
      </c>
      <c r="F996">
        <v>257</v>
      </c>
      <c r="G996">
        <v>10</v>
      </c>
      <c r="H996">
        <v>7</v>
      </c>
      <c r="I996">
        <v>1799</v>
      </c>
      <c r="J996">
        <v>143.91999999999999</v>
      </c>
      <c r="K996">
        <v>1655.08</v>
      </c>
      <c r="L996">
        <v>1285</v>
      </c>
      <c r="M996">
        <v>370.08</v>
      </c>
      <c r="N996" s="1">
        <v>41760</v>
      </c>
      <c r="O996">
        <v>5</v>
      </c>
      <c r="P996" t="s">
        <v>46</v>
      </c>
      <c r="Q996">
        <v>2014</v>
      </c>
    </row>
    <row r="997" spans="1:17" x14ac:dyDescent="0.3">
      <c r="A997" t="str">
        <f t="shared" ca="1" si="15"/>
        <v>ORD-2014-Uni-6301</v>
      </c>
      <c r="B997" t="s">
        <v>17</v>
      </c>
      <c r="C997" t="s">
        <v>37</v>
      </c>
      <c r="D997" t="s">
        <v>44</v>
      </c>
      <c r="E997" t="s">
        <v>47</v>
      </c>
      <c r="F997">
        <v>1282</v>
      </c>
      <c r="G997">
        <v>260</v>
      </c>
      <c r="H997">
        <v>20</v>
      </c>
      <c r="I997">
        <v>25640</v>
      </c>
      <c r="J997">
        <v>2051.1999999999998</v>
      </c>
      <c r="K997">
        <v>23588.799999999999</v>
      </c>
      <c r="L997">
        <v>12820</v>
      </c>
      <c r="M997">
        <v>10768.8</v>
      </c>
      <c r="N997" s="1">
        <v>41791</v>
      </c>
      <c r="O997">
        <v>6</v>
      </c>
      <c r="P997" t="s">
        <v>25</v>
      </c>
      <c r="Q997">
        <v>2014</v>
      </c>
    </row>
    <row r="998" spans="1:17" x14ac:dyDescent="0.3">
      <c r="A998" t="str">
        <f t="shared" ca="1" si="15"/>
        <v>ORD-2014-Mex-6849</v>
      </c>
      <c r="B998" t="s">
        <v>31</v>
      </c>
      <c r="C998" t="s">
        <v>26</v>
      </c>
      <c r="D998" t="s">
        <v>19</v>
      </c>
      <c r="E998" t="s">
        <v>47</v>
      </c>
      <c r="F998">
        <v>1540</v>
      </c>
      <c r="G998">
        <v>3</v>
      </c>
      <c r="H998">
        <v>125</v>
      </c>
      <c r="I998">
        <v>192500</v>
      </c>
      <c r="J998">
        <v>15400</v>
      </c>
      <c r="K998">
        <v>177100</v>
      </c>
      <c r="L998">
        <v>184800</v>
      </c>
      <c r="M998">
        <f>K998-L998</f>
        <v>-7700</v>
      </c>
      <c r="N998" s="1">
        <v>41852</v>
      </c>
      <c r="O998">
        <v>8</v>
      </c>
      <c r="P998" t="s">
        <v>34</v>
      </c>
      <c r="Q998">
        <v>2014</v>
      </c>
    </row>
    <row r="999" spans="1:17" x14ac:dyDescent="0.3">
      <c r="A999" t="str">
        <f t="shared" ca="1" si="15"/>
        <v>ORD-2014-Fra-5770</v>
      </c>
      <c r="B999" t="s">
        <v>23</v>
      </c>
      <c r="C999" t="s">
        <v>24</v>
      </c>
      <c r="D999" t="s">
        <v>19</v>
      </c>
      <c r="E999" t="s">
        <v>47</v>
      </c>
      <c r="F999">
        <v>490</v>
      </c>
      <c r="G999">
        <v>3</v>
      </c>
      <c r="H999">
        <v>15</v>
      </c>
      <c r="I999">
        <v>7350</v>
      </c>
      <c r="J999">
        <v>588</v>
      </c>
      <c r="K999">
        <v>6762</v>
      </c>
      <c r="L999">
        <v>4900</v>
      </c>
      <c r="M999">
        <v>1862</v>
      </c>
      <c r="N999" s="1">
        <v>41944</v>
      </c>
      <c r="O999">
        <v>11</v>
      </c>
      <c r="P999" t="s">
        <v>40</v>
      </c>
      <c r="Q999">
        <v>2014</v>
      </c>
    </row>
    <row r="1000" spans="1:17" x14ac:dyDescent="0.3">
      <c r="A1000" t="str">
        <f t="shared" ca="1" si="15"/>
        <v>ORD-2014-Mex-6008</v>
      </c>
      <c r="B1000" t="s">
        <v>17</v>
      </c>
      <c r="C1000" t="s">
        <v>26</v>
      </c>
      <c r="D1000" t="s">
        <v>19</v>
      </c>
      <c r="E1000" t="s">
        <v>47</v>
      </c>
      <c r="F1000">
        <v>1362</v>
      </c>
      <c r="G1000">
        <v>3</v>
      </c>
      <c r="H1000">
        <v>350</v>
      </c>
      <c r="I1000">
        <v>476700</v>
      </c>
      <c r="J1000">
        <v>38136</v>
      </c>
      <c r="K1000">
        <v>438564</v>
      </c>
      <c r="L1000">
        <v>354120</v>
      </c>
      <c r="M1000">
        <v>84444</v>
      </c>
      <c r="N1000" s="1">
        <v>41974</v>
      </c>
      <c r="O1000">
        <v>12</v>
      </c>
      <c r="P1000" t="s">
        <v>27</v>
      </c>
      <c r="Q1000">
        <v>2014</v>
      </c>
    </row>
    <row r="1001" spans="1:17" x14ac:dyDescent="0.3">
      <c r="A1001" t="str">
        <f t="shared" ca="1" si="15"/>
        <v>ORD-2014-Fra-3099</v>
      </c>
      <c r="B1001" t="s">
        <v>23</v>
      </c>
      <c r="C1001" t="s">
        <v>24</v>
      </c>
      <c r="D1001" t="s">
        <v>28</v>
      </c>
      <c r="E1001" t="s">
        <v>47</v>
      </c>
      <c r="F1001">
        <v>2501</v>
      </c>
      <c r="G1001">
        <v>5</v>
      </c>
      <c r="H1001">
        <v>15</v>
      </c>
      <c r="I1001">
        <v>37515</v>
      </c>
      <c r="J1001">
        <v>3001.2</v>
      </c>
      <c r="K1001">
        <v>34513.800000000003</v>
      </c>
      <c r="L1001">
        <v>25010</v>
      </c>
      <c r="M1001">
        <v>9503.7999999999993</v>
      </c>
      <c r="N1001" s="1">
        <v>41699</v>
      </c>
      <c r="O1001">
        <v>3</v>
      </c>
      <c r="P1001" t="s">
        <v>29</v>
      </c>
      <c r="Q1001">
        <v>2014</v>
      </c>
    </row>
    <row r="1002" spans="1:17" x14ac:dyDescent="0.3">
      <c r="A1002" t="str">
        <f t="shared" ca="1" si="15"/>
        <v>ORD-2014-Ca0-7160</v>
      </c>
      <c r="B1002" t="s">
        <v>17</v>
      </c>
      <c r="C1002" t="s">
        <v>18</v>
      </c>
      <c r="D1002" t="s">
        <v>28</v>
      </c>
      <c r="E1002" t="s">
        <v>47</v>
      </c>
      <c r="F1002">
        <v>708</v>
      </c>
      <c r="G1002">
        <v>5</v>
      </c>
      <c r="H1002">
        <v>20</v>
      </c>
      <c r="I1002">
        <v>14160</v>
      </c>
      <c r="J1002">
        <v>1132.8</v>
      </c>
      <c r="K1002">
        <v>13027.2</v>
      </c>
      <c r="L1002">
        <v>7080</v>
      </c>
      <c r="M1002">
        <v>5947.2</v>
      </c>
      <c r="N1002" s="1">
        <v>41791</v>
      </c>
      <c r="O1002">
        <v>6</v>
      </c>
      <c r="P1002" t="s">
        <v>25</v>
      </c>
      <c r="Q1002">
        <v>2014</v>
      </c>
    </row>
    <row r="1003" spans="1:17" x14ac:dyDescent="0.3">
      <c r="A1003" t="str">
        <f t="shared" ca="1" si="15"/>
        <v>ORD-2014-Ger-2258</v>
      </c>
      <c r="B1003" t="s">
        <v>17</v>
      </c>
      <c r="C1003" t="s">
        <v>22</v>
      </c>
      <c r="D1003" t="s">
        <v>28</v>
      </c>
      <c r="E1003" t="s">
        <v>47</v>
      </c>
      <c r="F1003">
        <v>645</v>
      </c>
      <c r="G1003">
        <v>5</v>
      </c>
      <c r="H1003">
        <v>20</v>
      </c>
      <c r="I1003">
        <v>12900</v>
      </c>
      <c r="J1003">
        <v>1032</v>
      </c>
      <c r="K1003">
        <v>11868</v>
      </c>
      <c r="L1003">
        <v>6450</v>
      </c>
      <c r="M1003">
        <v>5418</v>
      </c>
      <c r="N1003" s="1">
        <v>41821</v>
      </c>
      <c r="O1003">
        <v>7</v>
      </c>
      <c r="P1003" t="s">
        <v>32</v>
      </c>
      <c r="Q1003">
        <v>2014</v>
      </c>
    </row>
    <row r="1004" spans="1:17" x14ac:dyDescent="0.3">
      <c r="A1004" t="str">
        <f t="shared" ca="1" si="15"/>
        <v>ORD-2014-Fra-9334</v>
      </c>
      <c r="B1004" t="s">
        <v>33</v>
      </c>
      <c r="C1004" t="s">
        <v>24</v>
      </c>
      <c r="D1004" t="s">
        <v>28</v>
      </c>
      <c r="E1004" t="s">
        <v>47</v>
      </c>
      <c r="F1004">
        <v>1562</v>
      </c>
      <c r="G1004">
        <v>5</v>
      </c>
      <c r="H1004">
        <v>300</v>
      </c>
      <c r="I1004">
        <v>468600</v>
      </c>
      <c r="J1004">
        <v>37488</v>
      </c>
      <c r="K1004">
        <v>431112</v>
      </c>
      <c r="L1004">
        <v>390500</v>
      </c>
      <c r="M1004">
        <v>40612</v>
      </c>
      <c r="N1004" s="1">
        <v>41852</v>
      </c>
      <c r="O1004">
        <v>8</v>
      </c>
      <c r="P1004" t="s">
        <v>34</v>
      </c>
      <c r="Q1004">
        <v>2014</v>
      </c>
    </row>
    <row r="1005" spans="1:17" x14ac:dyDescent="0.3">
      <c r="A1005" t="str">
        <f t="shared" ca="1" si="15"/>
        <v>ORD-2013-Ca0-7470</v>
      </c>
      <c r="B1005" t="s">
        <v>33</v>
      </c>
      <c r="C1005" t="s">
        <v>18</v>
      </c>
      <c r="D1005" t="s">
        <v>28</v>
      </c>
      <c r="E1005" t="s">
        <v>47</v>
      </c>
      <c r="F1005">
        <v>1283</v>
      </c>
      <c r="G1005">
        <v>5</v>
      </c>
      <c r="H1005">
        <v>300</v>
      </c>
      <c r="I1005">
        <v>384900</v>
      </c>
      <c r="J1005">
        <v>30792</v>
      </c>
      <c r="K1005">
        <v>354108</v>
      </c>
      <c r="L1005">
        <v>320750</v>
      </c>
      <c r="M1005">
        <v>33358</v>
      </c>
      <c r="N1005" s="1">
        <v>41518</v>
      </c>
      <c r="O1005">
        <v>9</v>
      </c>
      <c r="P1005" t="s">
        <v>35</v>
      </c>
      <c r="Q1005">
        <v>2013</v>
      </c>
    </row>
    <row r="1006" spans="1:17" x14ac:dyDescent="0.3">
      <c r="A1006" t="str">
        <f t="shared" ca="1" si="15"/>
        <v>ORD-2014-Ger-1509</v>
      </c>
      <c r="B1006" t="s">
        <v>23</v>
      </c>
      <c r="C1006" t="s">
        <v>22</v>
      </c>
      <c r="D1006" t="s">
        <v>28</v>
      </c>
      <c r="E1006" t="s">
        <v>47</v>
      </c>
      <c r="F1006">
        <v>711</v>
      </c>
      <c r="G1006">
        <v>5</v>
      </c>
      <c r="H1006">
        <v>15</v>
      </c>
      <c r="I1006">
        <v>10665</v>
      </c>
      <c r="J1006">
        <v>853.2</v>
      </c>
      <c r="K1006">
        <v>9811.7999999999993</v>
      </c>
      <c r="L1006">
        <v>7110</v>
      </c>
      <c r="M1006">
        <v>2701.8</v>
      </c>
      <c r="N1006" s="1">
        <v>41974</v>
      </c>
      <c r="O1006">
        <v>12</v>
      </c>
      <c r="P1006" t="s">
        <v>27</v>
      </c>
      <c r="Q1006">
        <v>2014</v>
      </c>
    </row>
    <row r="1007" spans="1:17" x14ac:dyDescent="0.3">
      <c r="A1007" t="str">
        <f t="shared" ca="1" si="15"/>
        <v>ORD-2014-Mex-3604</v>
      </c>
      <c r="B1007" t="s">
        <v>31</v>
      </c>
      <c r="C1007" t="s">
        <v>26</v>
      </c>
      <c r="D1007" t="s">
        <v>38</v>
      </c>
      <c r="E1007" t="s">
        <v>47</v>
      </c>
      <c r="F1007">
        <v>1114</v>
      </c>
      <c r="G1007">
        <v>10</v>
      </c>
      <c r="H1007">
        <v>125</v>
      </c>
      <c r="I1007">
        <v>139250</v>
      </c>
      <c r="J1007">
        <v>11140</v>
      </c>
      <c r="K1007">
        <v>128110</v>
      </c>
      <c r="L1007">
        <v>133680</v>
      </c>
      <c r="M1007">
        <f>K1007-L1007</f>
        <v>-5570</v>
      </c>
      <c r="N1007" s="1">
        <v>41699</v>
      </c>
      <c r="O1007">
        <v>3</v>
      </c>
      <c r="P1007" t="s">
        <v>29</v>
      </c>
      <c r="Q1007">
        <v>2014</v>
      </c>
    </row>
    <row r="1008" spans="1:17" x14ac:dyDescent="0.3">
      <c r="A1008" t="str">
        <f t="shared" ca="1" si="15"/>
        <v>ORD-2014-Ger-6174</v>
      </c>
      <c r="B1008" t="s">
        <v>17</v>
      </c>
      <c r="C1008" t="s">
        <v>22</v>
      </c>
      <c r="D1008" t="s">
        <v>38</v>
      </c>
      <c r="E1008" t="s">
        <v>47</v>
      </c>
      <c r="F1008">
        <v>1259</v>
      </c>
      <c r="G1008">
        <v>10</v>
      </c>
      <c r="H1008">
        <v>7</v>
      </c>
      <c r="I1008">
        <v>8813</v>
      </c>
      <c r="J1008">
        <v>705.04</v>
      </c>
      <c r="K1008">
        <v>8107.96</v>
      </c>
      <c r="L1008">
        <v>6295</v>
      </c>
      <c r="M1008">
        <v>1812.96</v>
      </c>
      <c r="N1008" s="1">
        <v>41730</v>
      </c>
      <c r="O1008">
        <v>4</v>
      </c>
      <c r="P1008" t="s">
        <v>43</v>
      </c>
      <c r="Q1008">
        <v>2014</v>
      </c>
    </row>
    <row r="1009" spans="1:17" x14ac:dyDescent="0.3">
      <c r="A1009" t="str">
        <f t="shared" ca="1" si="15"/>
        <v>ORD-2014-Ger-3012</v>
      </c>
      <c r="B1009" t="s">
        <v>17</v>
      </c>
      <c r="C1009" t="s">
        <v>22</v>
      </c>
      <c r="D1009" t="s">
        <v>38</v>
      </c>
      <c r="E1009" t="s">
        <v>47</v>
      </c>
      <c r="F1009">
        <v>1095</v>
      </c>
      <c r="G1009">
        <v>10</v>
      </c>
      <c r="H1009">
        <v>7</v>
      </c>
      <c r="I1009">
        <v>7665</v>
      </c>
      <c r="J1009">
        <v>613.20000000000005</v>
      </c>
      <c r="K1009">
        <v>7051.8</v>
      </c>
      <c r="L1009">
        <v>5475</v>
      </c>
      <c r="M1009">
        <v>1576.8</v>
      </c>
      <c r="N1009" s="1">
        <v>41760</v>
      </c>
      <c r="O1009">
        <v>5</v>
      </c>
      <c r="P1009" t="s">
        <v>46</v>
      </c>
      <c r="Q1009">
        <v>2014</v>
      </c>
    </row>
    <row r="1010" spans="1:17" x14ac:dyDescent="0.3">
      <c r="A1010" t="str">
        <f t="shared" ca="1" si="15"/>
        <v>ORD-2014-Ger-7306</v>
      </c>
      <c r="B1010" t="s">
        <v>17</v>
      </c>
      <c r="C1010" t="s">
        <v>22</v>
      </c>
      <c r="D1010" t="s">
        <v>38</v>
      </c>
      <c r="E1010" t="s">
        <v>47</v>
      </c>
      <c r="F1010">
        <v>1366</v>
      </c>
      <c r="G1010">
        <v>10</v>
      </c>
      <c r="H1010">
        <v>20</v>
      </c>
      <c r="I1010">
        <v>27320</v>
      </c>
      <c r="J1010">
        <v>2185.6</v>
      </c>
      <c r="K1010">
        <v>25134.400000000001</v>
      </c>
      <c r="L1010">
        <v>13660</v>
      </c>
      <c r="M1010">
        <v>11474.4</v>
      </c>
      <c r="N1010" s="1">
        <v>41791</v>
      </c>
      <c r="O1010">
        <v>6</v>
      </c>
      <c r="P1010" t="s">
        <v>25</v>
      </c>
      <c r="Q1010">
        <v>2014</v>
      </c>
    </row>
    <row r="1011" spans="1:17" x14ac:dyDescent="0.3">
      <c r="A1011" t="str">
        <f t="shared" ca="1" si="15"/>
        <v>ORD-2014-Mex-9458</v>
      </c>
      <c r="B1011" t="s">
        <v>33</v>
      </c>
      <c r="C1011" t="s">
        <v>26</v>
      </c>
      <c r="D1011" t="s">
        <v>38</v>
      </c>
      <c r="E1011" t="s">
        <v>47</v>
      </c>
      <c r="F1011">
        <v>2460</v>
      </c>
      <c r="G1011">
        <v>10</v>
      </c>
      <c r="H1011">
        <v>300</v>
      </c>
      <c r="I1011">
        <v>738000</v>
      </c>
      <c r="J1011">
        <v>59040</v>
      </c>
      <c r="K1011">
        <v>678960</v>
      </c>
      <c r="L1011">
        <v>615000</v>
      </c>
      <c r="M1011">
        <v>63960</v>
      </c>
      <c r="N1011" s="1">
        <v>41791</v>
      </c>
      <c r="O1011">
        <v>6</v>
      </c>
      <c r="P1011" t="s">
        <v>25</v>
      </c>
      <c r="Q1011">
        <v>2014</v>
      </c>
    </row>
    <row r="1012" spans="1:17" x14ac:dyDescent="0.3">
      <c r="A1012" t="str">
        <f t="shared" ca="1" si="15"/>
        <v>ORD-2014-Uni-9238</v>
      </c>
      <c r="B1012" t="s">
        <v>17</v>
      </c>
      <c r="C1012" t="s">
        <v>37</v>
      </c>
      <c r="D1012" t="s">
        <v>38</v>
      </c>
      <c r="E1012" t="s">
        <v>47</v>
      </c>
      <c r="F1012">
        <v>678</v>
      </c>
      <c r="G1012">
        <v>10</v>
      </c>
      <c r="H1012">
        <v>7</v>
      </c>
      <c r="I1012">
        <v>4746</v>
      </c>
      <c r="J1012">
        <v>379.68</v>
      </c>
      <c r="K1012">
        <v>4366.32</v>
      </c>
      <c r="L1012">
        <v>3390</v>
      </c>
      <c r="M1012">
        <v>976.32</v>
      </c>
      <c r="N1012" s="1">
        <v>41852</v>
      </c>
      <c r="O1012">
        <v>8</v>
      </c>
      <c r="P1012" t="s">
        <v>34</v>
      </c>
      <c r="Q1012">
        <v>2014</v>
      </c>
    </row>
    <row r="1013" spans="1:17" x14ac:dyDescent="0.3">
      <c r="A1013" t="str">
        <f t="shared" ca="1" si="15"/>
        <v>ORD-2014-Ger-9559</v>
      </c>
      <c r="B1013" t="s">
        <v>17</v>
      </c>
      <c r="C1013" t="s">
        <v>22</v>
      </c>
      <c r="D1013" t="s">
        <v>38</v>
      </c>
      <c r="E1013" t="s">
        <v>47</v>
      </c>
      <c r="F1013">
        <v>1598</v>
      </c>
      <c r="G1013">
        <v>10</v>
      </c>
      <c r="H1013">
        <v>7</v>
      </c>
      <c r="I1013">
        <v>11186</v>
      </c>
      <c r="J1013">
        <v>894.88</v>
      </c>
      <c r="K1013">
        <v>10291.120000000001</v>
      </c>
      <c r="L1013">
        <v>7990</v>
      </c>
      <c r="M1013">
        <v>2301.12</v>
      </c>
      <c r="N1013" s="1">
        <v>41852</v>
      </c>
      <c r="O1013">
        <v>8</v>
      </c>
      <c r="P1013" t="s">
        <v>34</v>
      </c>
      <c r="Q1013">
        <v>2014</v>
      </c>
    </row>
    <row r="1014" spans="1:17" x14ac:dyDescent="0.3">
      <c r="A1014" t="str">
        <f t="shared" ca="1" si="15"/>
        <v>ORD-2013-Ger-3230</v>
      </c>
      <c r="B1014" t="s">
        <v>17</v>
      </c>
      <c r="C1014" t="s">
        <v>22</v>
      </c>
      <c r="D1014" t="s">
        <v>38</v>
      </c>
      <c r="E1014" t="s">
        <v>47</v>
      </c>
      <c r="F1014">
        <v>2409</v>
      </c>
      <c r="G1014">
        <v>10</v>
      </c>
      <c r="H1014">
        <v>7</v>
      </c>
      <c r="I1014">
        <v>16863</v>
      </c>
      <c r="J1014">
        <v>1349.04</v>
      </c>
      <c r="K1014">
        <v>15513.96</v>
      </c>
      <c r="L1014">
        <v>12045</v>
      </c>
      <c r="M1014">
        <v>3468.96</v>
      </c>
      <c r="N1014" s="1">
        <v>41518</v>
      </c>
      <c r="O1014">
        <v>9</v>
      </c>
      <c r="P1014" t="s">
        <v>35</v>
      </c>
      <c r="Q1014">
        <v>2013</v>
      </c>
    </row>
    <row r="1015" spans="1:17" x14ac:dyDescent="0.3">
      <c r="A1015" t="str">
        <f t="shared" ca="1" si="15"/>
        <v>ORD-2014-Uni-4682</v>
      </c>
      <c r="B1015" t="s">
        <v>17</v>
      </c>
      <c r="C1015" t="s">
        <v>37</v>
      </c>
      <c r="D1015" t="s">
        <v>19</v>
      </c>
      <c r="E1015" t="s">
        <v>48</v>
      </c>
      <c r="F1015">
        <v>1743</v>
      </c>
      <c r="G1015">
        <v>3</v>
      </c>
      <c r="H1015">
        <v>20</v>
      </c>
      <c r="I1015">
        <v>34860</v>
      </c>
      <c r="J1015">
        <v>4880.3999999999996</v>
      </c>
      <c r="K1015">
        <v>29979.599999999999</v>
      </c>
      <c r="L1015">
        <v>17430</v>
      </c>
      <c r="M1015">
        <v>12549.6</v>
      </c>
      <c r="N1015" s="1">
        <v>41760</v>
      </c>
      <c r="O1015">
        <v>5</v>
      </c>
      <c r="P1015" t="s">
        <v>46</v>
      </c>
      <c r="Q1015">
        <v>2014</v>
      </c>
    </row>
    <row r="1016" spans="1:17" x14ac:dyDescent="0.3">
      <c r="A1016" t="str">
        <f t="shared" ca="1" si="15"/>
        <v>ORD-2013-Uni-9386</v>
      </c>
      <c r="B1016" t="s">
        <v>17</v>
      </c>
      <c r="C1016" t="s">
        <v>37</v>
      </c>
      <c r="D1016" t="s">
        <v>19</v>
      </c>
      <c r="E1016" t="s">
        <v>48</v>
      </c>
      <c r="F1016">
        <v>2996</v>
      </c>
      <c r="G1016">
        <v>3</v>
      </c>
      <c r="H1016">
        <v>7</v>
      </c>
      <c r="I1016">
        <v>20972</v>
      </c>
      <c r="J1016">
        <v>2936.08</v>
      </c>
      <c r="K1016">
        <v>18035.919999999998</v>
      </c>
      <c r="L1016">
        <v>14980</v>
      </c>
      <c r="M1016">
        <v>3055.92</v>
      </c>
      <c r="N1016" s="1">
        <v>41548</v>
      </c>
      <c r="O1016">
        <v>10</v>
      </c>
      <c r="P1016" t="s">
        <v>36</v>
      </c>
      <c r="Q1016">
        <v>2013</v>
      </c>
    </row>
    <row r="1017" spans="1:17" x14ac:dyDescent="0.3">
      <c r="A1017" t="str">
        <f t="shared" ca="1" si="15"/>
        <v>ORD-2014-Ger-2162</v>
      </c>
      <c r="B1017" t="s">
        <v>17</v>
      </c>
      <c r="C1017" t="s">
        <v>22</v>
      </c>
      <c r="D1017" t="s">
        <v>19</v>
      </c>
      <c r="E1017" t="s">
        <v>48</v>
      </c>
      <c r="F1017">
        <v>280</v>
      </c>
      <c r="G1017">
        <v>3</v>
      </c>
      <c r="H1017">
        <v>7</v>
      </c>
      <c r="I1017">
        <v>1960</v>
      </c>
      <c r="J1017">
        <v>274.39999999999998</v>
      </c>
      <c r="K1017">
        <v>1685.6</v>
      </c>
      <c r="L1017">
        <v>1400</v>
      </c>
      <c r="M1017">
        <v>285.60000000000002</v>
      </c>
      <c r="N1017" s="1">
        <v>41974</v>
      </c>
      <c r="O1017">
        <v>12</v>
      </c>
      <c r="P1017" t="s">
        <v>27</v>
      </c>
      <c r="Q1017">
        <v>2014</v>
      </c>
    </row>
    <row r="1018" spans="1:17" x14ac:dyDescent="0.3">
      <c r="A1018" t="str">
        <f t="shared" ca="1" si="15"/>
        <v>ORD-2014-Fra-8311</v>
      </c>
      <c r="B1018" t="s">
        <v>17</v>
      </c>
      <c r="C1018" t="s">
        <v>24</v>
      </c>
      <c r="D1018" t="s">
        <v>28</v>
      </c>
      <c r="E1018" t="s">
        <v>48</v>
      </c>
      <c r="F1018">
        <v>293</v>
      </c>
      <c r="G1018">
        <v>5</v>
      </c>
      <c r="H1018">
        <v>7</v>
      </c>
      <c r="I1018">
        <v>2051</v>
      </c>
      <c r="J1018">
        <v>287.14</v>
      </c>
      <c r="K1018">
        <v>1763.86</v>
      </c>
      <c r="L1018">
        <v>1465</v>
      </c>
      <c r="M1018">
        <v>298.86</v>
      </c>
      <c r="N1018" s="1">
        <v>41671</v>
      </c>
      <c r="O1018">
        <v>2</v>
      </c>
      <c r="P1018" t="s">
        <v>39</v>
      </c>
      <c r="Q1018">
        <v>2014</v>
      </c>
    </row>
    <row r="1019" spans="1:17" x14ac:dyDescent="0.3">
      <c r="A1019" t="str">
        <f t="shared" ca="1" si="15"/>
        <v>ORD-2013-Uni-1437</v>
      </c>
      <c r="B1019" t="s">
        <v>17</v>
      </c>
      <c r="C1019" t="s">
        <v>37</v>
      </c>
      <c r="D1019" t="s">
        <v>28</v>
      </c>
      <c r="E1019" t="s">
        <v>48</v>
      </c>
      <c r="F1019">
        <v>2996</v>
      </c>
      <c r="G1019">
        <v>5</v>
      </c>
      <c r="H1019">
        <v>7</v>
      </c>
      <c r="I1019">
        <v>20972</v>
      </c>
      <c r="J1019">
        <v>2936.08</v>
      </c>
      <c r="K1019">
        <v>18035.919999999998</v>
      </c>
      <c r="L1019">
        <v>14980</v>
      </c>
      <c r="M1019">
        <v>3055.92</v>
      </c>
      <c r="N1019" s="1">
        <v>41548</v>
      </c>
      <c r="O1019">
        <v>10</v>
      </c>
      <c r="P1019" t="s">
        <v>36</v>
      </c>
      <c r="Q1019">
        <v>2013</v>
      </c>
    </row>
    <row r="1020" spans="1:17" x14ac:dyDescent="0.3">
      <c r="A1020" t="str">
        <f t="shared" ca="1" si="15"/>
        <v>ORD-2014-Ger-8271</v>
      </c>
      <c r="B1020" t="s">
        <v>23</v>
      </c>
      <c r="C1020" t="s">
        <v>22</v>
      </c>
      <c r="D1020" t="s">
        <v>38</v>
      </c>
      <c r="E1020" t="s">
        <v>48</v>
      </c>
      <c r="F1020">
        <v>278</v>
      </c>
      <c r="G1020">
        <v>10</v>
      </c>
      <c r="H1020">
        <v>15</v>
      </c>
      <c r="I1020">
        <v>4170</v>
      </c>
      <c r="J1020">
        <v>583.79999999999995</v>
      </c>
      <c r="K1020">
        <v>3586.2</v>
      </c>
      <c r="L1020">
        <v>2780</v>
      </c>
      <c r="M1020">
        <v>806.2</v>
      </c>
      <c r="N1020" s="1">
        <v>41671</v>
      </c>
      <c r="O1020">
        <v>2</v>
      </c>
      <c r="P1020" t="s">
        <v>39</v>
      </c>
      <c r="Q1020">
        <v>2014</v>
      </c>
    </row>
    <row r="1021" spans="1:17" x14ac:dyDescent="0.3">
      <c r="A1021" t="str">
        <f t="shared" ca="1" si="15"/>
        <v>ORD-2014-Ca0-6513</v>
      </c>
      <c r="B1021" t="s">
        <v>17</v>
      </c>
      <c r="C1021" t="s">
        <v>18</v>
      </c>
      <c r="D1021" t="s">
        <v>38</v>
      </c>
      <c r="E1021" t="s">
        <v>48</v>
      </c>
      <c r="F1021">
        <v>2428</v>
      </c>
      <c r="G1021">
        <v>10</v>
      </c>
      <c r="H1021">
        <v>20</v>
      </c>
      <c r="I1021">
        <v>48560</v>
      </c>
      <c r="J1021">
        <v>6798.4</v>
      </c>
      <c r="K1021">
        <v>41761.599999999999</v>
      </c>
      <c r="L1021">
        <v>24280</v>
      </c>
      <c r="M1021">
        <v>17481.599999999999</v>
      </c>
      <c r="N1021" s="1">
        <v>41699</v>
      </c>
      <c r="O1021">
        <v>3</v>
      </c>
      <c r="P1021" t="s">
        <v>29</v>
      </c>
      <c r="Q1021">
        <v>2014</v>
      </c>
    </row>
    <row r="1022" spans="1:17" x14ac:dyDescent="0.3">
      <c r="A1022" t="str">
        <f t="shared" ca="1" si="15"/>
        <v>ORD-2014-Uni-4329</v>
      </c>
      <c r="B1022" t="s">
        <v>23</v>
      </c>
      <c r="C1022" t="s">
        <v>37</v>
      </c>
      <c r="D1022" t="s">
        <v>38</v>
      </c>
      <c r="E1022" t="s">
        <v>48</v>
      </c>
      <c r="F1022">
        <v>1767</v>
      </c>
      <c r="G1022">
        <v>10</v>
      </c>
      <c r="H1022">
        <v>15</v>
      </c>
      <c r="I1022">
        <v>26505</v>
      </c>
      <c r="J1022">
        <v>3710.7</v>
      </c>
      <c r="K1022">
        <v>22794.3</v>
      </c>
      <c r="L1022">
        <v>17670</v>
      </c>
      <c r="M1022">
        <v>5124.3</v>
      </c>
      <c r="N1022" s="1">
        <v>41883</v>
      </c>
      <c r="O1022">
        <v>9</v>
      </c>
      <c r="P1022" t="s">
        <v>35</v>
      </c>
      <c r="Q1022">
        <v>2014</v>
      </c>
    </row>
    <row r="1023" spans="1:17" x14ac:dyDescent="0.3">
      <c r="A1023" t="str">
        <f t="shared" ca="1" si="15"/>
        <v>ORD-2014-Fra-5475</v>
      </c>
      <c r="B1023" t="s">
        <v>30</v>
      </c>
      <c r="C1023" t="s">
        <v>24</v>
      </c>
      <c r="D1023" t="s">
        <v>38</v>
      </c>
      <c r="E1023" t="s">
        <v>48</v>
      </c>
      <c r="F1023">
        <v>1393</v>
      </c>
      <c r="G1023">
        <v>10</v>
      </c>
      <c r="H1023">
        <v>12</v>
      </c>
      <c r="I1023">
        <v>16716</v>
      </c>
      <c r="J1023">
        <v>2340.2399999999998</v>
      </c>
      <c r="K1023">
        <v>14375.76</v>
      </c>
      <c r="L1023">
        <v>4179</v>
      </c>
      <c r="M1023">
        <v>10196.76</v>
      </c>
      <c r="N1023" s="1">
        <v>41913</v>
      </c>
      <c r="O1023">
        <v>10</v>
      </c>
      <c r="P1023" t="s">
        <v>36</v>
      </c>
      <c r="Q1023">
        <v>2014</v>
      </c>
    </row>
    <row r="1024" spans="1:17" x14ac:dyDescent="0.3">
      <c r="A1024" t="str">
        <f t="shared" ca="1" si="15"/>
        <v>ORD-2014-Ger-6812</v>
      </c>
      <c r="B1024" t="s">
        <v>17</v>
      </c>
      <c r="C1024" t="s">
        <v>22</v>
      </c>
      <c r="D1024" t="s">
        <v>42</v>
      </c>
      <c r="E1024" t="s">
        <v>48</v>
      </c>
      <c r="F1024">
        <v>280</v>
      </c>
      <c r="G1024">
        <v>250</v>
      </c>
      <c r="H1024">
        <v>7</v>
      </c>
      <c r="I1024">
        <v>1960</v>
      </c>
      <c r="J1024">
        <v>274.39999999999998</v>
      </c>
      <c r="K1024">
        <v>1685.6</v>
      </c>
      <c r="L1024">
        <v>1400</v>
      </c>
      <c r="M1024">
        <v>285.60000000000002</v>
      </c>
      <c r="N1024" s="1">
        <v>41974</v>
      </c>
      <c r="O1024">
        <v>12</v>
      </c>
      <c r="P1024" t="s">
        <v>27</v>
      </c>
      <c r="Q1024">
        <v>2014</v>
      </c>
    </row>
    <row r="1025" spans="1:17" x14ac:dyDescent="0.3">
      <c r="A1025" t="str">
        <f t="shared" ca="1" si="15"/>
        <v>ORD-2014-Fra-8739</v>
      </c>
      <c r="B1025" t="s">
        <v>30</v>
      </c>
      <c r="C1025" t="s">
        <v>24</v>
      </c>
      <c r="D1025" t="s">
        <v>44</v>
      </c>
      <c r="E1025" t="s">
        <v>48</v>
      </c>
      <c r="F1025">
        <v>1393</v>
      </c>
      <c r="G1025">
        <v>260</v>
      </c>
      <c r="H1025">
        <v>12</v>
      </c>
      <c r="I1025">
        <v>16716</v>
      </c>
      <c r="J1025">
        <v>2340.2399999999998</v>
      </c>
      <c r="K1025">
        <v>14375.76</v>
      </c>
      <c r="L1025">
        <v>4179</v>
      </c>
      <c r="M1025">
        <v>10196.76</v>
      </c>
      <c r="N1025" s="1">
        <v>41913</v>
      </c>
      <c r="O1025">
        <v>10</v>
      </c>
      <c r="P1025" t="s">
        <v>36</v>
      </c>
      <c r="Q1025">
        <v>2014</v>
      </c>
    </row>
    <row r="1026" spans="1:17" x14ac:dyDescent="0.3">
      <c r="A1026" t="str">
        <f t="shared" ca="1" si="15"/>
        <v>ORD-2013-Uni-4322</v>
      </c>
      <c r="B1026" t="s">
        <v>30</v>
      </c>
      <c r="C1026" t="s">
        <v>37</v>
      </c>
      <c r="D1026" t="s">
        <v>44</v>
      </c>
      <c r="E1026" t="s">
        <v>48</v>
      </c>
      <c r="F1026">
        <v>2015</v>
      </c>
      <c r="G1026">
        <v>260</v>
      </c>
      <c r="H1026">
        <v>12</v>
      </c>
      <c r="I1026">
        <v>24180</v>
      </c>
      <c r="J1026">
        <v>3385.2</v>
      </c>
      <c r="K1026">
        <v>20794.8</v>
      </c>
      <c r="L1026">
        <v>6045</v>
      </c>
      <c r="M1026">
        <v>14749.8</v>
      </c>
      <c r="N1026" s="1">
        <v>41609</v>
      </c>
      <c r="O1026">
        <v>12</v>
      </c>
      <c r="P1026" t="s">
        <v>27</v>
      </c>
      <c r="Q1026">
        <v>2013</v>
      </c>
    </row>
    <row r="1027" spans="1:17" x14ac:dyDescent="0.3">
      <c r="A1027" t="str">
        <f t="shared" ref="A1027:A1090" ca="1" si="16">"ORD-" &amp; YEAR(N1027) &amp; "-"  &amp; LEFT(C1027,3) &amp; "-" &amp; RANDBETWEEN(1000,9999)</f>
        <v>ORD-2014-Mex-9769</v>
      </c>
      <c r="B1027" t="s">
        <v>33</v>
      </c>
      <c r="C1027" t="s">
        <v>26</v>
      </c>
      <c r="D1027" t="s">
        <v>19</v>
      </c>
      <c r="E1027" t="s">
        <v>48</v>
      </c>
      <c r="F1027">
        <v>801</v>
      </c>
      <c r="G1027">
        <v>3</v>
      </c>
      <c r="H1027">
        <v>300</v>
      </c>
      <c r="I1027">
        <v>240300</v>
      </c>
      <c r="J1027">
        <v>33642</v>
      </c>
      <c r="K1027">
        <v>206658</v>
      </c>
      <c r="L1027">
        <v>200250</v>
      </c>
      <c r="M1027">
        <v>6408</v>
      </c>
      <c r="N1027" s="1">
        <v>41821</v>
      </c>
      <c r="O1027">
        <v>7</v>
      </c>
      <c r="P1027" t="s">
        <v>32</v>
      </c>
      <c r="Q1027">
        <v>2014</v>
      </c>
    </row>
    <row r="1028" spans="1:17" x14ac:dyDescent="0.3">
      <c r="A1028" t="str">
        <f t="shared" ca="1" si="16"/>
        <v>ORD-2013-Fra-6663</v>
      </c>
      <c r="B1028" t="s">
        <v>31</v>
      </c>
      <c r="C1028" t="s">
        <v>24</v>
      </c>
      <c r="D1028" t="s">
        <v>19</v>
      </c>
      <c r="E1028" t="s">
        <v>48</v>
      </c>
      <c r="F1028">
        <v>1023</v>
      </c>
      <c r="G1028">
        <v>3</v>
      </c>
      <c r="H1028">
        <v>125</v>
      </c>
      <c r="I1028">
        <v>127875</v>
      </c>
      <c r="J1028">
        <v>17902.5</v>
      </c>
      <c r="K1028">
        <v>109972.5</v>
      </c>
      <c r="L1028">
        <v>122760</v>
      </c>
      <c r="M1028">
        <f>K1028-L1028</f>
        <v>-12787.5</v>
      </c>
      <c r="N1028" s="1">
        <v>41518</v>
      </c>
      <c r="O1028">
        <v>9</v>
      </c>
      <c r="P1028" t="s">
        <v>35</v>
      </c>
      <c r="Q1028">
        <v>2013</v>
      </c>
    </row>
    <row r="1029" spans="1:17" x14ac:dyDescent="0.3">
      <c r="A1029" t="str">
        <f t="shared" ca="1" si="16"/>
        <v>ORD-2014-Ca0-9071</v>
      </c>
      <c r="B1029" t="s">
        <v>33</v>
      </c>
      <c r="C1029" t="s">
        <v>18</v>
      </c>
      <c r="D1029" t="s">
        <v>19</v>
      </c>
      <c r="E1029" t="s">
        <v>48</v>
      </c>
      <c r="F1029">
        <v>1496</v>
      </c>
      <c r="G1029">
        <v>3</v>
      </c>
      <c r="H1029">
        <v>300</v>
      </c>
      <c r="I1029">
        <v>448800</v>
      </c>
      <c r="J1029">
        <v>62832</v>
      </c>
      <c r="K1029">
        <v>385968</v>
      </c>
      <c r="L1029">
        <v>374000</v>
      </c>
      <c r="M1029">
        <v>11968</v>
      </c>
      <c r="N1029" s="1">
        <v>41913</v>
      </c>
      <c r="O1029">
        <v>10</v>
      </c>
      <c r="P1029" t="s">
        <v>36</v>
      </c>
      <c r="Q1029">
        <v>2014</v>
      </c>
    </row>
    <row r="1030" spans="1:17" x14ac:dyDescent="0.3">
      <c r="A1030" t="str">
        <f t="shared" ca="1" si="16"/>
        <v>ORD-2014-Uni-8205</v>
      </c>
      <c r="B1030" t="s">
        <v>33</v>
      </c>
      <c r="C1030" t="s">
        <v>37</v>
      </c>
      <c r="D1030" t="s">
        <v>19</v>
      </c>
      <c r="E1030" t="s">
        <v>48</v>
      </c>
      <c r="F1030">
        <v>1010</v>
      </c>
      <c r="G1030">
        <v>3</v>
      </c>
      <c r="H1030">
        <v>300</v>
      </c>
      <c r="I1030">
        <v>303000</v>
      </c>
      <c r="J1030">
        <v>42420</v>
      </c>
      <c r="K1030">
        <v>260580</v>
      </c>
      <c r="L1030">
        <v>252500</v>
      </c>
      <c r="M1030">
        <v>8080</v>
      </c>
      <c r="N1030" s="1">
        <v>41913</v>
      </c>
      <c r="O1030">
        <v>10</v>
      </c>
      <c r="P1030" t="s">
        <v>36</v>
      </c>
      <c r="Q1030">
        <v>2014</v>
      </c>
    </row>
    <row r="1031" spans="1:17" x14ac:dyDescent="0.3">
      <c r="A1031" t="str">
        <f t="shared" ca="1" si="16"/>
        <v>ORD-2014-Ger-9551</v>
      </c>
      <c r="B1031" t="s">
        <v>23</v>
      </c>
      <c r="C1031" t="s">
        <v>22</v>
      </c>
      <c r="D1031" t="s">
        <v>19</v>
      </c>
      <c r="E1031" t="s">
        <v>48</v>
      </c>
      <c r="F1031">
        <v>1513</v>
      </c>
      <c r="G1031">
        <v>3</v>
      </c>
      <c r="H1031">
        <v>15</v>
      </c>
      <c r="I1031">
        <v>22695</v>
      </c>
      <c r="J1031">
        <v>3177.3</v>
      </c>
      <c r="K1031">
        <v>19517.7</v>
      </c>
      <c r="L1031">
        <v>15130</v>
      </c>
      <c r="M1031">
        <v>4387.7</v>
      </c>
      <c r="N1031" s="1">
        <v>41944</v>
      </c>
      <c r="O1031">
        <v>11</v>
      </c>
      <c r="P1031" t="s">
        <v>40</v>
      </c>
      <c r="Q1031">
        <v>2014</v>
      </c>
    </row>
    <row r="1032" spans="1:17" x14ac:dyDescent="0.3">
      <c r="A1032" t="str">
        <f t="shared" ca="1" si="16"/>
        <v>ORD-2014-Ca0-6281</v>
      </c>
      <c r="B1032" t="s">
        <v>23</v>
      </c>
      <c r="C1032" t="s">
        <v>18</v>
      </c>
      <c r="D1032" t="s">
        <v>19</v>
      </c>
      <c r="E1032" t="s">
        <v>48</v>
      </c>
      <c r="F1032">
        <v>2300</v>
      </c>
      <c r="G1032">
        <v>3</v>
      </c>
      <c r="H1032">
        <v>15</v>
      </c>
      <c r="I1032">
        <v>34500</v>
      </c>
      <c r="J1032">
        <v>4830</v>
      </c>
      <c r="K1032">
        <v>29670</v>
      </c>
      <c r="L1032">
        <v>23000</v>
      </c>
      <c r="M1032">
        <v>6670</v>
      </c>
      <c r="N1032" s="1">
        <v>41974</v>
      </c>
      <c r="O1032">
        <v>12</v>
      </c>
      <c r="P1032" t="s">
        <v>27</v>
      </c>
      <c r="Q1032">
        <v>2014</v>
      </c>
    </row>
    <row r="1033" spans="1:17" x14ac:dyDescent="0.3">
      <c r="A1033" t="str">
        <f t="shared" ca="1" si="16"/>
        <v>ORD-2013-Mex-9495</v>
      </c>
      <c r="B1033" t="s">
        <v>31</v>
      </c>
      <c r="C1033" t="s">
        <v>26</v>
      </c>
      <c r="D1033" t="s">
        <v>19</v>
      </c>
      <c r="E1033" t="s">
        <v>48</v>
      </c>
      <c r="F1033">
        <v>2821</v>
      </c>
      <c r="G1033">
        <v>3</v>
      </c>
      <c r="H1033">
        <v>125</v>
      </c>
      <c r="I1033">
        <v>352625</v>
      </c>
      <c r="J1033">
        <v>49367.5</v>
      </c>
      <c r="K1033">
        <v>303257.5</v>
      </c>
      <c r="L1033">
        <v>338520</v>
      </c>
      <c r="M1033">
        <f>K1033-L1033</f>
        <v>-35262.5</v>
      </c>
      <c r="N1033" s="1">
        <v>41609</v>
      </c>
      <c r="O1033">
        <v>12</v>
      </c>
      <c r="P1033" t="s">
        <v>27</v>
      </c>
      <c r="Q1033">
        <v>2013</v>
      </c>
    </row>
    <row r="1034" spans="1:17" x14ac:dyDescent="0.3">
      <c r="A1034" t="str">
        <f t="shared" ca="1" si="16"/>
        <v>ORD-2014-Ca0-4963</v>
      </c>
      <c r="B1034" t="s">
        <v>17</v>
      </c>
      <c r="C1034" t="s">
        <v>18</v>
      </c>
      <c r="D1034" t="s">
        <v>28</v>
      </c>
      <c r="E1034" t="s">
        <v>48</v>
      </c>
      <c r="F1034">
        <v>2227.5</v>
      </c>
      <c r="G1034">
        <v>5</v>
      </c>
      <c r="H1034">
        <v>350</v>
      </c>
      <c r="I1034">
        <v>779625</v>
      </c>
      <c r="J1034">
        <v>109147.5</v>
      </c>
      <c r="K1034">
        <v>670477.5</v>
      </c>
      <c r="L1034">
        <v>579150</v>
      </c>
      <c r="M1034">
        <v>91327.5</v>
      </c>
      <c r="N1034" s="1">
        <v>41640</v>
      </c>
      <c r="O1034">
        <v>1</v>
      </c>
      <c r="P1034" t="s">
        <v>21</v>
      </c>
      <c r="Q1034">
        <v>2014</v>
      </c>
    </row>
    <row r="1035" spans="1:17" x14ac:dyDescent="0.3">
      <c r="A1035" t="str">
        <f t="shared" ca="1" si="16"/>
        <v>ORD-2014-Ger-5814</v>
      </c>
      <c r="B1035" t="s">
        <v>17</v>
      </c>
      <c r="C1035" t="s">
        <v>22</v>
      </c>
      <c r="D1035" t="s">
        <v>28</v>
      </c>
      <c r="E1035" t="s">
        <v>48</v>
      </c>
      <c r="F1035">
        <v>1199</v>
      </c>
      <c r="G1035">
        <v>5</v>
      </c>
      <c r="H1035">
        <v>350</v>
      </c>
      <c r="I1035">
        <v>419650</v>
      </c>
      <c r="J1035">
        <v>58751</v>
      </c>
      <c r="K1035">
        <v>360899</v>
      </c>
      <c r="L1035">
        <v>311740</v>
      </c>
      <c r="M1035">
        <v>49159</v>
      </c>
      <c r="N1035" s="1">
        <v>41730</v>
      </c>
      <c r="O1035">
        <v>4</v>
      </c>
      <c r="P1035" t="s">
        <v>43</v>
      </c>
      <c r="Q1035">
        <v>2014</v>
      </c>
    </row>
    <row r="1036" spans="1:17" x14ac:dyDescent="0.3">
      <c r="A1036" t="str">
        <f t="shared" ca="1" si="16"/>
        <v>ORD-2014-Ca0-1617</v>
      </c>
      <c r="B1036" t="s">
        <v>17</v>
      </c>
      <c r="C1036" t="s">
        <v>18</v>
      </c>
      <c r="D1036" t="s">
        <v>28</v>
      </c>
      <c r="E1036" t="s">
        <v>48</v>
      </c>
      <c r="F1036">
        <v>200</v>
      </c>
      <c r="G1036">
        <v>5</v>
      </c>
      <c r="H1036">
        <v>350</v>
      </c>
      <c r="I1036">
        <v>70000</v>
      </c>
      <c r="J1036">
        <v>9800</v>
      </c>
      <c r="K1036">
        <v>60200</v>
      </c>
      <c r="L1036">
        <v>52000</v>
      </c>
      <c r="M1036">
        <v>8200</v>
      </c>
      <c r="N1036" s="1">
        <v>41760</v>
      </c>
      <c r="O1036">
        <v>5</v>
      </c>
      <c r="P1036" t="s">
        <v>46</v>
      </c>
      <c r="Q1036">
        <v>2014</v>
      </c>
    </row>
    <row r="1037" spans="1:17" x14ac:dyDescent="0.3">
      <c r="A1037" t="str">
        <f t="shared" ca="1" si="16"/>
        <v>ORD-2014-Ca0-9308</v>
      </c>
      <c r="B1037" t="s">
        <v>17</v>
      </c>
      <c r="C1037" t="s">
        <v>18</v>
      </c>
      <c r="D1037" t="s">
        <v>28</v>
      </c>
      <c r="E1037" t="s">
        <v>48</v>
      </c>
      <c r="F1037">
        <v>388</v>
      </c>
      <c r="G1037">
        <v>5</v>
      </c>
      <c r="H1037">
        <v>7</v>
      </c>
      <c r="I1037">
        <v>2716</v>
      </c>
      <c r="J1037">
        <v>380.24</v>
      </c>
      <c r="K1037">
        <v>2335.7600000000002</v>
      </c>
      <c r="L1037">
        <v>1940</v>
      </c>
      <c r="M1037">
        <v>395.76</v>
      </c>
      <c r="N1037" s="1">
        <v>41883</v>
      </c>
      <c r="O1037">
        <v>9</v>
      </c>
      <c r="P1037" t="s">
        <v>35</v>
      </c>
      <c r="Q1037">
        <v>2014</v>
      </c>
    </row>
    <row r="1038" spans="1:17" x14ac:dyDescent="0.3">
      <c r="A1038" t="str">
        <f t="shared" ca="1" si="16"/>
        <v>ORD-2013-Mex-7442</v>
      </c>
      <c r="B1038" t="s">
        <v>17</v>
      </c>
      <c r="C1038" t="s">
        <v>26</v>
      </c>
      <c r="D1038" t="s">
        <v>28</v>
      </c>
      <c r="E1038" t="s">
        <v>48</v>
      </c>
      <c r="F1038">
        <v>1727</v>
      </c>
      <c r="G1038">
        <v>5</v>
      </c>
      <c r="H1038">
        <v>7</v>
      </c>
      <c r="I1038">
        <v>12089</v>
      </c>
      <c r="J1038">
        <v>1692.46</v>
      </c>
      <c r="K1038">
        <v>10396.540000000001</v>
      </c>
      <c r="L1038">
        <v>8635</v>
      </c>
      <c r="M1038">
        <v>1761.54</v>
      </c>
      <c r="N1038" s="1">
        <v>41548</v>
      </c>
      <c r="O1038">
        <v>10</v>
      </c>
      <c r="P1038" t="s">
        <v>36</v>
      </c>
      <c r="Q1038">
        <v>2013</v>
      </c>
    </row>
    <row r="1039" spans="1:17" x14ac:dyDescent="0.3">
      <c r="A1039" t="str">
        <f t="shared" ca="1" si="16"/>
        <v>ORD-2014-Ca0-6468</v>
      </c>
      <c r="B1039" t="s">
        <v>23</v>
      </c>
      <c r="C1039" t="s">
        <v>18</v>
      </c>
      <c r="D1039" t="s">
        <v>28</v>
      </c>
      <c r="E1039" t="s">
        <v>48</v>
      </c>
      <c r="F1039">
        <v>2300</v>
      </c>
      <c r="G1039">
        <v>5</v>
      </c>
      <c r="H1039">
        <v>15</v>
      </c>
      <c r="I1039">
        <v>34500</v>
      </c>
      <c r="J1039">
        <v>4830</v>
      </c>
      <c r="K1039">
        <v>29670</v>
      </c>
      <c r="L1039">
        <v>23000</v>
      </c>
      <c r="M1039">
        <v>6670</v>
      </c>
      <c r="N1039" s="1">
        <v>41974</v>
      </c>
      <c r="O1039">
        <v>12</v>
      </c>
      <c r="P1039" t="s">
        <v>27</v>
      </c>
      <c r="Q1039">
        <v>2014</v>
      </c>
    </row>
    <row r="1040" spans="1:17" x14ac:dyDescent="0.3">
      <c r="A1040" t="str">
        <f t="shared" ca="1" si="16"/>
        <v>ORD-2014-Mex-6646</v>
      </c>
      <c r="B1040" t="s">
        <v>17</v>
      </c>
      <c r="C1040" t="s">
        <v>26</v>
      </c>
      <c r="D1040" t="s">
        <v>38</v>
      </c>
      <c r="E1040" t="s">
        <v>48</v>
      </c>
      <c r="F1040">
        <v>260</v>
      </c>
      <c r="G1040">
        <v>10</v>
      </c>
      <c r="H1040">
        <v>20</v>
      </c>
      <c r="I1040">
        <v>5200</v>
      </c>
      <c r="J1040">
        <v>728</v>
      </c>
      <c r="K1040">
        <v>4472</v>
      </c>
      <c r="L1040">
        <v>2600</v>
      </c>
      <c r="M1040">
        <v>1872</v>
      </c>
      <c r="N1040" s="1">
        <v>41671</v>
      </c>
      <c r="O1040">
        <v>2</v>
      </c>
      <c r="P1040" t="s">
        <v>39</v>
      </c>
      <c r="Q1040">
        <v>2014</v>
      </c>
    </row>
    <row r="1041" spans="1:17" x14ac:dyDescent="0.3">
      <c r="A1041" t="str">
        <f t="shared" ca="1" si="16"/>
        <v>ORD-2013-Ca0-9540</v>
      </c>
      <c r="B1041" t="s">
        <v>23</v>
      </c>
      <c r="C1041" t="s">
        <v>18</v>
      </c>
      <c r="D1041" t="s">
        <v>38</v>
      </c>
      <c r="E1041" t="s">
        <v>48</v>
      </c>
      <c r="F1041">
        <v>2470</v>
      </c>
      <c r="G1041">
        <v>10</v>
      </c>
      <c r="H1041">
        <v>15</v>
      </c>
      <c r="I1041">
        <v>37050</v>
      </c>
      <c r="J1041">
        <v>5187</v>
      </c>
      <c r="K1041">
        <v>31863</v>
      </c>
      <c r="L1041">
        <v>24700</v>
      </c>
      <c r="M1041">
        <v>7163</v>
      </c>
      <c r="N1041" s="1">
        <v>41518</v>
      </c>
      <c r="O1041">
        <v>9</v>
      </c>
      <c r="P1041" t="s">
        <v>35</v>
      </c>
      <c r="Q1041">
        <v>2013</v>
      </c>
    </row>
    <row r="1042" spans="1:17" x14ac:dyDescent="0.3">
      <c r="A1042" t="str">
        <f t="shared" ca="1" si="16"/>
        <v>ORD-2013-Ca0-3761</v>
      </c>
      <c r="B1042" t="s">
        <v>23</v>
      </c>
      <c r="C1042" t="s">
        <v>18</v>
      </c>
      <c r="D1042" t="s">
        <v>38</v>
      </c>
      <c r="E1042" t="s">
        <v>48</v>
      </c>
      <c r="F1042">
        <v>1743</v>
      </c>
      <c r="G1042">
        <v>10</v>
      </c>
      <c r="H1042">
        <v>15</v>
      </c>
      <c r="I1042">
        <v>26145</v>
      </c>
      <c r="J1042">
        <v>3660.3</v>
      </c>
      <c r="K1042">
        <v>22484.7</v>
      </c>
      <c r="L1042">
        <v>17430</v>
      </c>
      <c r="M1042">
        <v>5054.7</v>
      </c>
      <c r="N1042" s="1">
        <v>41548</v>
      </c>
      <c r="O1042">
        <v>10</v>
      </c>
      <c r="P1042" t="s">
        <v>36</v>
      </c>
      <c r="Q1042">
        <v>2013</v>
      </c>
    </row>
    <row r="1043" spans="1:17" x14ac:dyDescent="0.3">
      <c r="A1043" t="str">
        <f t="shared" ca="1" si="16"/>
        <v>ORD-2014-Uni-1361</v>
      </c>
      <c r="B1043" t="s">
        <v>30</v>
      </c>
      <c r="C1043" t="s">
        <v>37</v>
      </c>
      <c r="D1043" t="s">
        <v>38</v>
      </c>
      <c r="E1043" t="s">
        <v>48</v>
      </c>
      <c r="F1043">
        <v>2914</v>
      </c>
      <c r="G1043">
        <v>10</v>
      </c>
      <c r="H1043">
        <v>12</v>
      </c>
      <c r="I1043">
        <v>34968</v>
      </c>
      <c r="J1043">
        <v>4895.5200000000004</v>
      </c>
      <c r="K1043">
        <v>30072.48</v>
      </c>
      <c r="L1043">
        <v>8742</v>
      </c>
      <c r="M1043">
        <v>21330.48</v>
      </c>
      <c r="N1043" s="1">
        <v>41913</v>
      </c>
      <c r="O1043">
        <v>10</v>
      </c>
      <c r="P1043" t="s">
        <v>36</v>
      </c>
      <c r="Q1043">
        <v>2014</v>
      </c>
    </row>
    <row r="1044" spans="1:17" x14ac:dyDescent="0.3">
      <c r="A1044" t="str">
        <f t="shared" ca="1" si="16"/>
        <v>ORD-2014-Fra-9165</v>
      </c>
      <c r="B1044" t="s">
        <v>17</v>
      </c>
      <c r="C1044" t="s">
        <v>24</v>
      </c>
      <c r="D1044" t="s">
        <v>38</v>
      </c>
      <c r="E1044" t="s">
        <v>48</v>
      </c>
      <c r="F1044">
        <v>1731</v>
      </c>
      <c r="G1044">
        <v>10</v>
      </c>
      <c r="H1044">
        <v>7</v>
      </c>
      <c r="I1044">
        <v>12117</v>
      </c>
      <c r="J1044">
        <v>1696.38</v>
      </c>
      <c r="K1044">
        <v>10420.620000000001</v>
      </c>
      <c r="L1044">
        <v>8655</v>
      </c>
      <c r="M1044">
        <v>1765.62</v>
      </c>
      <c r="N1044" s="1">
        <v>41913</v>
      </c>
      <c r="O1044">
        <v>10</v>
      </c>
      <c r="P1044" t="s">
        <v>36</v>
      </c>
      <c r="Q1044">
        <v>2014</v>
      </c>
    </row>
    <row r="1045" spans="1:17" x14ac:dyDescent="0.3">
      <c r="A1045" t="str">
        <f t="shared" ca="1" si="16"/>
        <v>ORD-2014-Ca0-7634</v>
      </c>
      <c r="B1045" t="s">
        <v>17</v>
      </c>
      <c r="C1045" t="s">
        <v>18</v>
      </c>
      <c r="D1045" t="s">
        <v>38</v>
      </c>
      <c r="E1045" t="s">
        <v>48</v>
      </c>
      <c r="F1045">
        <v>700</v>
      </c>
      <c r="G1045">
        <v>10</v>
      </c>
      <c r="H1045">
        <v>350</v>
      </c>
      <c r="I1045">
        <v>245000</v>
      </c>
      <c r="J1045">
        <v>34300</v>
      </c>
      <c r="K1045">
        <v>210700</v>
      </c>
      <c r="L1045">
        <v>182000</v>
      </c>
      <c r="M1045">
        <v>28700</v>
      </c>
      <c r="N1045" s="1">
        <v>41944</v>
      </c>
      <c r="O1045">
        <v>11</v>
      </c>
      <c r="P1045" t="s">
        <v>40</v>
      </c>
      <c r="Q1045">
        <v>2014</v>
      </c>
    </row>
    <row r="1046" spans="1:17" x14ac:dyDescent="0.3">
      <c r="A1046" t="str">
        <f t="shared" ca="1" si="16"/>
        <v>ORD-2013-Ca0-3876</v>
      </c>
      <c r="B1046" t="s">
        <v>30</v>
      </c>
      <c r="C1046" t="s">
        <v>18</v>
      </c>
      <c r="D1046" t="s">
        <v>38</v>
      </c>
      <c r="E1046" t="s">
        <v>48</v>
      </c>
      <c r="F1046">
        <v>2222</v>
      </c>
      <c r="G1046">
        <v>10</v>
      </c>
      <c r="H1046">
        <v>12</v>
      </c>
      <c r="I1046">
        <v>26664</v>
      </c>
      <c r="J1046">
        <v>3732.96</v>
      </c>
      <c r="K1046">
        <v>22931.040000000001</v>
      </c>
      <c r="L1046">
        <v>6666</v>
      </c>
      <c r="M1046">
        <v>16265.04</v>
      </c>
      <c r="N1046" s="1">
        <v>41579</v>
      </c>
      <c r="O1046">
        <v>11</v>
      </c>
      <c r="P1046" t="s">
        <v>40</v>
      </c>
      <c r="Q1046">
        <v>2013</v>
      </c>
    </row>
    <row r="1047" spans="1:17" x14ac:dyDescent="0.3">
      <c r="A1047" t="str">
        <f t="shared" ca="1" si="16"/>
        <v>ORD-2014-Uni-2901</v>
      </c>
      <c r="B1047" t="s">
        <v>17</v>
      </c>
      <c r="C1047" t="s">
        <v>37</v>
      </c>
      <c r="D1047" t="s">
        <v>38</v>
      </c>
      <c r="E1047" t="s">
        <v>48</v>
      </c>
      <c r="F1047">
        <v>1177</v>
      </c>
      <c r="G1047">
        <v>10</v>
      </c>
      <c r="H1047">
        <v>350</v>
      </c>
      <c r="I1047">
        <v>411950</v>
      </c>
      <c r="J1047">
        <v>57673</v>
      </c>
      <c r="K1047">
        <v>354277</v>
      </c>
      <c r="L1047">
        <v>306020</v>
      </c>
      <c r="M1047">
        <v>48257</v>
      </c>
      <c r="N1047" s="1">
        <v>41944</v>
      </c>
      <c r="O1047">
        <v>11</v>
      </c>
      <c r="P1047" t="s">
        <v>40</v>
      </c>
      <c r="Q1047">
        <v>2014</v>
      </c>
    </row>
    <row r="1048" spans="1:17" x14ac:dyDescent="0.3">
      <c r="A1048" t="str">
        <f t="shared" ca="1" si="16"/>
        <v>ORD-2013-Fra-2244</v>
      </c>
      <c r="B1048" t="s">
        <v>17</v>
      </c>
      <c r="C1048" t="s">
        <v>24</v>
      </c>
      <c r="D1048" t="s">
        <v>38</v>
      </c>
      <c r="E1048" t="s">
        <v>48</v>
      </c>
      <c r="F1048">
        <v>1922</v>
      </c>
      <c r="G1048">
        <v>10</v>
      </c>
      <c r="H1048">
        <v>350</v>
      </c>
      <c r="I1048">
        <v>672700</v>
      </c>
      <c r="J1048">
        <v>94178</v>
      </c>
      <c r="K1048">
        <v>578522</v>
      </c>
      <c r="L1048">
        <v>499720</v>
      </c>
      <c r="M1048">
        <v>78802</v>
      </c>
      <c r="N1048" s="1">
        <v>41579</v>
      </c>
      <c r="O1048">
        <v>11</v>
      </c>
      <c r="P1048" t="s">
        <v>40</v>
      </c>
      <c r="Q1048">
        <v>2013</v>
      </c>
    </row>
    <row r="1049" spans="1:17" x14ac:dyDescent="0.3">
      <c r="A1049" t="str">
        <f t="shared" ca="1" si="16"/>
        <v>ORD-2014-Mex-7241</v>
      </c>
      <c r="B1049" t="s">
        <v>31</v>
      </c>
      <c r="C1049" t="s">
        <v>26</v>
      </c>
      <c r="D1049" t="s">
        <v>41</v>
      </c>
      <c r="E1049" t="s">
        <v>48</v>
      </c>
      <c r="F1049">
        <v>1575</v>
      </c>
      <c r="G1049">
        <v>120</v>
      </c>
      <c r="H1049">
        <v>125</v>
      </c>
      <c r="I1049">
        <v>196875</v>
      </c>
      <c r="J1049">
        <v>27562.5</v>
      </c>
      <c r="K1049">
        <v>169312.5</v>
      </c>
      <c r="L1049">
        <v>189000</v>
      </c>
      <c r="M1049">
        <f>K1049-L1049</f>
        <v>-19687.5</v>
      </c>
      <c r="N1049" s="1">
        <v>41671</v>
      </c>
      <c r="O1049">
        <v>2</v>
      </c>
      <c r="P1049" t="s">
        <v>39</v>
      </c>
      <c r="Q1049">
        <v>2014</v>
      </c>
    </row>
    <row r="1050" spans="1:17" x14ac:dyDescent="0.3">
      <c r="A1050" t="str">
        <f t="shared" ca="1" si="16"/>
        <v>ORD-2014-Uni-3954</v>
      </c>
      <c r="B1050" t="s">
        <v>17</v>
      </c>
      <c r="C1050" t="s">
        <v>37</v>
      </c>
      <c r="D1050" t="s">
        <v>41</v>
      </c>
      <c r="E1050" t="s">
        <v>48</v>
      </c>
      <c r="F1050">
        <v>606</v>
      </c>
      <c r="G1050">
        <v>120</v>
      </c>
      <c r="H1050">
        <v>20</v>
      </c>
      <c r="I1050">
        <v>12120</v>
      </c>
      <c r="J1050">
        <v>1696.8</v>
      </c>
      <c r="K1050">
        <v>10423.200000000001</v>
      </c>
      <c r="L1050">
        <v>6060</v>
      </c>
      <c r="M1050">
        <v>4363.2</v>
      </c>
      <c r="N1050" s="1">
        <v>41730</v>
      </c>
      <c r="O1050">
        <v>4</v>
      </c>
      <c r="P1050" t="s">
        <v>43</v>
      </c>
      <c r="Q1050">
        <v>2014</v>
      </c>
    </row>
    <row r="1051" spans="1:17" x14ac:dyDescent="0.3">
      <c r="A1051" t="str">
        <f t="shared" ca="1" si="16"/>
        <v>ORD-2014-Uni-4041</v>
      </c>
      <c r="B1051" t="s">
        <v>33</v>
      </c>
      <c r="C1051" t="s">
        <v>37</v>
      </c>
      <c r="D1051" t="s">
        <v>41</v>
      </c>
      <c r="E1051" t="s">
        <v>48</v>
      </c>
      <c r="F1051">
        <v>2460</v>
      </c>
      <c r="G1051">
        <v>120</v>
      </c>
      <c r="H1051">
        <v>300</v>
      </c>
      <c r="I1051">
        <v>738000</v>
      </c>
      <c r="J1051">
        <v>103320</v>
      </c>
      <c r="K1051">
        <v>634680</v>
      </c>
      <c r="L1051">
        <v>615000</v>
      </c>
      <c r="M1051">
        <v>19680</v>
      </c>
      <c r="N1051" s="1">
        <v>41821</v>
      </c>
      <c r="O1051">
        <v>7</v>
      </c>
      <c r="P1051" t="s">
        <v>32</v>
      </c>
      <c r="Q1051">
        <v>2014</v>
      </c>
    </row>
    <row r="1052" spans="1:17" x14ac:dyDescent="0.3">
      <c r="A1052" t="str">
        <f t="shared" ca="1" si="16"/>
        <v>ORD-2013-Ca0-9209</v>
      </c>
      <c r="B1052" t="s">
        <v>33</v>
      </c>
      <c r="C1052" t="s">
        <v>18</v>
      </c>
      <c r="D1052" t="s">
        <v>41</v>
      </c>
      <c r="E1052" t="s">
        <v>48</v>
      </c>
      <c r="F1052">
        <v>269</v>
      </c>
      <c r="G1052">
        <v>120</v>
      </c>
      <c r="H1052">
        <v>300</v>
      </c>
      <c r="I1052">
        <v>80700</v>
      </c>
      <c r="J1052">
        <v>11298</v>
      </c>
      <c r="K1052">
        <v>69402</v>
      </c>
      <c r="L1052">
        <v>67250</v>
      </c>
      <c r="M1052">
        <v>2152</v>
      </c>
      <c r="N1052" s="1">
        <v>41548</v>
      </c>
      <c r="O1052">
        <v>10</v>
      </c>
      <c r="P1052" t="s">
        <v>36</v>
      </c>
      <c r="Q1052">
        <v>2013</v>
      </c>
    </row>
    <row r="1053" spans="1:17" x14ac:dyDescent="0.3">
      <c r="A1053" t="str">
        <f t="shared" ca="1" si="16"/>
        <v>ORD-2013-Ger-8686</v>
      </c>
      <c r="B1053" t="s">
        <v>33</v>
      </c>
      <c r="C1053" t="s">
        <v>22</v>
      </c>
      <c r="D1053" t="s">
        <v>41</v>
      </c>
      <c r="E1053" t="s">
        <v>48</v>
      </c>
      <c r="F1053">
        <v>2536</v>
      </c>
      <c r="G1053">
        <v>120</v>
      </c>
      <c r="H1053">
        <v>300</v>
      </c>
      <c r="I1053">
        <v>760800</v>
      </c>
      <c r="J1053">
        <v>106512</v>
      </c>
      <c r="K1053">
        <v>654288</v>
      </c>
      <c r="L1053">
        <v>634000</v>
      </c>
      <c r="M1053">
        <v>20288</v>
      </c>
      <c r="N1053" s="1">
        <v>41579</v>
      </c>
      <c r="O1053">
        <v>11</v>
      </c>
      <c r="P1053" t="s">
        <v>40</v>
      </c>
      <c r="Q1053">
        <v>2013</v>
      </c>
    </row>
    <row r="1054" spans="1:17" x14ac:dyDescent="0.3">
      <c r="A1054" t="str">
        <f t="shared" ca="1" si="16"/>
        <v>ORD-2014-Mex-9999</v>
      </c>
      <c r="B1054" t="s">
        <v>17</v>
      </c>
      <c r="C1054" t="s">
        <v>26</v>
      </c>
      <c r="D1054" t="s">
        <v>42</v>
      </c>
      <c r="E1054" t="s">
        <v>48</v>
      </c>
      <c r="F1054">
        <v>2903</v>
      </c>
      <c r="G1054">
        <v>250</v>
      </c>
      <c r="H1054">
        <v>7</v>
      </c>
      <c r="I1054">
        <v>20321</v>
      </c>
      <c r="J1054">
        <v>2844.94</v>
      </c>
      <c r="K1054">
        <v>17476.060000000001</v>
      </c>
      <c r="L1054">
        <v>14515</v>
      </c>
      <c r="M1054">
        <v>2961.06</v>
      </c>
      <c r="N1054" s="1">
        <v>41699</v>
      </c>
      <c r="O1054">
        <v>3</v>
      </c>
      <c r="P1054" t="s">
        <v>29</v>
      </c>
      <c r="Q1054">
        <v>2014</v>
      </c>
    </row>
    <row r="1055" spans="1:17" x14ac:dyDescent="0.3">
      <c r="A1055" t="str">
        <f t="shared" ca="1" si="16"/>
        <v>ORD-2014-Uni-6643</v>
      </c>
      <c r="B1055" t="s">
        <v>33</v>
      </c>
      <c r="C1055" t="s">
        <v>37</v>
      </c>
      <c r="D1055" t="s">
        <v>42</v>
      </c>
      <c r="E1055" t="s">
        <v>48</v>
      </c>
      <c r="F1055">
        <v>2541</v>
      </c>
      <c r="G1055">
        <v>250</v>
      </c>
      <c r="H1055">
        <v>300</v>
      </c>
      <c r="I1055">
        <v>762300</v>
      </c>
      <c r="J1055">
        <v>106722</v>
      </c>
      <c r="K1055">
        <v>655578</v>
      </c>
      <c r="L1055">
        <v>635250</v>
      </c>
      <c r="M1055">
        <v>20328</v>
      </c>
      <c r="N1055" s="1">
        <v>41852</v>
      </c>
      <c r="O1055">
        <v>8</v>
      </c>
      <c r="P1055" t="s">
        <v>34</v>
      </c>
      <c r="Q1055">
        <v>2014</v>
      </c>
    </row>
    <row r="1056" spans="1:17" x14ac:dyDescent="0.3">
      <c r="A1056" t="str">
        <f t="shared" ca="1" si="16"/>
        <v>ORD-2013-Ca0-8495</v>
      </c>
      <c r="B1056" t="s">
        <v>33</v>
      </c>
      <c r="C1056" t="s">
        <v>18</v>
      </c>
      <c r="D1056" t="s">
        <v>42</v>
      </c>
      <c r="E1056" t="s">
        <v>48</v>
      </c>
      <c r="F1056">
        <v>269</v>
      </c>
      <c r="G1056">
        <v>250</v>
      </c>
      <c r="H1056">
        <v>300</v>
      </c>
      <c r="I1056">
        <v>80700</v>
      </c>
      <c r="J1056">
        <v>11298</v>
      </c>
      <c r="K1056">
        <v>69402</v>
      </c>
      <c r="L1056">
        <v>67250</v>
      </c>
      <c r="M1056">
        <v>2152</v>
      </c>
      <c r="N1056" s="1">
        <v>41548</v>
      </c>
      <c r="O1056">
        <v>10</v>
      </c>
      <c r="P1056" t="s">
        <v>36</v>
      </c>
      <c r="Q1056">
        <v>2013</v>
      </c>
    </row>
    <row r="1057" spans="1:17" x14ac:dyDescent="0.3">
      <c r="A1057" t="str">
        <f t="shared" ca="1" si="16"/>
        <v>ORD-2014-Ca0-8257</v>
      </c>
      <c r="B1057" t="s">
        <v>33</v>
      </c>
      <c r="C1057" t="s">
        <v>18</v>
      </c>
      <c r="D1057" t="s">
        <v>42</v>
      </c>
      <c r="E1057" t="s">
        <v>48</v>
      </c>
      <c r="F1057">
        <v>1496</v>
      </c>
      <c r="G1057">
        <v>250</v>
      </c>
      <c r="H1057">
        <v>300</v>
      </c>
      <c r="I1057">
        <v>448800</v>
      </c>
      <c r="J1057">
        <v>62832</v>
      </c>
      <c r="K1057">
        <v>385968</v>
      </c>
      <c r="L1057">
        <v>374000</v>
      </c>
      <c r="M1057">
        <v>11968</v>
      </c>
      <c r="N1057" s="1">
        <v>41913</v>
      </c>
      <c r="O1057">
        <v>10</v>
      </c>
      <c r="P1057" t="s">
        <v>36</v>
      </c>
      <c r="Q1057">
        <v>2014</v>
      </c>
    </row>
    <row r="1058" spans="1:17" x14ac:dyDescent="0.3">
      <c r="A1058" t="str">
        <f t="shared" ca="1" si="16"/>
        <v>ORD-2014-Uni-5316</v>
      </c>
      <c r="B1058" t="s">
        <v>33</v>
      </c>
      <c r="C1058" t="s">
        <v>37</v>
      </c>
      <c r="D1058" t="s">
        <v>42</v>
      </c>
      <c r="E1058" t="s">
        <v>48</v>
      </c>
      <c r="F1058">
        <v>1010</v>
      </c>
      <c r="G1058">
        <v>250</v>
      </c>
      <c r="H1058">
        <v>300</v>
      </c>
      <c r="I1058">
        <v>303000</v>
      </c>
      <c r="J1058">
        <v>42420</v>
      </c>
      <c r="K1058">
        <v>260580</v>
      </c>
      <c r="L1058">
        <v>252500</v>
      </c>
      <c r="M1058">
        <v>8080</v>
      </c>
      <c r="N1058" s="1">
        <v>41913</v>
      </c>
      <c r="O1058">
        <v>10</v>
      </c>
      <c r="P1058" t="s">
        <v>36</v>
      </c>
      <c r="Q1058">
        <v>2014</v>
      </c>
    </row>
    <row r="1059" spans="1:17" x14ac:dyDescent="0.3">
      <c r="A1059" t="str">
        <f t="shared" ca="1" si="16"/>
        <v>ORD-2013-Fra-1834</v>
      </c>
      <c r="B1059" t="s">
        <v>17</v>
      </c>
      <c r="C1059" t="s">
        <v>24</v>
      </c>
      <c r="D1059" t="s">
        <v>42</v>
      </c>
      <c r="E1059" t="s">
        <v>48</v>
      </c>
      <c r="F1059">
        <v>1281</v>
      </c>
      <c r="G1059">
        <v>250</v>
      </c>
      <c r="H1059">
        <v>350</v>
      </c>
      <c r="I1059">
        <v>448350</v>
      </c>
      <c r="J1059">
        <v>62769</v>
      </c>
      <c r="K1059">
        <v>385581</v>
      </c>
      <c r="L1059">
        <v>333060</v>
      </c>
      <c r="M1059">
        <v>52521</v>
      </c>
      <c r="N1059" s="1">
        <v>41609</v>
      </c>
      <c r="O1059">
        <v>12</v>
      </c>
      <c r="P1059" t="s">
        <v>27</v>
      </c>
      <c r="Q1059">
        <v>2013</v>
      </c>
    </row>
    <row r="1060" spans="1:17" x14ac:dyDescent="0.3">
      <c r="A1060" t="str">
        <f t="shared" ca="1" si="16"/>
        <v>ORD-2014-Ca0-2556</v>
      </c>
      <c r="B1060" t="s">
        <v>33</v>
      </c>
      <c r="C1060" t="s">
        <v>18</v>
      </c>
      <c r="D1060" t="s">
        <v>44</v>
      </c>
      <c r="E1060" t="s">
        <v>48</v>
      </c>
      <c r="F1060">
        <v>888</v>
      </c>
      <c r="G1060">
        <v>260</v>
      </c>
      <c r="H1060">
        <v>300</v>
      </c>
      <c r="I1060">
        <v>266400</v>
      </c>
      <c r="J1060">
        <v>37296</v>
      </c>
      <c r="K1060">
        <v>229104</v>
      </c>
      <c r="L1060">
        <v>222000</v>
      </c>
      <c r="M1060">
        <v>7104</v>
      </c>
      <c r="N1060" s="1">
        <v>41699</v>
      </c>
      <c r="O1060">
        <v>3</v>
      </c>
      <c r="P1060" t="s">
        <v>29</v>
      </c>
      <c r="Q1060">
        <v>2014</v>
      </c>
    </row>
    <row r="1061" spans="1:17" x14ac:dyDescent="0.3">
      <c r="A1061" t="str">
        <f t="shared" ca="1" si="16"/>
        <v>ORD-2014-Uni-3121</v>
      </c>
      <c r="B1061" t="s">
        <v>31</v>
      </c>
      <c r="C1061" t="s">
        <v>37</v>
      </c>
      <c r="D1061" t="s">
        <v>44</v>
      </c>
      <c r="E1061" t="s">
        <v>48</v>
      </c>
      <c r="F1061">
        <v>2844</v>
      </c>
      <c r="G1061">
        <v>260</v>
      </c>
      <c r="H1061">
        <v>125</v>
      </c>
      <c r="I1061">
        <v>355500</v>
      </c>
      <c r="J1061">
        <v>49770</v>
      </c>
      <c r="K1061">
        <v>305730</v>
      </c>
      <c r="L1061">
        <v>341280</v>
      </c>
      <c r="M1061">
        <f>K1061-L1061</f>
        <v>-35550</v>
      </c>
      <c r="N1061" s="1">
        <v>41760</v>
      </c>
      <c r="O1061">
        <v>5</v>
      </c>
      <c r="P1061" t="s">
        <v>46</v>
      </c>
      <c r="Q1061">
        <v>2014</v>
      </c>
    </row>
    <row r="1062" spans="1:17" x14ac:dyDescent="0.3">
      <c r="A1062" t="str">
        <f t="shared" ca="1" si="16"/>
        <v>ORD-2014-Fra-5481</v>
      </c>
      <c r="B1062" t="s">
        <v>30</v>
      </c>
      <c r="C1062" t="s">
        <v>24</v>
      </c>
      <c r="D1062" t="s">
        <v>44</v>
      </c>
      <c r="E1062" t="s">
        <v>48</v>
      </c>
      <c r="F1062">
        <v>2475</v>
      </c>
      <c r="G1062">
        <v>260</v>
      </c>
      <c r="H1062">
        <v>12</v>
      </c>
      <c r="I1062">
        <v>29700</v>
      </c>
      <c r="J1062">
        <v>4158</v>
      </c>
      <c r="K1062">
        <v>25542</v>
      </c>
      <c r="L1062">
        <v>7425</v>
      </c>
      <c r="M1062">
        <v>18117</v>
      </c>
      <c r="N1062" s="1">
        <v>41852</v>
      </c>
      <c r="O1062">
        <v>8</v>
      </c>
      <c r="P1062" t="s">
        <v>34</v>
      </c>
      <c r="Q1062">
        <v>2014</v>
      </c>
    </row>
    <row r="1063" spans="1:17" x14ac:dyDescent="0.3">
      <c r="A1063" t="str">
        <f t="shared" ca="1" si="16"/>
        <v>ORD-2013-Ca0-9532</v>
      </c>
      <c r="B1063" t="s">
        <v>23</v>
      </c>
      <c r="C1063" t="s">
        <v>18</v>
      </c>
      <c r="D1063" t="s">
        <v>44</v>
      </c>
      <c r="E1063" t="s">
        <v>48</v>
      </c>
      <c r="F1063">
        <v>1743</v>
      </c>
      <c r="G1063">
        <v>260</v>
      </c>
      <c r="H1063">
        <v>15</v>
      </c>
      <c r="I1063">
        <v>26145</v>
      </c>
      <c r="J1063">
        <v>3660.3</v>
      </c>
      <c r="K1063">
        <v>22484.7</v>
      </c>
      <c r="L1063">
        <v>17430</v>
      </c>
      <c r="M1063">
        <v>5054.7</v>
      </c>
      <c r="N1063" s="1">
        <v>41548</v>
      </c>
      <c r="O1063">
        <v>10</v>
      </c>
      <c r="P1063" t="s">
        <v>36</v>
      </c>
      <c r="Q1063">
        <v>2013</v>
      </c>
    </row>
    <row r="1064" spans="1:17" x14ac:dyDescent="0.3">
      <c r="A1064" t="str">
        <f t="shared" ca="1" si="16"/>
        <v>ORD-2014-Uni-9353</v>
      </c>
      <c r="B1064" t="s">
        <v>30</v>
      </c>
      <c r="C1064" t="s">
        <v>37</v>
      </c>
      <c r="D1064" t="s">
        <v>44</v>
      </c>
      <c r="E1064" t="s">
        <v>48</v>
      </c>
      <c r="F1064">
        <v>2914</v>
      </c>
      <c r="G1064">
        <v>260</v>
      </c>
      <c r="H1064">
        <v>12</v>
      </c>
      <c r="I1064">
        <v>34968</v>
      </c>
      <c r="J1064">
        <v>4895.5200000000004</v>
      </c>
      <c r="K1064">
        <v>30072.48</v>
      </c>
      <c r="L1064">
        <v>8742</v>
      </c>
      <c r="M1064">
        <v>21330.48</v>
      </c>
      <c r="N1064" s="1">
        <v>41913</v>
      </c>
      <c r="O1064">
        <v>10</v>
      </c>
      <c r="P1064" t="s">
        <v>36</v>
      </c>
      <c r="Q1064">
        <v>2014</v>
      </c>
    </row>
    <row r="1065" spans="1:17" x14ac:dyDescent="0.3">
      <c r="A1065" t="str">
        <f t="shared" ca="1" si="16"/>
        <v>ORD-2014-Fra-7390</v>
      </c>
      <c r="B1065" t="s">
        <v>17</v>
      </c>
      <c r="C1065" t="s">
        <v>24</v>
      </c>
      <c r="D1065" t="s">
        <v>44</v>
      </c>
      <c r="E1065" t="s">
        <v>48</v>
      </c>
      <c r="F1065">
        <v>1731</v>
      </c>
      <c r="G1065">
        <v>260</v>
      </c>
      <c r="H1065">
        <v>7</v>
      </c>
      <c r="I1065">
        <v>12117</v>
      </c>
      <c r="J1065">
        <v>1696.38</v>
      </c>
      <c r="K1065">
        <v>10420.620000000001</v>
      </c>
      <c r="L1065">
        <v>8655</v>
      </c>
      <c r="M1065">
        <v>1765.62</v>
      </c>
      <c r="N1065" s="1">
        <v>41913</v>
      </c>
      <c r="O1065">
        <v>10</v>
      </c>
      <c r="P1065" t="s">
        <v>36</v>
      </c>
      <c r="Q1065">
        <v>2014</v>
      </c>
    </row>
    <row r="1066" spans="1:17" x14ac:dyDescent="0.3">
      <c r="A1066" t="str">
        <f t="shared" ca="1" si="16"/>
        <v>ORD-2013-Mex-1931</v>
      </c>
      <c r="B1066" t="s">
        <v>17</v>
      </c>
      <c r="C1066" t="s">
        <v>26</v>
      </c>
      <c r="D1066" t="s">
        <v>44</v>
      </c>
      <c r="E1066" t="s">
        <v>48</v>
      </c>
      <c r="F1066">
        <v>1727</v>
      </c>
      <c r="G1066">
        <v>260</v>
      </c>
      <c r="H1066">
        <v>7</v>
      </c>
      <c r="I1066">
        <v>12089</v>
      </c>
      <c r="J1066">
        <v>1692.46</v>
      </c>
      <c r="K1066">
        <v>10396.540000000001</v>
      </c>
      <c r="L1066">
        <v>8635</v>
      </c>
      <c r="M1066">
        <v>1761.54</v>
      </c>
      <c r="N1066" s="1">
        <v>41548</v>
      </c>
      <c r="O1066">
        <v>10</v>
      </c>
      <c r="P1066" t="s">
        <v>36</v>
      </c>
      <c r="Q1066">
        <v>2013</v>
      </c>
    </row>
    <row r="1067" spans="1:17" x14ac:dyDescent="0.3">
      <c r="A1067" t="str">
        <f t="shared" ca="1" si="16"/>
        <v>ORD-2013-Mex-2007</v>
      </c>
      <c r="B1067" t="s">
        <v>23</v>
      </c>
      <c r="C1067" t="s">
        <v>26</v>
      </c>
      <c r="D1067" t="s">
        <v>44</v>
      </c>
      <c r="E1067" t="s">
        <v>48</v>
      </c>
      <c r="F1067">
        <v>1870</v>
      </c>
      <c r="G1067">
        <v>260</v>
      </c>
      <c r="H1067">
        <v>15</v>
      </c>
      <c r="I1067">
        <v>28050</v>
      </c>
      <c r="J1067">
        <v>3927</v>
      </c>
      <c r="K1067">
        <v>24123</v>
      </c>
      <c r="L1067">
        <v>18700</v>
      </c>
      <c r="M1067">
        <v>5423</v>
      </c>
      <c r="N1067" s="1">
        <v>41579</v>
      </c>
      <c r="O1067">
        <v>11</v>
      </c>
      <c r="P1067" t="s">
        <v>40</v>
      </c>
      <c r="Q1067">
        <v>2013</v>
      </c>
    </row>
    <row r="1068" spans="1:17" x14ac:dyDescent="0.3">
      <c r="A1068" t="str">
        <f t="shared" ca="1" si="16"/>
        <v>ORD-2014-Fra-4830</v>
      </c>
      <c r="B1068" t="s">
        <v>31</v>
      </c>
      <c r="C1068" t="s">
        <v>24</v>
      </c>
      <c r="D1068" t="s">
        <v>19</v>
      </c>
      <c r="E1068" t="s">
        <v>48</v>
      </c>
      <c r="F1068">
        <v>1174</v>
      </c>
      <c r="G1068">
        <v>3</v>
      </c>
      <c r="H1068">
        <v>125</v>
      </c>
      <c r="I1068">
        <v>146750</v>
      </c>
      <c r="J1068">
        <v>22012.5</v>
      </c>
      <c r="K1068">
        <v>124737.5</v>
      </c>
      <c r="L1068">
        <v>140880</v>
      </c>
      <c r="M1068">
        <f>K1068-L1068</f>
        <v>-16142.5</v>
      </c>
      <c r="N1068" s="1">
        <v>41852</v>
      </c>
      <c r="O1068">
        <v>8</v>
      </c>
      <c r="P1068" t="s">
        <v>34</v>
      </c>
      <c r="Q1068">
        <v>2014</v>
      </c>
    </row>
    <row r="1069" spans="1:17" x14ac:dyDescent="0.3">
      <c r="A1069" t="str">
        <f t="shared" ca="1" si="16"/>
        <v>ORD-2014-Ger-7157</v>
      </c>
      <c r="B1069" t="s">
        <v>31</v>
      </c>
      <c r="C1069" t="s">
        <v>22</v>
      </c>
      <c r="D1069" t="s">
        <v>19</v>
      </c>
      <c r="E1069" t="s">
        <v>48</v>
      </c>
      <c r="F1069">
        <v>2767</v>
      </c>
      <c r="G1069">
        <v>3</v>
      </c>
      <c r="H1069">
        <v>125</v>
      </c>
      <c r="I1069">
        <v>345875</v>
      </c>
      <c r="J1069">
        <v>51881.25</v>
      </c>
      <c r="K1069">
        <v>293993.75</v>
      </c>
      <c r="L1069">
        <v>332040</v>
      </c>
      <c r="M1069">
        <f>K1069-L1069</f>
        <v>-38046.25</v>
      </c>
      <c r="N1069" s="1">
        <v>41852</v>
      </c>
      <c r="O1069">
        <v>8</v>
      </c>
      <c r="P1069" t="s">
        <v>34</v>
      </c>
      <c r="Q1069">
        <v>2014</v>
      </c>
    </row>
    <row r="1070" spans="1:17" x14ac:dyDescent="0.3">
      <c r="A1070" t="str">
        <f t="shared" ca="1" si="16"/>
        <v>ORD-2014-Ger-4171</v>
      </c>
      <c r="B1070" t="s">
        <v>31</v>
      </c>
      <c r="C1070" t="s">
        <v>22</v>
      </c>
      <c r="D1070" t="s">
        <v>19</v>
      </c>
      <c r="E1070" t="s">
        <v>48</v>
      </c>
      <c r="F1070">
        <v>1085</v>
      </c>
      <c r="G1070">
        <v>3</v>
      </c>
      <c r="H1070">
        <v>125</v>
      </c>
      <c r="I1070">
        <v>135625</v>
      </c>
      <c r="J1070">
        <v>20343.75</v>
      </c>
      <c r="K1070">
        <v>115281.25</v>
      </c>
      <c r="L1070">
        <v>130200</v>
      </c>
      <c r="M1070">
        <f>K1070-L1070</f>
        <v>-14918.75</v>
      </c>
      <c r="N1070" s="1">
        <v>41913</v>
      </c>
      <c r="O1070">
        <v>10</v>
      </c>
      <c r="P1070" t="s">
        <v>36</v>
      </c>
      <c r="Q1070">
        <v>2014</v>
      </c>
    </row>
    <row r="1071" spans="1:17" x14ac:dyDescent="0.3">
      <c r="A1071" t="str">
        <f t="shared" ca="1" si="16"/>
        <v>ORD-2014-Mex-5823</v>
      </c>
      <c r="B1071" t="s">
        <v>33</v>
      </c>
      <c r="C1071" t="s">
        <v>26</v>
      </c>
      <c r="D1071" t="s">
        <v>28</v>
      </c>
      <c r="E1071" t="s">
        <v>48</v>
      </c>
      <c r="F1071">
        <v>546</v>
      </c>
      <c r="G1071">
        <v>5</v>
      </c>
      <c r="H1071">
        <v>300</v>
      </c>
      <c r="I1071">
        <v>163800</v>
      </c>
      <c r="J1071">
        <v>24570</v>
      </c>
      <c r="K1071">
        <v>139230</v>
      </c>
      <c r="L1071">
        <v>136500</v>
      </c>
      <c r="M1071">
        <v>2730</v>
      </c>
      <c r="N1071" s="1">
        <v>41913</v>
      </c>
      <c r="O1071">
        <v>10</v>
      </c>
      <c r="P1071" t="s">
        <v>36</v>
      </c>
      <c r="Q1071">
        <v>2014</v>
      </c>
    </row>
    <row r="1072" spans="1:17" x14ac:dyDescent="0.3">
      <c r="A1072" t="str">
        <f t="shared" ca="1" si="16"/>
        <v>ORD-2014-Ger-9387</v>
      </c>
      <c r="B1072" t="s">
        <v>17</v>
      </c>
      <c r="C1072" t="s">
        <v>22</v>
      </c>
      <c r="D1072" t="s">
        <v>38</v>
      </c>
      <c r="E1072" t="s">
        <v>48</v>
      </c>
      <c r="F1072">
        <v>1158</v>
      </c>
      <c r="G1072">
        <v>10</v>
      </c>
      <c r="H1072">
        <v>20</v>
      </c>
      <c r="I1072">
        <v>23160</v>
      </c>
      <c r="J1072">
        <v>3474</v>
      </c>
      <c r="K1072">
        <v>19686</v>
      </c>
      <c r="L1072">
        <v>11580</v>
      </c>
      <c r="M1072">
        <v>8106</v>
      </c>
      <c r="N1072" s="1">
        <v>41699</v>
      </c>
      <c r="O1072">
        <v>3</v>
      </c>
      <c r="P1072" t="s">
        <v>29</v>
      </c>
      <c r="Q1072">
        <v>2014</v>
      </c>
    </row>
    <row r="1073" spans="1:17" x14ac:dyDescent="0.3">
      <c r="A1073" t="str">
        <f t="shared" ca="1" si="16"/>
        <v>ORD-2014-Ca0-9131</v>
      </c>
      <c r="B1073" t="s">
        <v>23</v>
      </c>
      <c r="C1073" t="s">
        <v>18</v>
      </c>
      <c r="D1073" t="s">
        <v>38</v>
      </c>
      <c r="E1073" t="s">
        <v>48</v>
      </c>
      <c r="F1073">
        <v>1614</v>
      </c>
      <c r="G1073">
        <v>10</v>
      </c>
      <c r="H1073">
        <v>15</v>
      </c>
      <c r="I1073">
        <v>24210</v>
      </c>
      <c r="J1073">
        <v>3631.5</v>
      </c>
      <c r="K1073">
        <v>20578.5</v>
      </c>
      <c r="L1073">
        <v>16140</v>
      </c>
      <c r="M1073">
        <v>4438.5</v>
      </c>
      <c r="N1073" s="1">
        <v>41730</v>
      </c>
      <c r="O1073">
        <v>4</v>
      </c>
      <c r="P1073" t="s">
        <v>43</v>
      </c>
      <c r="Q1073">
        <v>2014</v>
      </c>
    </row>
    <row r="1074" spans="1:17" x14ac:dyDescent="0.3">
      <c r="A1074" t="str">
        <f t="shared" ca="1" si="16"/>
        <v>ORD-2014-Mex-3365</v>
      </c>
      <c r="B1074" t="s">
        <v>17</v>
      </c>
      <c r="C1074" t="s">
        <v>26</v>
      </c>
      <c r="D1074" t="s">
        <v>38</v>
      </c>
      <c r="E1074" t="s">
        <v>48</v>
      </c>
      <c r="F1074">
        <v>2535</v>
      </c>
      <c r="G1074">
        <v>10</v>
      </c>
      <c r="H1074">
        <v>7</v>
      </c>
      <c r="I1074">
        <v>17745</v>
      </c>
      <c r="J1074">
        <v>2661.75</v>
      </c>
      <c r="K1074">
        <v>15083.25</v>
      </c>
      <c r="L1074">
        <v>12675</v>
      </c>
      <c r="M1074">
        <v>2408.25</v>
      </c>
      <c r="N1074" s="1">
        <v>41730</v>
      </c>
      <c r="O1074">
        <v>4</v>
      </c>
      <c r="P1074" t="s">
        <v>43</v>
      </c>
      <c r="Q1074">
        <v>2014</v>
      </c>
    </row>
    <row r="1075" spans="1:17" x14ac:dyDescent="0.3">
      <c r="A1075" t="str">
        <f t="shared" ca="1" si="16"/>
        <v>ORD-2014-Mex-6526</v>
      </c>
      <c r="B1075" t="s">
        <v>17</v>
      </c>
      <c r="C1075" t="s">
        <v>26</v>
      </c>
      <c r="D1075" t="s">
        <v>38</v>
      </c>
      <c r="E1075" t="s">
        <v>48</v>
      </c>
      <c r="F1075">
        <v>2851</v>
      </c>
      <c r="G1075">
        <v>10</v>
      </c>
      <c r="H1075">
        <v>350</v>
      </c>
      <c r="I1075">
        <v>997850</v>
      </c>
      <c r="J1075">
        <v>149677.5</v>
      </c>
      <c r="K1075">
        <v>848172.5</v>
      </c>
      <c r="L1075">
        <v>741260</v>
      </c>
      <c r="M1075">
        <v>106912.5</v>
      </c>
      <c r="N1075" s="1">
        <v>41760</v>
      </c>
      <c r="O1075">
        <v>5</v>
      </c>
      <c r="P1075" t="s">
        <v>46</v>
      </c>
      <c r="Q1075">
        <v>2014</v>
      </c>
    </row>
    <row r="1076" spans="1:17" x14ac:dyDescent="0.3">
      <c r="A1076" t="str">
        <f t="shared" ca="1" si="16"/>
        <v>ORD-2014-Ca0-4287</v>
      </c>
      <c r="B1076" t="s">
        <v>23</v>
      </c>
      <c r="C1076" t="s">
        <v>18</v>
      </c>
      <c r="D1076" t="s">
        <v>38</v>
      </c>
      <c r="E1076" t="s">
        <v>48</v>
      </c>
      <c r="F1076">
        <v>2559</v>
      </c>
      <c r="G1076">
        <v>10</v>
      </c>
      <c r="H1076">
        <v>15</v>
      </c>
      <c r="I1076">
        <v>38385</v>
      </c>
      <c r="J1076">
        <v>5757.75</v>
      </c>
      <c r="K1076">
        <v>32627.25</v>
      </c>
      <c r="L1076">
        <v>25590</v>
      </c>
      <c r="M1076">
        <v>7037.25</v>
      </c>
      <c r="N1076" s="1">
        <v>41852</v>
      </c>
      <c r="O1076">
        <v>8</v>
      </c>
      <c r="P1076" t="s">
        <v>34</v>
      </c>
      <c r="Q1076">
        <v>2014</v>
      </c>
    </row>
    <row r="1077" spans="1:17" x14ac:dyDescent="0.3">
      <c r="A1077" t="str">
        <f t="shared" ca="1" si="16"/>
        <v>ORD-2013-Uni-1147</v>
      </c>
      <c r="B1077" t="s">
        <v>17</v>
      </c>
      <c r="C1077" t="s">
        <v>37</v>
      </c>
      <c r="D1077" t="s">
        <v>38</v>
      </c>
      <c r="E1077" t="s">
        <v>48</v>
      </c>
      <c r="F1077">
        <v>267</v>
      </c>
      <c r="G1077">
        <v>10</v>
      </c>
      <c r="H1077">
        <v>20</v>
      </c>
      <c r="I1077">
        <v>5340</v>
      </c>
      <c r="J1077">
        <v>801</v>
      </c>
      <c r="K1077">
        <v>4539</v>
      </c>
      <c r="L1077">
        <v>2670</v>
      </c>
      <c r="M1077">
        <v>1869</v>
      </c>
      <c r="N1077" s="1">
        <v>41548</v>
      </c>
      <c r="O1077">
        <v>10</v>
      </c>
      <c r="P1077" t="s">
        <v>36</v>
      </c>
      <c r="Q1077">
        <v>2013</v>
      </c>
    </row>
    <row r="1078" spans="1:17" x14ac:dyDescent="0.3">
      <c r="A1078" t="str">
        <f t="shared" ca="1" si="16"/>
        <v>ORD-2014-Ger-8673</v>
      </c>
      <c r="B1078" t="s">
        <v>31</v>
      </c>
      <c r="C1078" t="s">
        <v>22</v>
      </c>
      <c r="D1078" t="s">
        <v>38</v>
      </c>
      <c r="E1078" t="s">
        <v>48</v>
      </c>
      <c r="F1078">
        <v>1085</v>
      </c>
      <c r="G1078">
        <v>10</v>
      </c>
      <c r="H1078">
        <v>125</v>
      </c>
      <c r="I1078">
        <v>135625</v>
      </c>
      <c r="J1078">
        <v>20343.75</v>
      </c>
      <c r="K1078">
        <v>115281.25</v>
      </c>
      <c r="L1078">
        <v>130200</v>
      </c>
      <c r="M1078">
        <f>K1078-L1078</f>
        <v>-14918.75</v>
      </c>
      <c r="N1078" s="1">
        <v>41913</v>
      </c>
      <c r="O1078">
        <v>10</v>
      </c>
      <c r="P1078" t="s">
        <v>36</v>
      </c>
      <c r="Q1078">
        <v>2014</v>
      </c>
    </row>
    <row r="1079" spans="1:17" x14ac:dyDescent="0.3">
      <c r="A1079" t="str">
        <f t="shared" ca="1" si="16"/>
        <v>ORD-2014-Ger-5223</v>
      </c>
      <c r="B1079" t="s">
        <v>23</v>
      </c>
      <c r="C1079" t="s">
        <v>22</v>
      </c>
      <c r="D1079" t="s">
        <v>38</v>
      </c>
      <c r="E1079" t="s">
        <v>48</v>
      </c>
      <c r="F1079">
        <v>1175</v>
      </c>
      <c r="G1079">
        <v>10</v>
      </c>
      <c r="H1079">
        <v>15</v>
      </c>
      <c r="I1079">
        <v>17625</v>
      </c>
      <c r="J1079">
        <v>2643.75</v>
      </c>
      <c r="K1079">
        <v>14981.25</v>
      </c>
      <c r="L1079">
        <v>11750</v>
      </c>
      <c r="M1079">
        <v>3231.25</v>
      </c>
      <c r="N1079" s="1">
        <v>41913</v>
      </c>
      <c r="O1079">
        <v>10</v>
      </c>
      <c r="P1079" t="s">
        <v>36</v>
      </c>
      <c r="Q1079">
        <v>2014</v>
      </c>
    </row>
    <row r="1080" spans="1:17" x14ac:dyDescent="0.3">
      <c r="A1080" t="str">
        <f t="shared" ca="1" si="16"/>
        <v>ORD-2013-Uni-8061</v>
      </c>
      <c r="B1080" t="s">
        <v>17</v>
      </c>
      <c r="C1080" t="s">
        <v>37</v>
      </c>
      <c r="D1080" t="s">
        <v>38</v>
      </c>
      <c r="E1080" t="s">
        <v>48</v>
      </c>
      <c r="F1080">
        <v>2007</v>
      </c>
      <c r="G1080">
        <v>10</v>
      </c>
      <c r="H1080">
        <v>350</v>
      </c>
      <c r="I1080">
        <v>702450</v>
      </c>
      <c r="J1080">
        <v>105367.5</v>
      </c>
      <c r="K1080">
        <v>597082.5</v>
      </c>
      <c r="L1080">
        <v>521820</v>
      </c>
      <c r="M1080">
        <v>75262.5</v>
      </c>
      <c r="N1080" s="1">
        <v>41579</v>
      </c>
      <c r="O1080">
        <v>11</v>
      </c>
      <c r="P1080" t="s">
        <v>40</v>
      </c>
      <c r="Q1080">
        <v>2013</v>
      </c>
    </row>
    <row r="1081" spans="1:17" x14ac:dyDescent="0.3">
      <c r="A1081" t="str">
        <f t="shared" ca="1" si="16"/>
        <v>ORD-2013-Mex-5252</v>
      </c>
      <c r="B1081" t="s">
        <v>17</v>
      </c>
      <c r="C1081" t="s">
        <v>26</v>
      </c>
      <c r="D1081" t="s">
        <v>38</v>
      </c>
      <c r="E1081" t="s">
        <v>48</v>
      </c>
      <c r="F1081">
        <v>2151</v>
      </c>
      <c r="G1081">
        <v>10</v>
      </c>
      <c r="H1081">
        <v>350</v>
      </c>
      <c r="I1081">
        <v>752850</v>
      </c>
      <c r="J1081">
        <v>112927.5</v>
      </c>
      <c r="K1081">
        <v>639922.5</v>
      </c>
      <c r="L1081">
        <v>559260</v>
      </c>
      <c r="M1081">
        <v>80662.5</v>
      </c>
      <c r="N1081" s="1">
        <v>41579</v>
      </c>
      <c r="O1081">
        <v>11</v>
      </c>
      <c r="P1081" t="s">
        <v>40</v>
      </c>
      <c r="Q1081">
        <v>2013</v>
      </c>
    </row>
    <row r="1082" spans="1:17" x14ac:dyDescent="0.3">
      <c r="A1082" t="str">
        <f t="shared" ca="1" si="16"/>
        <v>ORD-2014-Uni-1017</v>
      </c>
      <c r="B1082" t="s">
        <v>30</v>
      </c>
      <c r="C1082" t="s">
        <v>37</v>
      </c>
      <c r="D1082" t="s">
        <v>38</v>
      </c>
      <c r="E1082" t="s">
        <v>48</v>
      </c>
      <c r="F1082">
        <v>914</v>
      </c>
      <c r="G1082">
        <v>10</v>
      </c>
      <c r="H1082">
        <v>12</v>
      </c>
      <c r="I1082">
        <v>10968</v>
      </c>
      <c r="J1082">
        <v>1645.2</v>
      </c>
      <c r="K1082">
        <v>9322.7999999999993</v>
      </c>
      <c r="L1082">
        <v>2742</v>
      </c>
      <c r="M1082">
        <v>6580.8</v>
      </c>
      <c r="N1082" s="1">
        <v>41974</v>
      </c>
      <c r="O1082">
        <v>12</v>
      </c>
      <c r="P1082" t="s">
        <v>27</v>
      </c>
      <c r="Q1082">
        <v>2014</v>
      </c>
    </row>
    <row r="1083" spans="1:17" x14ac:dyDescent="0.3">
      <c r="A1083" t="str">
        <f t="shared" ca="1" si="16"/>
        <v>ORD-2017-Uni-4420</v>
      </c>
      <c r="B1083" t="s">
        <v>31</v>
      </c>
      <c r="C1083" t="s">
        <v>37</v>
      </c>
      <c r="D1083" t="s">
        <v>38</v>
      </c>
      <c r="E1083" t="s">
        <v>45</v>
      </c>
      <c r="F1083">
        <f ca="1">ROUND(RANDBETWEEN(200,3000) + IF(RAND()&gt;0.7,0.5),1)</f>
        <v>2010</v>
      </c>
      <c r="G1083">
        <v>3</v>
      </c>
      <c r="H1083">
        <v>12</v>
      </c>
      <c r="I1083">
        <f ca="1">RANDBETWEEN(5000,58000)</f>
        <v>31909</v>
      </c>
      <c r="J1083">
        <f ca="1">ROUND(RAND()*4500+58000,2)</f>
        <v>58640.21</v>
      </c>
      <c r="K1083">
        <f ca="1">RANDBETWEEN(2500,100000)</f>
        <v>54519</v>
      </c>
      <c r="L1083">
        <f>F1082*G1082</f>
        <v>9140</v>
      </c>
      <c r="M1083">
        <f ca="1">K1083-L1083</f>
        <v>45379</v>
      </c>
      <c r="N1083" s="1">
        <f ca="1">RANDBETWEEN(DATE(2014,12,31),DATE(2016,21,31))</f>
        <v>42918</v>
      </c>
      <c r="O1083">
        <f ca="1">MONTH(N1083)</f>
        <v>7</v>
      </c>
      <c r="P1083" t="str">
        <f ca="1">TEXT(N1083,"mmmm")</f>
        <v>July</v>
      </c>
      <c r="Q1083">
        <f ca="1">YEAR(N1083)</f>
        <v>2017</v>
      </c>
    </row>
    <row r="1084" spans="1:17" x14ac:dyDescent="0.3">
      <c r="A1084" t="str">
        <f t="shared" ca="1" si="16"/>
        <v>ORD-2016-Uni-6101</v>
      </c>
      <c r="B1084" t="s">
        <v>17</v>
      </c>
      <c r="C1084" t="s">
        <v>37</v>
      </c>
      <c r="D1084" t="s">
        <v>38</v>
      </c>
      <c r="E1084" t="s">
        <v>45</v>
      </c>
      <c r="F1084">
        <f t="shared" ref="F1084:F1147" ca="1" si="17">ROUND(RANDBETWEEN(200,3000) + IF(RAND()&gt;0.7,0.5),1)</f>
        <v>2280</v>
      </c>
      <c r="G1084">
        <v>3</v>
      </c>
      <c r="H1084">
        <v>12</v>
      </c>
      <c r="I1084">
        <f t="shared" ref="I1084:I1147" ca="1" si="18">RANDBETWEEN(5000,58000)</f>
        <v>30065</v>
      </c>
      <c r="J1084">
        <f t="shared" ref="J1084:J1147" ca="1" si="19">ROUND(RAND()*4500+58000,2)</f>
        <v>59500.03</v>
      </c>
      <c r="K1084">
        <f t="shared" ref="K1084:K1104" ca="1" si="20">RANDBETWEEN(2500,100000)</f>
        <v>29459</v>
      </c>
      <c r="L1084">
        <f ca="1">F1083*G1083</f>
        <v>6030</v>
      </c>
      <c r="M1084">
        <f t="shared" ref="M1084:M1147" ca="1" si="21">K1084-L1084</f>
        <v>23429</v>
      </c>
      <c r="N1084" s="1">
        <f t="shared" ref="N1084:N1147" ca="1" si="22">RANDBETWEEN(DATE(2014,12,31),DATE(2016,21,31))</f>
        <v>42594</v>
      </c>
      <c r="O1084">
        <f t="shared" ref="O1084:O1147" ca="1" si="23">MONTH(N1084)</f>
        <v>8</v>
      </c>
      <c r="P1084" t="str">
        <f t="shared" ref="P1084:P1147" ca="1" si="24">TEXT(N1084,"mmmm")</f>
        <v>August</v>
      </c>
      <c r="Q1084">
        <f t="shared" ref="Q1084:Q1147" ca="1" si="25">YEAR(N1084)</f>
        <v>2016</v>
      </c>
    </row>
    <row r="1085" spans="1:17" x14ac:dyDescent="0.3">
      <c r="A1085" t="str">
        <f t="shared" ca="1" si="16"/>
        <v>ORD-2017-Fra-4778</v>
      </c>
      <c r="B1085" t="s">
        <v>31</v>
      </c>
      <c r="C1085" t="s">
        <v>24</v>
      </c>
      <c r="D1085" t="s">
        <v>38</v>
      </c>
      <c r="E1085" t="s">
        <v>45</v>
      </c>
      <c r="F1085">
        <f t="shared" ca="1" si="17"/>
        <v>1901</v>
      </c>
      <c r="G1085">
        <v>3</v>
      </c>
      <c r="H1085">
        <v>15</v>
      </c>
      <c r="I1085">
        <f t="shared" ca="1" si="18"/>
        <v>16167</v>
      </c>
      <c r="J1085">
        <f t="shared" ca="1" si="19"/>
        <v>62183.19</v>
      </c>
      <c r="K1085">
        <f t="shared" ca="1" si="20"/>
        <v>65020</v>
      </c>
      <c r="L1085">
        <f t="shared" ref="L1085:L1148" ca="1" si="26">F1084*G1084</f>
        <v>6840</v>
      </c>
      <c r="M1085">
        <f t="shared" ca="1" si="21"/>
        <v>58180</v>
      </c>
      <c r="N1085" s="1">
        <f t="shared" ca="1" si="22"/>
        <v>42968</v>
      </c>
      <c r="O1085">
        <f t="shared" ca="1" si="23"/>
        <v>8</v>
      </c>
      <c r="P1085" t="str">
        <f t="shared" ca="1" si="24"/>
        <v>August</v>
      </c>
      <c r="Q1085">
        <f t="shared" ca="1" si="25"/>
        <v>2017</v>
      </c>
    </row>
    <row r="1086" spans="1:17" x14ac:dyDescent="0.3">
      <c r="A1086" t="str">
        <f t="shared" ca="1" si="16"/>
        <v>ORD-2017-Ger-5258</v>
      </c>
      <c r="B1086" t="s">
        <v>17</v>
      </c>
      <c r="C1086" t="s">
        <v>22</v>
      </c>
      <c r="D1086" t="s">
        <v>41</v>
      </c>
      <c r="E1086" t="s">
        <v>45</v>
      </c>
      <c r="F1086">
        <f t="shared" ca="1" si="17"/>
        <v>434</v>
      </c>
      <c r="G1086">
        <v>3</v>
      </c>
      <c r="H1086">
        <v>7</v>
      </c>
      <c r="I1086">
        <f t="shared" ca="1" si="18"/>
        <v>6349</v>
      </c>
      <c r="J1086">
        <f t="shared" ca="1" si="19"/>
        <v>58626.62</v>
      </c>
      <c r="K1086">
        <f t="shared" ca="1" si="20"/>
        <v>98471</v>
      </c>
      <c r="L1086">
        <f t="shared" ca="1" si="26"/>
        <v>5703</v>
      </c>
      <c r="M1086">
        <f t="shared" ca="1" si="21"/>
        <v>92768</v>
      </c>
      <c r="N1086" s="1">
        <f t="shared" ca="1" si="22"/>
        <v>42943</v>
      </c>
      <c r="O1086">
        <f t="shared" ca="1" si="23"/>
        <v>7</v>
      </c>
      <c r="P1086" t="str">
        <f t="shared" ca="1" si="24"/>
        <v>July</v>
      </c>
      <c r="Q1086">
        <f t="shared" ca="1" si="25"/>
        <v>2017</v>
      </c>
    </row>
    <row r="1087" spans="1:17" x14ac:dyDescent="0.3">
      <c r="A1087" t="str">
        <f t="shared" ca="1" si="16"/>
        <v>ORD-2017-Ca0-2110</v>
      </c>
      <c r="B1087" t="s">
        <v>33</v>
      </c>
      <c r="C1087" t="s">
        <v>18</v>
      </c>
      <c r="D1087" t="s">
        <v>41</v>
      </c>
      <c r="E1087" t="s">
        <v>45</v>
      </c>
      <c r="F1087">
        <f t="shared" ca="1" si="17"/>
        <v>2212.5</v>
      </c>
      <c r="G1087">
        <v>5</v>
      </c>
      <c r="H1087">
        <v>125</v>
      </c>
      <c r="I1087">
        <f t="shared" ca="1" si="18"/>
        <v>32811</v>
      </c>
      <c r="J1087">
        <f t="shared" ca="1" si="19"/>
        <v>59942.77</v>
      </c>
      <c r="K1087">
        <f t="shared" ca="1" si="20"/>
        <v>73298</v>
      </c>
      <c r="L1087">
        <f t="shared" ca="1" si="26"/>
        <v>1302</v>
      </c>
      <c r="M1087">
        <f t="shared" ca="1" si="21"/>
        <v>71996</v>
      </c>
      <c r="N1087" s="1">
        <f t="shared" ca="1" si="22"/>
        <v>42995</v>
      </c>
      <c r="O1087">
        <f t="shared" ca="1" si="23"/>
        <v>9</v>
      </c>
      <c r="P1087" t="str">
        <f t="shared" ca="1" si="24"/>
        <v>September</v>
      </c>
      <c r="Q1087">
        <f t="shared" ca="1" si="25"/>
        <v>2017</v>
      </c>
    </row>
    <row r="1088" spans="1:17" x14ac:dyDescent="0.3">
      <c r="A1088" t="str">
        <f t="shared" ca="1" si="16"/>
        <v>ORD-2017-Ca0-4293</v>
      </c>
      <c r="B1088" t="s">
        <v>17</v>
      </c>
      <c r="C1088" t="s">
        <v>18</v>
      </c>
      <c r="D1088" t="s">
        <v>42</v>
      </c>
      <c r="E1088" t="s">
        <v>45</v>
      </c>
      <c r="F1088">
        <f t="shared" ca="1" si="17"/>
        <v>624</v>
      </c>
      <c r="G1088">
        <v>5</v>
      </c>
      <c r="H1088">
        <v>350</v>
      </c>
      <c r="I1088">
        <f t="shared" ca="1" si="18"/>
        <v>37214</v>
      </c>
      <c r="J1088">
        <f t="shared" ca="1" si="19"/>
        <v>62236.13</v>
      </c>
      <c r="K1088">
        <f t="shared" ca="1" si="20"/>
        <v>96868</v>
      </c>
      <c r="L1088">
        <f t="shared" ca="1" si="26"/>
        <v>11062.5</v>
      </c>
      <c r="M1088">
        <f t="shared" ca="1" si="21"/>
        <v>85805.5</v>
      </c>
      <c r="N1088" s="1">
        <f t="shared" ca="1" si="22"/>
        <v>42841</v>
      </c>
      <c r="O1088">
        <f t="shared" ca="1" si="23"/>
        <v>4</v>
      </c>
      <c r="P1088" t="str">
        <f t="shared" ca="1" si="24"/>
        <v>April</v>
      </c>
      <c r="Q1088">
        <f t="shared" ca="1" si="25"/>
        <v>2017</v>
      </c>
    </row>
    <row r="1089" spans="1:17" x14ac:dyDescent="0.3">
      <c r="A1089" t="str">
        <f t="shared" ca="1" si="16"/>
        <v>ORD-2016-Ger-1563</v>
      </c>
      <c r="B1089" t="s">
        <v>17</v>
      </c>
      <c r="C1089" t="s">
        <v>22</v>
      </c>
      <c r="D1089" t="s">
        <v>19</v>
      </c>
      <c r="E1089" t="s">
        <v>45</v>
      </c>
      <c r="F1089">
        <f t="shared" ca="1" si="17"/>
        <v>1656</v>
      </c>
      <c r="G1089">
        <v>5</v>
      </c>
      <c r="H1089">
        <v>350</v>
      </c>
      <c r="I1089">
        <f t="shared" ca="1" si="18"/>
        <v>6481</v>
      </c>
      <c r="J1089">
        <f t="shared" ca="1" si="19"/>
        <v>59308.53</v>
      </c>
      <c r="K1089">
        <f t="shared" ca="1" si="20"/>
        <v>88326</v>
      </c>
      <c r="L1089">
        <f t="shared" ca="1" si="26"/>
        <v>3120</v>
      </c>
      <c r="M1089">
        <f t="shared" ca="1" si="21"/>
        <v>85206</v>
      </c>
      <c r="N1089" s="1">
        <f t="shared" ca="1" si="22"/>
        <v>42484</v>
      </c>
      <c r="O1089">
        <f t="shared" ca="1" si="23"/>
        <v>4</v>
      </c>
      <c r="P1089" t="str">
        <f t="shared" ca="1" si="24"/>
        <v>April</v>
      </c>
      <c r="Q1089">
        <f t="shared" ca="1" si="25"/>
        <v>2016</v>
      </c>
    </row>
    <row r="1090" spans="1:17" x14ac:dyDescent="0.3">
      <c r="A1090" t="str">
        <f t="shared" ca="1" si="16"/>
        <v>ORD-2017-Fra-5725</v>
      </c>
      <c r="B1090" t="s">
        <v>17</v>
      </c>
      <c r="C1090" t="s">
        <v>24</v>
      </c>
      <c r="D1090" t="s">
        <v>19</v>
      </c>
      <c r="E1090" t="s">
        <v>45</v>
      </c>
      <c r="F1090">
        <f t="shared" ca="1" si="17"/>
        <v>1839</v>
      </c>
      <c r="G1090">
        <v>5</v>
      </c>
      <c r="H1090">
        <v>7</v>
      </c>
      <c r="I1090">
        <f t="shared" ca="1" si="18"/>
        <v>43812</v>
      </c>
      <c r="J1090">
        <f t="shared" ca="1" si="19"/>
        <v>61212.71</v>
      </c>
      <c r="K1090">
        <f t="shared" ca="1" si="20"/>
        <v>30181</v>
      </c>
      <c r="L1090">
        <f t="shared" ca="1" si="26"/>
        <v>8280</v>
      </c>
      <c r="M1090">
        <f t="shared" ca="1" si="21"/>
        <v>21901</v>
      </c>
      <c r="N1090" s="1">
        <f t="shared" ca="1" si="22"/>
        <v>42918</v>
      </c>
      <c r="O1090">
        <f t="shared" ca="1" si="23"/>
        <v>7</v>
      </c>
      <c r="P1090" t="str">
        <f t="shared" ca="1" si="24"/>
        <v>July</v>
      </c>
      <c r="Q1090">
        <f t="shared" ca="1" si="25"/>
        <v>2017</v>
      </c>
    </row>
    <row r="1091" spans="1:17" x14ac:dyDescent="0.3">
      <c r="A1091" t="str">
        <f t="shared" ref="A1091:A1154" ca="1" si="27">"ORD-" &amp; YEAR(N1091) &amp; "-"  &amp; LEFT(C1091,3) &amp; "-" &amp; RANDBETWEEN(1000,9999)</f>
        <v>ORD-2015-Uni-1096</v>
      </c>
      <c r="B1091" t="s">
        <v>17</v>
      </c>
      <c r="C1091" t="s">
        <v>37</v>
      </c>
      <c r="D1091" t="s">
        <v>19</v>
      </c>
      <c r="E1091" t="s">
        <v>45</v>
      </c>
      <c r="F1091">
        <f t="shared" ca="1" si="17"/>
        <v>1290</v>
      </c>
      <c r="G1091">
        <v>5</v>
      </c>
      <c r="H1091">
        <v>12</v>
      </c>
      <c r="I1091">
        <f t="shared" ca="1" si="18"/>
        <v>38844</v>
      </c>
      <c r="J1091">
        <f t="shared" ca="1" si="19"/>
        <v>59293.599999999999</v>
      </c>
      <c r="K1091">
        <f t="shared" ca="1" si="20"/>
        <v>20463</v>
      </c>
      <c r="L1091">
        <f t="shared" ca="1" si="26"/>
        <v>9195</v>
      </c>
      <c r="M1091">
        <f t="shared" ca="1" si="21"/>
        <v>11268</v>
      </c>
      <c r="N1091" s="1">
        <f t="shared" ca="1" si="22"/>
        <v>42192</v>
      </c>
      <c r="O1091">
        <f t="shared" ca="1" si="23"/>
        <v>7</v>
      </c>
      <c r="P1091" t="str">
        <f t="shared" ca="1" si="24"/>
        <v>July</v>
      </c>
      <c r="Q1091">
        <f t="shared" ca="1" si="25"/>
        <v>2015</v>
      </c>
    </row>
    <row r="1092" spans="1:17" x14ac:dyDescent="0.3">
      <c r="A1092" t="str">
        <f t="shared" ca="1" si="27"/>
        <v>ORD-2015-Ca0-9224</v>
      </c>
      <c r="B1092" t="s">
        <v>31</v>
      </c>
      <c r="C1092" t="s">
        <v>18</v>
      </c>
      <c r="D1092" t="s">
        <v>28</v>
      </c>
      <c r="E1092" t="s">
        <v>47</v>
      </c>
      <c r="F1092">
        <f t="shared" ca="1" si="17"/>
        <v>2575</v>
      </c>
      <c r="G1092">
        <v>5</v>
      </c>
      <c r="H1092">
        <v>350</v>
      </c>
      <c r="I1092">
        <f t="shared" ca="1" si="18"/>
        <v>50014</v>
      </c>
      <c r="J1092">
        <f t="shared" ca="1" si="19"/>
        <v>62143.59</v>
      </c>
      <c r="K1092">
        <f t="shared" ca="1" si="20"/>
        <v>5409</v>
      </c>
      <c r="L1092">
        <f t="shared" ca="1" si="26"/>
        <v>6450</v>
      </c>
      <c r="M1092">
        <f t="shared" ca="1" si="21"/>
        <v>-1041</v>
      </c>
      <c r="N1092" s="1">
        <f t="shared" ca="1" si="22"/>
        <v>42239</v>
      </c>
      <c r="O1092">
        <f t="shared" ca="1" si="23"/>
        <v>8</v>
      </c>
      <c r="P1092" t="str">
        <f t="shared" ca="1" si="24"/>
        <v>August</v>
      </c>
      <c r="Q1092">
        <f t="shared" ca="1" si="25"/>
        <v>2015</v>
      </c>
    </row>
    <row r="1093" spans="1:17" x14ac:dyDescent="0.3">
      <c r="A1093" t="str">
        <f t="shared" ca="1" si="27"/>
        <v>ORD-2016-Mex-1423</v>
      </c>
      <c r="B1093" t="s">
        <v>23</v>
      </c>
      <c r="C1093" t="s">
        <v>26</v>
      </c>
      <c r="D1093" t="s">
        <v>28</v>
      </c>
      <c r="E1093" t="s">
        <v>47</v>
      </c>
      <c r="F1093">
        <f t="shared" ca="1" si="17"/>
        <v>2347</v>
      </c>
      <c r="G1093">
        <v>5</v>
      </c>
      <c r="H1093">
        <v>12</v>
      </c>
      <c r="I1093">
        <f t="shared" ca="1" si="18"/>
        <v>26597</v>
      </c>
      <c r="J1093">
        <f t="shared" ca="1" si="19"/>
        <v>58413.93</v>
      </c>
      <c r="K1093">
        <f t="shared" ca="1" si="20"/>
        <v>6913</v>
      </c>
      <c r="L1093">
        <f t="shared" ca="1" si="26"/>
        <v>12875</v>
      </c>
      <c r="M1093">
        <f t="shared" ca="1" si="21"/>
        <v>-5962</v>
      </c>
      <c r="N1093" s="1">
        <f t="shared" ca="1" si="22"/>
        <v>42532</v>
      </c>
      <c r="O1093">
        <f t="shared" ca="1" si="23"/>
        <v>6</v>
      </c>
      <c r="P1093" t="str">
        <f t="shared" ca="1" si="24"/>
        <v>June</v>
      </c>
      <c r="Q1093">
        <f t="shared" ca="1" si="25"/>
        <v>2016</v>
      </c>
    </row>
    <row r="1094" spans="1:17" x14ac:dyDescent="0.3">
      <c r="A1094" t="str">
        <f t="shared" ca="1" si="27"/>
        <v>ORD-2017-Ca0-5359</v>
      </c>
      <c r="B1094" t="s">
        <v>17</v>
      </c>
      <c r="C1094" t="s">
        <v>18</v>
      </c>
      <c r="D1094" t="s">
        <v>38</v>
      </c>
      <c r="E1094" t="s">
        <v>47</v>
      </c>
      <c r="F1094">
        <f t="shared" ca="1" si="17"/>
        <v>2631</v>
      </c>
      <c r="G1094">
        <v>5</v>
      </c>
      <c r="H1094">
        <v>350</v>
      </c>
      <c r="I1094">
        <f t="shared" ca="1" si="18"/>
        <v>41695</v>
      </c>
      <c r="J1094">
        <f t="shared" ca="1" si="19"/>
        <v>59025.35</v>
      </c>
      <c r="K1094">
        <f t="shared" ca="1" si="20"/>
        <v>40498</v>
      </c>
      <c r="L1094">
        <f t="shared" ca="1" si="26"/>
        <v>11735</v>
      </c>
      <c r="M1094">
        <f t="shared" ca="1" si="21"/>
        <v>28763</v>
      </c>
      <c r="N1094" s="1">
        <f t="shared" ca="1" si="22"/>
        <v>42973</v>
      </c>
      <c r="O1094">
        <f t="shared" ca="1" si="23"/>
        <v>8</v>
      </c>
      <c r="P1094" t="str">
        <f t="shared" ca="1" si="24"/>
        <v>August</v>
      </c>
      <c r="Q1094">
        <f t="shared" ca="1" si="25"/>
        <v>2017</v>
      </c>
    </row>
    <row r="1095" spans="1:17" x14ac:dyDescent="0.3">
      <c r="A1095" t="str">
        <f t="shared" ca="1" si="27"/>
        <v>ORD-2016-Uni-7957</v>
      </c>
      <c r="B1095" t="s">
        <v>23</v>
      </c>
      <c r="C1095" t="s">
        <v>37</v>
      </c>
      <c r="D1095" t="s">
        <v>38</v>
      </c>
      <c r="E1095" t="s">
        <v>47</v>
      </c>
      <c r="F1095">
        <f t="shared" ca="1" si="17"/>
        <v>2988</v>
      </c>
      <c r="G1095">
        <v>5</v>
      </c>
      <c r="H1095">
        <v>125</v>
      </c>
      <c r="I1095">
        <f t="shared" ca="1" si="18"/>
        <v>40148</v>
      </c>
      <c r="J1095">
        <v>0</v>
      </c>
      <c r="K1095">
        <f t="shared" ca="1" si="20"/>
        <v>55893</v>
      </c>
      <c r="L1095">
        <f t="shared" ca="1" si="26"/>
        <v>13155</v>
      </c>
      <c r="M1095">
        <f t="shared" ca="1" si="21"/>
        <v>42738</v>
      </c>
      <c r="N1095" s="1">
        <f t="shared" ca="1" si="22"/>
        <v>42491</v>
      </c>
      <c r="O1095">
        <f t="shared" ca="1" si="23"/>
        <v>5</v>
      </c>
      <c r="P1095" t="str">
        <f t="shared" ca="1" si="24"/>
        <v>May</v>
      </c>
      <c r="Q1095">
        <f t="shared" ca="1" si="25"/>
        <v>2016</v>
      </c>
    </row>
    <row r="1096" spans="1:17" x14ac:dyDescent="0.3">
      <c r="A1096" t="str">
        <f t="shared" ca="1" si="27"/>
        <v>ORD-2016-Uni-8556</v>
      </c>
      <c r="B1096" t="s">
        <v>17</v>
      </c>
      <c r="C1096" t="s">
        <v>37</v>
      </c>
      <c r="D1096" t="s">
        <v>38</v>
      </c>
      <c r="E1096" t="s">
        <v>47</v>
      </c>
      <c r="F1096">
        <f t="shared" ca="1" si="17"/>
        <v>1948</v>
      </c>
      <c r="G1096">
        <v>5</v>
      </c>
      <c r="H1096">
        <v>125</v>
      </c>
      <c r="I1096">
        <f t="shared" ca="1" si="18"/>
        <v>9605</v>
      </c>
      <c r="J1096">
        <f t="shared" ca="1" si="19"/>
        <v>60684.72</v>
      </c>
      <c r="K1096">
        <f t="shared" ca="1" si="20"/>
        <v>9757</v>
      </c>
      <c r="L1096">
        <f t="shared" ca="1" si="26"/>
        <v>14940</v>
      </c>
      <c r="M1096">
        <f t="shared" ca="1" si="21"/>
        <v>-5183</v>
      </c>
      <c r="N1096" s="1">
        <f t="shared" ca="1" si="22"/>
        <v>42413</v>
      </c>
      <c r="O1096">
        <f t="shared" ca="1" si="23"/>
        <v>2</v>
      </c>
      <c r="P1096" t="str">
        <f t="shared" ca="1" si="24"/>
        <v>February</v>
      </c>
      <c r="Q1096">
        <f t="shared" ca="1" si="25"/>
        <v>2016</v>
      </c>
    </row>
    <row r="1097" spans="1:17" x14ac:dyDescent="0.3">
      <c r="A1097" t="str">
        <f t="shared" ca="1" si="27"/>
        <v>ORD-2016-Ger-3679</v>
      </c>
      <c r="B1097" t="s">
        <v>17</v>
      </c>
      <c r="C1097" t="s">
        <v>22</v>
      </c>
      <c r="D1097" t="s">
        <v>38</v>
      </c>
      <c r="E1097" t="s">
        <v>47</v>
      </c>
      <c r="F1097">
        <f t="shared" ca="1" si="17"/>
        <v>1475</v>
      </c>
      <c r="G1097">
        <v>10</v>
      </c>
      <c r="H1097">
        <v>15</v>
      </c>
      <c r="I1097">
        <f t="shared" ca="1" si="18"/>
        <v>34575</v>
      </c>
      <c r="J1097">
        <f t="shared" ca="1" si="19"/>
        <v>61060.160000000003</v>
      </c>
      <c r="K1097">
        <f t="shared" ca="1" si="20"/>
        <v>51526</v>
      </c>
      <c r="L1097">
        <f t="shared" ca="1" si="26"/>
        <v>9740</v>
      </c>
      <c r="M1097">
        <f t="shared" ca="1" si="21"/>
        <v>41786</v>
      </c>
      <c r="N1097" s="1">
        <f t="shared" ca="1" si="22"/>
        <v>42604</v>
      </c>
      <c r="O1097">
        <f t="shared" ca="1" si="23"/>
        <v>8</v>
      </c>
      <c r="P1097" t="str">
        <f t="shared" ca="1" si="24"/>
        <v>August</v>
      </c>
      <c r="Q1097">
        <f t="shared" ca="1" si="25"/>
        <v>2016</v>
      </c>
    </row>
    <row r="1098" spans="1:17" x14ac:dyDescent="0.3">
      <c r="A1098" t="str">
        <f t="shared" ca="1" si="27"/>
        <v>ORD-2015-Mex-6097</v>
      </c>
      <c r="B1098" t="s">
        <v>33</v>
      </c>
      <c r="C1098" t="s">
        <v>26</v>
      </c>
      <c r="D1098" t="s">
        <v>38</v>
      </c>
      <c r="E1098" t="s">
        <v>47</v>
      </c>
      <c r="F1098">
        <f t="shared" ca="1" si="17"/>
        <v>1356</v>
      </c>
      <c r="G1098">
        <v>10</v>
      </c>
      <c r="H1098">
        <v>350</v>
      </c>
      <c r="I1098">
        <f t="shared" ca="1" si="18"/>
        <v>8739</v>
      </c>
      <c r="J1098">
        <f t="shared" ca="1" si="19"/>
        <v>60394.23</v>
      </c>
      <c r="K1098">
        <f t="shared" ca="1" si="20"/>
        <v>77302</v>
      </c>
      <c r="L1098">
        <f t="shared" ca="1" si="26"/>
        <v>14750</v>
      </c>
      <c r="M1098">
        <f t="shared" ca="1" si="21"/>
        <v>62552</v>
      </c>
      <c r="N1098" s="1">
        <f t="shared" ca="1" si="22"/>
        <v>42317</v>
      </c>
      <c r="O1098">
        <f t="shared" ca="1" si="23"/>
        <v>11</v>
      </c>
      <c r="P1098" t="str">
        <f t="shared" ca="1" si="24"/>
        <v>November</v>
      </c>
      <c r="Q1098">
        <f t="shared" ca="1" si="25"/>
        <v>2015</v>
      </c>
    </row>
    <row r="1099" spans="1:17" x14ac:dyDescent="0.3">
      <c r="A1099" t="str">
        <f t="shared" ca="1" si="27"/>
        <v>ORD-2016-Ger-7944</v>
      </c>
      <c r="B1099" t="s">
        <v>33</v>
      </c>
      <c r="C1099" t="s">
        <v>22</v>
      </c>
      <c r="D1099" t="s">
        <v>38</v>
      </c>
      <c r="E1099" t="s">
        <v>47</v>
      </c>
      <c r="F1099">
        <f t="shared" ca="1" si="17"/>
        <v>2413</v>
      </c>
      <c r="G1099">
        <v>10</v>
      </c>
      <c r="H1099">
        <v>7</v>
      </c>
      <c r="I1099">
        <f t="shared" ca="1" si="18"/>
        <v>47077</v>
      </c>
      <c r="J1099">
        <f t="shared" ca="1" si="19"/>
        <v>62417.440000000002</v>
      </c>
      <c r="K1099">
        <f t="shared" ca="1" si="20"/>
        <v>27241</v>
      </c>
      <c r="L1099">
        <f t="shared" ca="1" si="26"/>
        <v>13560</v>
      </c>
      <c r="M1099">
        <f t="shared" ca="1" si="21"/>
        <v>13681</v>
      </c>
      <c r="N1099" s="1">
        <f t="shared" ca="1" si="22"/>
        <v>42679</v>
      </c>
      <c r="O1099">
        <f t="shared" ca="1" si="23"/>
        <v>11</v>
      </c>
      <c r="P1099" t="str">
        <f t="shared" ca="1" si="24"/>
        <v>November</v>
      </c>
      <c r="Q1099">
        <f t="shared" ca="1" si="25"/>
        <v>2016</v>
      </c>
    </row>
    <row r="1100" spans="1:17" x14ac:dyDescent="0.3">
      <c r="A1100" t="str">
        <f t="shared" ca="1" si="27"/>
        <v>ORD-2017-Fra-9887</v>
      </c>
      <c r="B1100" t="s">
        <v>23</v>
      </c>
      <c r="C1100" t="s">
        <v>24</v>
      </c>
      <c r="D1100" t="s">
        <v>38</v>
      </c>
      <c r="E1100" t="s">
        <v>47</v>
      </c>
      <c r="F1100">
        <f t="shared" ca="1" si="17"/>
        <v>1924</v>
      </c>
      <c r="G1100">
        <v>10</v>
      </c>
      <c r="H1100">
        <v>300</v>
      </c>
      <c r="I1100">
        <f t="shared" ca="1" si="18"/>
        <v>22215</v>
      </c>
      <c r="J1100">
        <f t="shared" ca="1" si="19"/>
        <v>59422.16</v>
      </c>
      <c r="K1100">
        <f t="shared" ca="1" si="20"/>
        <v>52976</v>
      </c>
      <c r="L1100">
        <f t="shared" ca="1" si="26"/>
        <v>24130</v>
      </c>
      <c r="M1100">
        <f t="shared" ca="1" si="21"/>
        <v>28846</v>
      </c>
      <c r="N1100" s="1">
        <f t="shared" ca="1" si="22"/>
        <v>42933</v>
      </c>
      <c r="O1100">
        <f t="shared" ca="1" si="23"/>
        <v>7</v>
      </c>
      <c r="P1100" t="str">
        <f t="shared" ca="1" si="24"/>
        <v>July</v>
      </c>
      <c r="Q1100">
        <f t="shared" ca="1" si="25"/>
        <v>2017</v>
      </c>
    </row>
    <row r="1101" spans="1:17" x14ac:dyDescent="0.3">
      <c r="A1101" t="str">
        <f t="shared" ca="1" si="27"/>
        <v>ORD-2015-Uni-3655</v>
      </c>
      <c r="B1101" t="s">
        <v>31</v>
      </c>
      <c r="C1101" t="s">
        <v>37</v>
      </c>
      <c r="D1101" t="s">
        <v>38</v>
      </c>
      <c r="E1101" t="s">
        <v>47</v>
      </c>
      <c r="F1101">
        <f t="shared" ca="1" si="17"/>
        <v>2103</v>
      </c>
      <c r="G1101">
        <v>10</v>
      </c>
      <c r="H1101">
        <v>350</v>
      </c>
      <c r="I1101">
        <f t="shared" ca="1" si="18"/>
        <v>10581</v>
      </c>
      <c r="J1101">
        <f t="shared" ca="1" si="19"/>
        <v>60451.71</v>
      </c>
      <c r="K1101">
        <f t="shared" ca="1" si="20"/>
        <v>41284</v>
      </c>
      <c r="L1101">
        <f t="shared" ca="1" si="26"/>
        <v>19240</v>
      </c>
      <c r="M1101">
        <f t="shared" ca="1" si="21"/>
        <v>22044</v>
      </c>
      <c r="N1101" s="1">
        <f t="shared" ca="1" si="22"/>
        <v>42323</v>
      </c>
      <c r="O1101">
        <f t="shared" ca="1" si="23"/>
        <v>11</v>
      </c>
      <c r="P1101" t="str">
        <f t="shared" ca="1" si="24"/>
        <v>November</v>
      </c>
      <c r="Q1101">
        <f t="shared" ca="1" si="25"/>
        <v>2015</v>
      </c>
    </row>
    <row r="1102" spans="1:17" x14ac:dyDescent="0.3">
      <c r="A1102" t="str">
        <f t="shared" ca="1" si="27"/>
        <v>ORD-2016-Fra-9101</v>
      </c>
      <c r="B1102" t="s">
        <v>17</v>
      </c>
      <c r="C1102" t="s">
        <v>24</v>
      </c>
      <c r="D1102" t="s">
        <v>38</v>
      </c>
      <c r="E1102" t="s">
        <v>47</v>
      </c>
      <c r="F1102">
        <f t="shared" ca="1" si="17"/>
        <v>2934</v>
      </c>
      <c r="G1102">
        <v>10</v>
      </c>
      <c r="H1102">
        <v>15</v>
      </c>
      <c r="I1102">
        <f t="shared" ca="1" si="18"/>
        <v>46191</v>
      </c>
      <c r="J1102">
        <f t="shared" ca="1" si="19"/>
        <v>60194.84</v>
      </c>
      <c r="K1102">
        <f t="shared" ca="1" si="20"/>
        <v>42430</v>
      </c>
      <c r="L1102">
        <f t="shared" ca="1" si="26"/>
        <v>21030</v>
      </c>
      <c r="M1102">
        <f t="shared" ca="1" si="21"/>
        <v>21400</v>
      </c>
      <c r="N1102" s="1">
        <f t="shared" ca="1" si="22"/>
        <v>42612</v>
      </c>
      <c r="O1102">
        <f t="shared" ca="1" si="23"/>
        <v>8</v>
      </c>
      <c r="P1102" t="str">
        <f t="shared" ca="1" si="24"/>
        <v>August</v>
      </c>
      <c r="Q1102">
        <f t="shared" ca="1" si="25"/>
        <v>2016</v>
      </c>
    </row>
    <row r="1103" spans="1:17" x14ac:dyDescent="0.3">
      <c r="A1103" t="str">
        <f t="shared" ca="1" si="27"/>
        <v>ORD-2016-Ca0-5140</v>
      </c>
      <c r="B1103" t="s">
        <v>17</v>
      </c>
      <c r="C1103" t="s">
        <v>18</v>
      </c>
      <c r="D1103" t="s">
        <v>41</v>
      </c>
      <c r="E1103" t="s">
        <v>48</v>
      </c>
      <c r="F1103">
        <f t="shared" ca="1" si="17"/>
        <v>453</v>
      </c>
      <c r="G1103">
        <v>10</v>
      </c>
      <c r="H1103">
        <v>7</v>
      </c>
      <c r="I1103">
        <f t="shared" ca="1" si="18"/>
        <v>19739</v>
      </c>
      <c r="J1103">
        <f t="shared" ca="1" si="19"/>
        <v>60051.54</v>
      </c>
      <c r="K1103">
        <f t="shared" ca="1" si="20"/>
        <v>66303</v>
      </c>
      <c r="L1103">
        <f t="shared" ca="1" si="26"/>
        <v>29340</v>
      </c>
      <c r="M1103">
        <f t="shared" ca="1" si="21"/>
        <v>36963</v>
      </c>
      <c r="N1103" s="1">
        <f t="shared" ca="1" si="22"/>
        <v>42509</v>
      </c>
      <c r="O1103">
        <f t="shared" ca="1" si="23"/>
        <v>5</v>
      </c>
      <c r="P1103" t="str">
        <f t="shared" ca="1" si="24"/>
        <v>May</v>
      </c>
      <c r="Q1103">
        <f t="shared" ca="1" si="25"/>
        <v>2016</v>
      </c>
    </row>
    <row r="1104" spans="1:17" x14ac:dyDescent="0.3">
      <c r="A1104" t="str">
        <f t="shared" ca="1" si="27"/>
        <v>ORD-2017-Uni-8979</v>
      </c>
      <c r="B1104" t="s">
        <v>17</v>
      </c>
      <c r="C1104" t="s">
        <v>37</v>
      </c>
      <c r="D1104" t="s">
        <v>41</v>
      </c>
      <c r="E1104" t="s">
        <v>48</v>
      </c>
      <c r="F1104">
        <f t="shared" ca="1" si="17"/>
        <v>534</v>
      </c>
      <c r="G1104">
        <v>10</v>
      </c>
      <c r="H1104">
        <v>300</v>
      </c>
      <c r="I1104">
        <f t="shared" ca="1" si="18"/>
        <v>21636</v>
      </c>
      <c r="J1104">
        <f t="shared" ca="1" si="19"/>
        <v>60207.31</v>
      </c>
      <c r="K1104">
        <f t="shared" ca="1" si="20"/>
        <v>50905</v>
      </c>
      <c r="L1104">
        <f t="shared" ca="1" si="26"/>
        <v>4530</v>
      </c>
      <c r="M1104">
        <f t="shared" ca="1" si="21"/>
        <v>46375</v>
      </c>
      <c r="N1104" s="1">
        <f t="shared" ca="1" si="22"/>
        <v>42897</v>
      </c>
      <c r="O1104">
        <f t="shared" ca="1" si="23"/>
        <v>6</v>
      </c>
      <c r="P1104" t="str">
        <f t="shared" ca="1" si="24"/>
        <v>June</v>
      </c>
      <c r="Q1104">
        <f t="shared" ca="1" si="25"/>
        <v>2017</v>
      </c>
    </row>
    <row r="1105" spans="1:17" x14ac:dyDescent="0.3">
      <c r="A1105" t="str">
        <f t="shared" ca="1" si="27"/>
        <v>ORD-2015-Ca0-9099</v>
      </c>
      <c r="B1105" t="s">
        <v>33</v>
      </c>
      <c r="C1105" t="s">
        <v>18</v>
      </c>
      <c r="D1105" t="s">
        <v>41</v>
      </c>
      <c r="E1105" t="s">
        <v>48</v>
      </c>
      <c r="F1105">
        <f t="shared" ca="1" si="17"/>
        <v>2659.5</v>
      </c>
      <c r="G1105">
        <v>10</v>
      </c>
      <c r="H1105">
        <v>20</v>
      </c>
      <c r="I1105">
        <f t="shared" ca="1" si="18"/>
        <v>25396</v>
      </c>
      <c r="J1105">
        <f t="shared" ca="1" si="19"/>
        <v>61648.18</v>
      </c>
      <c r="K1105">
        <f ca="1">ROUND(RAND()*2500+78000,2)</f>
        <v>80158.720000000001</v>
      </c>
      <c r="L1105">
        <f t="shared" ca="1" si="26"/>
        <v>5340</v>
      </c>
      <c r="M1105">
        <f t="shared" ca="1" si="21"/>
        <v>74818.720000000001</v>
      </c>
      <c r="N1105" s="1">
        <f t="shared" ca="1" si="22"/>
        <v>42057</v>
      </c>
      <c r="O1105">
        <f t="shared" ca="1" si="23"/>
        <v>2</v>
      </c>
      <c r="P1105" t="str">
        <f t="shared" ca="1" si="24"/>
        <v>February</v>
      </c>
      <c r="Q1105">
        <f t="shared" ca="1" si="25"/>
        <v>2015</v>
      </c>
    </row>
    <row r="1106" spans="1:17" x14ac:dyDescent="0.3">
      <c r="A1106" t="str">
        <f t="shared" ca="1" si="27"/>
        <v>ORD-2016-Uni-4730</v>
      </c>
      <c r="B1106" t="s">
        <v>17</v>
      </c>
      <c r="C1106" t="s">
        <v>37</v>
      </c>
      <c r="D1106" t="s">
        <v>41</v>
      </c>
      <c r="E1106" t="s">
        <v>48</v>
      </c>
      <c r="F1106">
        <f t="shared" ca="1" si="17"/>
        <v>1380.5</v>
      </c>
      <c r="G1106">
        <v>10</v>
      </c>
      <c r="H1106">
        <v>300</v>
      </c>
      <c r="I1106">
        <f t="shared" ca="1" si="18"/>
        <v>12652</v>
      </c>
      <c r="J1106">
        <f t="shared" ca="1" si="19"/>
        <v>58239.62</v>
      </c>
      <c r="K1106">
        <f t="shared" ref="K1106:K1169" ca="1" si="28">ROUND(RAND()*2500+78000,2)</f>
        <v>79165.53</v>
      </c>
      <c r="L1106">
        <f t="shared" ca="1" si="26"/>
        <v>26595</v>
      </c>
      <c r="M1106">
        <f t="shared" ca="1" si="21"/>
        <v>52570.53</v>
      </c>
      <c r="N1106" s="1">
        <f t="shared" ca="1" si="22"/>
        <v>42623</v>
      </c>
      <c r="O1106">
        <f t="shared" ca="1" si="23"/>
        <v>9</v>
      </c>
      <c r="P1106" t="str">
        <f t="shared" ca="1" si="24"/>
        <v>September</v>
      </c>
      <c r="Q1106">
        <f t="shared" ca="1" si="25"/>
        <v>2016</v>
      </c>
    </row>
    <row r="1107" spans="1:17" x14ac:dyDescent="0.3">
      <c r="A1107" t="str">
        <f t="shared" ca="1" si="27"/>
        <v>ORD-2015-Ger-6152</v>
      </c>
      <c r="B1107" t="s">
        <v>17</v>
      </c>
      <c r="C1107" t="s">
        <v>22</v>
      </c>
      <c r="D1107" t="s">
        <v>41</v>
      </c>
      <c r="E1107" t="s">
        <v>48</v>
      </c>
      <c r="F1107">
        <f t="shared" ca="1" si="17"/>
        <v>1013</v>
      </c>
      <c r="G1107">
        <v>10</v>
      </c>
      <c r="H1107">
        <v>125</v>
      </c>
      <c r="I1107">
        <f t="shared" ca="1" si="18"/>
        <v>12137</v>
      </c>
      <c r="J1107">
        <f t="shared" ca="1" si="19"/>
        <v>59245.279999999999</v>
      </c>
      <c r="K1107">
        <f t="shared" ca="1" si="28"/>
        <v>79640.710000000006</v>
      </c>
      <c r="L1107">
        <f t="shared" ca="1" si="26"/>
        <v>13805</v>
      </c>
      <c r="M1107">
        <f t="shared" ca="1" si="21"/>
        <v>65835.710000000006</v>
      </c>
      <c r="N1107" s="1">
        <f t="shared" ca="1" si="22"/>
        <v>42245</v>
      </c>
      <c r="O1107">
        <f t="shared" ca="1" si="23"/>
        <v>8</v>
      </c>
      <c r="P1107" t="str">
        <f t="shared" ca="1" si="24"/>
        <v>August</v>
      </c>
      <c r="Q1107">
        <f t="shared" ca="1" si="25"/>
        <v>2015</v>
      </c>
    </row>
    <row r="1108" spans="1:17" x14ac:dyDescent="0.3">
      <c r="A1108" t="str">
        <f t="shared" ca="1" si="27"/>
        <v>ORD-2015-Fra-7918</v>
      </c>
      <c r="B1108" t="s">
        <v>17</v>
      </c>
      <c r="C1108" t="s">
        <v>24</v>
      </c>
      <c r="D1108" t="s">
        <v>41</v>
      </c>
      <c r="E1108" t="s">
        <v>48</v>
      </c>
      <c r="F1108">
        <f t="shared" ca="1" si="17"/>
        <v>2277</v>
      </c>
      <c r="G1108">
        <v>120</v>
      </c>
      <c r="H1108">
        <v>350</v>
      </c>
      <c r="I1108">
        <f t="shared" ca="1" si="18"/>
        <v>25344</v>
      </c>
      <c r="J1108">
        <f t="shared" ca="1" si="19"/>
        <v>62120.59</v>
      </c>
      <c r="K1108">
        <f t="shared" ca="1" si="28"/>
        <v>79089.100000000006</v>
      </c>
      <c r="L1108">
        <f t="shared" ca="1" si="26"/>
        <v>10130</v>
      </c>
      <c r="M1108">
        <f t="shared" ca="1" si="21"/>
        <v>68959.100000000006</v>
      </c>
      <c r="N1108" s="1">
        <f t="shared" ca="1" si="22"/>
        <v>42131</v>
      </c>
      <c r="O1108">
        <f t="shared" ca="1" si="23"/>
        <v>5</v>
      </c>
      <c r="P1108" t="str">
        <f t="shared" ca="1" si="24"/>
        <v>May</v>
      </c>
      <c r="Q1108">
        <f t="shared" ca="1" si="25"/>
        <v>2015</v>
      </c>
    </row>
    <row r="1109" spans="1:17" x14ac:dyDescent="0.3">
      <c r="A1109" t="str">
        <f t="shared" ca="1" si="27"/>
        <v>ORD-2017-Mex-6044</v>
      </c>
      <c r="B1109" t="s">
        <v>17</v>
      </c>
      <c r="C1109" t="s">
        <v>26</v>
      </c>
      <c r="D1109" t="s">
        <v>41</v>
      </c>
      <c r="E1109" t="s">
        <v>48</v>
      </c>
      <c r="F1109">
        <f t="shared" ca="1" si="17"/>
        <v>2059.5</v>
      </c>
      <c r="G1109">
        <v>120</v>
      </c>
      <c r="H1109">
        <v>350</v>
      </c>
      <c r="I1109">
        <f t="shared" ca="1" si="18"/>
        <v>20485</v>
      </c>
      <c r="J1109">
        <f t="shared" ca="1" si="19"/>
        <v>60419.47</v>
      </c>
      <c r="K1109">
        <f t="shared" ca="1" si="28"/>
        <v>78031.05</v>
      </c>
      <c r="L1109">
        <f t="shared" ca="1" si="26"/>
        <v>273240</v>
      </c>
      <c r="M1109">
        <f t="shared" ca="1" si="21"/>
        <v>-195208.95</v>
      </c>
      <c r="N1109" s="1">
        <f t="shared" ca="1" si="22"/>
        <v>42807</v>
      </c>
      <c r="O1109">
        <f t="shared" ca="1" si="23"/>
        <v>3</v>
      </c>
      <c r="P1109" t="str">
        <f t="shared" ca="1" si="24"/>
        <v>March</v>
      </c>
      <c r="Q1109">
        <f t="shared" ca="1" si="25"/>
        <v>2017</v>
      </c>
    </row>
    <row r="1110" spans="1:17" x14ac:dyDescent="0.3">
      <c r="A1110" t="str">
        <f t="shared" ca="1" si="27"/>
        <v>ORD-2017-Fra-8746</v>
      </c>
      <c r="B1110" t="s">
        <v>17</v>
      </c>
      <c r="C1110" t="s">
        <v>24</v>
      </c>
      <c r="D1110" t="s">
        <v>42</v>
      </c>
      <c r="E1110" t="s">
        <v>48</v>
      </c>
      <c r="F1110">
        <f t="shared" ca="1" si="17"/>
        <v>673</v>
      </c>
      <c r="G1110">
        <v>120</v>
      </c>
      <c r="H1110">
        <v>7</v>
      </c>
      <c r="I1110">
        <f t="shared" ca="1" si="18"/>
        <v>37813</v>
      </c>
      <c r="J1110">
        <f t="shared" ca="1" si="19"/>
        <v>61891.86</v>
      </c>
      <c r="K1110">
        <f t="shared" ca="1" si="28"/>
        <v>78266.83</v>
      </c>
      <c r="L1110">
        <f t="shared" ca="1" si="26"/>
        <v>247140</v>
      </c>
      <c r="M1110">
        <f t="shared" ca="1" si="21"/>
        <v>-168873.16999999998</v>
      </c>
      <c r="N1110" s="1">
        <f t="shared" ca="1" si="22"/>
        <v>42805</v>
      </c>
      <c r="O1110">
        <f t="shared" ca="1" si="23"/>
        <v>3</v>
      </c>
      <c r="P1110" t="str">
        <f t="shared" ca="1" si="24"/>
        <v>March</v>
      </c>
      <c r="Q1110">
        <f t="shared" ca="1" si="25"/>
        <v>2017</v>
      </c>
    </row>
    <row r="1111" spans="1:17" x14ac:dyDescent="0.3">
      <c r="A1111" t="str">
        <f t="shared" ca="1" si="27"/>
        <v>ORD-2017-Fra-9032</v>
      </c>
      <c r="B1111" t="s">
        <v>17</v>
      </c>
      <c r="C1111" t="s">
        <v>24</v>
      </c>
      <c r="D1111" t="s">
        <v>42</v>
      </c>
      <c r="E1111" t="s">
        <v>48</v>
      </c>
      <c r="F1111">
        <f t="shared" ca="1" si="17"/>
        <v>2322.5</v>
      </c>
      <c r="G1111">
        <v>120</v>
      </c>
      <c r="H1111">
        <v>350</v>
      </c>
      <c r="I1111">
        <f t="shared" ca="1" si="18"/>
        <v>55727</v>
      </c>
      <c r="J1111">
        <f t="shared" ca="1" si="19"/>
        <v>58681.91</v>
      </c>
      <c r="K1111">
        <f t="shared" ca="1" si="28"/>
        <v>79714.240000000005</v>
      </c>
      <c r="L1111">
        <f t="shared" ca="1" si="26"/>
        <v>80760</v>
      </c>
      <c r="M1111">
        <f t="shared" ca="1" si="21"/>
        <v>-1045.7599999999948</v>
      </c>
      <c r="N1111" s="1">
        <f t="shared" ca="1" si="22"/>
        <v>42901</v>
      </c>
      <c r="O1111">
        <f t="shared" ca="1" si="23"/>
        <v>6</v>
      </c>
      <c r="P1111" t="str">
        <f t="shared" ca="1" si="24"/>
        <v>June</v>
      </c>
      <c r="Q1111">
        <f t="shared" ca="1" si="25"/>
        <v>2017</v>
      </c>
    </row>
    <row r="1112" spans="1:17" x14ac:dyDescent="0.3">
      <c r="A1112" t="str">
        <f t="shared" ca="1" si="27"/>
        <v>ORD-2017-Ca0-5308</v>
      </c>
      <c r="B1112" t="s">
        <v>17</v>
      </c>
      <c r="C1112" t="s">
        <v>18</v>
      </c>
      <c r="D1112" t="s">
        <v>42</v>
      </c>
      <c r="E1112" t="s">
        <v>48</v>
      </c>
      <c r="F1112">
        <f t="shared" ca="1" si="17"/>
        <v>2135</v>
      </c>
      <c r="G1112">
        <v>120</v>
      </c>
      <c r="H1112">
        <v>20</v>
      </c>
      <c r="I1112">
        <f t="shared" ca="1" si="18"/>
        <v>54335</v>
      </c>
      <c r="J1112">
        <f t="shared" ca="1" si="19"/>
        <v>61799.3</v>
      </c>
      <c r="K1112">
        <f t="shared" ca="1" si="28"/>
        <v>79115.61</v>
      </c>
      <c r="L1112">
        <f t="shared" ca="1" si="26"/>
        <v>278700</v>
      </c>
      <c r="M1112">
        <f t="shared" ca="1" si="21"/>
        <v>-199584.39</v>
      </c>
      <c r="N1112" s="1">
        <f t="shared" ca="1" si="22"/>
        <v>42866</v>
      </c>
      <c r="O1112">
        <f t="shared" ca="1" si="23"/>
        <v>5</v>
      </c>
      <c r="P1112" t="str">
        <f t="shared" ca="1" si="24"/>
        <v>May</v>
      </c>
      <c r="Q1112">
        <f t="shared" ca="1" si="25"/>
        <v>2017</v>
      </c>
    </row>
    <row r="1113" spans="1:17" x14ac:dyDescent="0.3">
      <c r="A1113" t="str">
        <f t="shared" ca="1" si="27"/>
        <v>ORD-2016-Mex-1955</v>
      </c>
      <c r="B1113" t="s">
        <v>17</v>
      </c>
      <c r="C1113" t="s">
        <v>26</v>
      </c>
      <c r="D1113" t="s">
        <v>44</v>
      </c>
      <c r="E1113" t="s">
        <v>48</v>
      </c>
      <c r="F1113">
        <f t="shared" ca="1" si="17"/>
        <v>2107.5</v>
      </c>
      <c r="G1113">
        <v>250</v>
      </c>
      <c r="H1113">
        <v>15</v>
      </c>
      <c r="I1113">
        <f t="shared" ca="1" si="18"/>
        <v>11816</v>
      </c>
      <c r="J1113">
        <f t="shared" ca="1" si="19"/>
        <v>62011.14</v>
      </c>
      <c r="K1113">
        <f t="shared" ca="1" si="28"/>
        <v>79106.240000000005</v>
      </c>
      <c r="L1113">
        <f t="shared" ca="1" si="26"/>
        <v>256200</v>
      </c>
      <c r="M1113">
        <f t="shared" ca="1" si="21"/>
        <v>-177093.76000000001</v>
      </c>
      <c r="N1113" s="1">
        <f t="shared" ca="1" si="22"/>
        <v>42647</v>
      </c>
      <c r="O1113">
        <f t="shared" ca="1" si="23"/>
        <v>10</v>
      </c>
      <c r="P1113" t="str">
        <f t="shared" ca="1" si="24"/>
        <v>October</v>
      </c>
      <c r="Q1113">
        <f t="shared" ca="1" si="25"/>
        <v>2016</v>
      </c>
    </row>
    <row r="1114" spans="1:17" x14ac:dyDescent="0.3">
      <c r="A1114" t="str">
        <f t="shared" ca="1" si="27"/>
        <v>ORD-2017-Fra-9541</v>
      </c>
      <c r="B1114" t="s">
        <v>23</v>
      </c>
      <c r="C1114" t="s">
        <v>24</v>
      </c>
      <c r="D1114" t="s">
        <v>44</v>
      </c>
      <c r="E1114" t="s">
        <v>48</v>
      </c>
      <c r="F1114">
        <f t="shared" ca="1" si="17"/>
        <v>525</v>
      </c>
      <c r="G1114">
        <v>250</v>
      </c>
      <c r="H1114">
        <v>15</v>
      </c>
      <c r="I1114">
        <f t="shared" ca="1" si="18"/>
        <v>43304</v>
      </c>
      <c r="J1114">
        <f t="shared" ca="1" si="19"/>
        <v>58417.599999999999</v>
      </c>
      <c r="K1114">
        <f t="shared" ca="1" si="28"/>
        <v>78681.31</v>
      </c>
      <c r="L1114">
        <f t="shared" ca="1" si="26"/>
        <v>526875</v>
      </c>
      <c r="M1114">
        <f t="shared" ca="1" si="21"/>
        <v>-448193.69</v>
      </c>
      <c r="N1114" s="1">
        <f t="shared" ca="1" si="22"/>
        <v>42908</v>
      </c>
      <c r="O1114">
        <f t="shared" ca="1" si="23"/>
        <v>6</v>
      </c>
      <c r="P1114" t="str">
        <f t="shared" ca="1" si="24"/>
        <v>June</v>
      </c>
      <c r="Q1114">
        <f t="shared" ca="1" si="25"/>
        <v>2017</v>
      </c>
    </row>
    <row r="1115" spans="1:17" x14ac:dyDescent="0.3">
      <c r="A1115" t="str">
        <f t="shared" ca="1" si="27"/>
        <v>ORD-2017-Mex-7803</v>
      </c>
      <c r="B1115" t="s">
        <v>17</v>
      </c>
      <c r="C1115" t="s">
        <v>26</v>
      </c>
      <c r="D1115" t="s">
        <v>44</v>
      </c>
      <c r="E1115" t="s">
        <v>48</v>
      </c>
      <c r="F1115">
        <f t="shared" ca="1" si="17"/>
        <v>737.5</v>
      </c>
      <c r="G1115">
        <v>250</v>
      </c>
      <c r="H1115">
        <v>15</v>
      </c>
      <c r="I1115">
        <f t="shared" ca="1" si="18"/>
        <v>10539</v>
      </c>
      <c r="J1115">
        <f t="shared" ca="1" si="19"/>
        <v>59230.16</v>
      </c>
      <c r="K1115">
        <f t="shared" ca="1" si="28"/>
        <v>78301.45</v>
      </c>
      <c r="L1115">
        <f t="shared" ca="1" si="26"/>
        <v>131250</v>
      </c>
      <c r="M1115">
        <f t="shared" ca="1" si="21"/>
        <v>-52948.55</v>
      </c>
      <c r="N1115" s="1">
        <f t="shared" ca="1" si="22"/>
        <v>42834</v>
      </c>
      <c r="O1115">
        <f t="shared" ca="1" si="23"/>
        <v>4</v>
      </c>
      <c r="P1115" t="str">
        <f t="shared" ca="1" si="24"/>
        <v>April</v>
      </c>
      <c r="Q1115">
        <f t="shared" ca="1" si="25"/>
        <v>2017</v>
      </c>
    </row>
    <row r="1116" spans="1:17" x14ac:dyDescent="0.3">
      <c r="A1116" t="str">
        <f t="shared" ca="1" si="27"/>
        <v>ORD-2017-Ca0-8661</v>
      </c>
      <c r="B1116" t="s">
        <v>23</v>
      </c>
      <c r="C1116" t="s">
        <v>18</v>
      </c>
      <c r="D1116" t="s">
        <v>44</v>
      </c>
      <c r="E1116" t="s">
        <v>48</v>
      </c>
      <c r="F1116">
        <f t="shared" ca="1" si="17"/>
        <v>1547.5</v>
      </c>
      <c r="G1116">
        <v>250</v>
      </c>
      <c r="H1116">
        <v>20</v>
      </c>
      <c r="I1116">
        <f t="shared" ca="1" si="18"/>
        <v>54875</v>
      </c>
      <c r="J1116">
        <f t="shared" ca="1" si="19"/>
        <v>61596.56</v>
      </c>
      <c r="K1116">
        <f t="shared" ca="1" si="28"/>
        <v>79515.259999999995</v>
      </c>
      <c r="L1116">
        <f t="shared" ca="1" si="26"/>
        <v>184375</v>
      </c>
      <c r="M1116">
        <f t="shared" ca="1" si="21"/>
        <v>-104859.74</v>
      </c>
      <c r="N1116" s="1">
        <f t="shared" ca="1" si="22"/>
        <v>42883</v>
      </c>
      <c r="O1116">
        <f t="shared" ca="1" si="23"/>
        <v>5</v>
      </c>
      <c r="P1116" t="str">
        <f t="shared" ca="1" si="24"/>
        <v>May</v>
      </c>
      <c r="Q1116">
        <f t="shared" ca="1" si="25"/>
        <v>2017</v>
      </c>
    </row>
    <row r="1117" spans="1:17" x14ac:dyDescent="0.3">
      <c r="A1117" t="str">
        <f t="shared" ca="1" si="27"/>
        <v>ORD-2016-Fra-4470</v>
      </c>
      <c r="B1117" t="s">
        <v>30</v>
      </c>
      <c r="C1117" t="s">
        <v>24</v>
      </c>
      <c r="D1117" t="s">
        <v>44</v>
      </c>
      <c r="E1117" t="s">
        <v>48</v>
      </c>
      <c r="F1117">
        <f t="shared" ca="1" si="17"/>
        <v>287</v>
      </c>
      <c r="G1117">
        <v>250</v>
      </c>
      <c r="H1117">
        <v>20</v>
      </c>
      <c r="I1117">
        <f t="shared" ca="1" si="18"/>
        <v>11519</v>
      </c>
      <c r="J1117">
        <f t="shared" ca="1" si="19"/>
        <v>60522.67</v>
      </c>
      <c r="K1117">
        <f t="shared" ca="1" si="28"/>
        <v>79310</v>
      </c>
      <c r="L1117">
        <f t="shared" ca="1" si="26"/>
        <v>386875</v>
      </c>
      <c r="M1117">
        <f t="shared" ca="1" si="21"/>
        <v>-307565</v>
      </c>
      <c r="N1117" s="1">
        <f t="shared" ca="1" si="22"/>
        <v>42401</v>
      </c>
      <c r="O1117">
        <f t="shared" ca="1" si="23"/>
        <v>2</v>
      </c>
      <c r="P1117" t="str">
        <f t="shared" ca="1" si="24"/>
        <v>February</v>
      </c>
      <c r="Q1117">
        <f t="shared" ca="1" si="25"/>
        <v>2016</v>
      </c>
    </row>
    <row r="1118" spans="1:17" x14ac:dyDescent="0.3">
      <c r="A1118" t="str">
        <f t="shared" ca="1" si="27"/>
        <v>ORD-2015-Mex-1311</v>
      </c>
      <c r="B1118" t="s">
        <v>17</v>
      </c>
      <c r="C1118" t="s">
        <v>26</v>
      </c>
      <c r="D1118" t="s">
        <v>28</v>
      </c>
      <c r="E1118" t="s">
        <v>45</v>
      </c>
      <c r="F1118">
        <f t="shared" ca="1" si="17"/>
        <v>1594</v>
      </c>
      <c r="G1118">
        <v>250</v>
      </c>
      <c r="H1118">
        <v>7</v>
      </c>
      <c r="I1118">
        <f t="shared" ca="1" si="18"/>
        <v>5244</v>
      </c>
      <c r="J1118">
        <f t="shared" ca="1" si="19"/>
        <v>61976.25</v>
      </c>
      <c r="K1118">
        <f t="shared" ca="1" si="28"/>
        <v>79658.98</v>
      </c>
      <c r="L1118">
        <f t="shared" ca="1" si="26"/>
        <v>71750</v>
      </c>
      <c r="M1118">
        <f t="shared" ca="1" si="21"/>
        <v>7908.9799999999959</v>
      </c>
      <c r="N1118" s="1">
        <f t="shared" ca="1" si="22"/>
        <v>42158</v>
      </c>
      <c r="O1118">
        <f t="shared" ca="1" si="23"/>
        <v>6</v>
      </c>
      <c r="P1118" t="str">
        <f t="shared" ca="1" si="24"/>
        <v>June</v>
      </c>
      <c r="Q1118">
        <f t="shared" ca="1" si="25"/>
        <v>2015</v>
      </c>
    </row>
    <row r="1119" spans="1:17" x14ac:dyDescent="0.3">
      <c r="A1119" t="str">
        <f t="shared" ca="1" si="27"/>
        <v>ORD-2017-Uni-6534</v>
      </c>
      <c r="B1119" t="s">
        <v>30</v>
      </c>
      <c r="C1119" t="s">
        <v>37</v>
      </c>
      <c r="D1119" t="s">
        <v>28</v>
      </c>
      <c r="E1119" t="s">
        <v>45</v>
      </c>
      <c r="F1119">
        <f t="shared" ca="1" si="17"/>
        <v>2193</v>
      </c>
      <c r="G1119">
        <v>260</v>
      </c>
      <c r="H1119">
        <v>15</v>
      </c>
      <c r="I1119">
        <f t="shared" ca="1" si="18"/>
        <v>42455</v>
      </c>
      <c r="J1119">
        <f t="shared" ca="1" si="19"/>
        <v>61369.17</v>
      </c>
      <c r="K1119">
        <f t="shared" ca="1" si="28"/>
        <v>79456.160000000003</v>
      </c>
      <c r="L1119">
        <f t="shared" ca="1" si="26"/>
        <v>398500</v>
      </c>
      <c r="M1119">
        <f t="shared" ca="1" si="21"/>
        <v>-319043.83999999997</v>
      </c>
      <c r="N1119" s="1">
        <f t="shared" ca="1" si="22"/>
        <v>43001</v>
      </c>
      <c r="O1119">
        <f t="shared" ca="1" si="23"/>
        <v>9</v>
      </c>
      <c r="P1119" t="str">
        <f t="shared" ca="1" si="24"/>
        <v>September</v>
      </c>
      <c r="Q1119">
        <f t="shared" ca="1" si="25"/>
        <v>2017</v>
      </c>
    </row>
    <row r="1120" spans="1:17" x14ac:dyDescent="0.3">
      <c r="A1120" t="str">
        <f t="shared" ca="1" si="27"/>
        <v>ORD-2016-Fra-6438</v>
      </c>
      <c r="B1120" t="s">
        <v>30</v>
      </c>
      <c r="C1120" t="s">
        <v>24</v>
      </c>
      <c r="D1120" t="s">
        <v>38</v>
      </c>
      <c r="E1120" t="s">
        <v>45</v>
      </c>
      <c r="F1120">
        <f t="shared" ca="1" si="17"/>
        <v>2334</v>
      </c>
      <c r="G1120">
        <v>260</v>
      </c>
      <c r="H1120">
        <v>12</v>
      </c>
      <c r="I1120">
        <f t="shared" ca="1" si="18"/>
        <v>19637</v>
      </c>
      <c r="J1120">
        <f t="shared" ca="1" si="19"/>
        <v>60765.23</v>
      </c>
      <c r="K1120">
        <f t="shared" ca="1" si="28"/>
        <v>79035.460000000006</v>
      </c>
      <c r="L1120">
        <f t="shared" ca="1" si="26"/>
        <v>570180</v>
      </c>
      <c r="M1120">
        <f t="shared" ca="1" si="21"/>
        <v>-491144.54</v>
      </c>
      <c r="N1120" s="1">
        <f t="shared" ca="1" si="22"/>
        <v>42517</v>
      </c>
      <c r="O1120">
        <f t="shared" ca="1" si="23"/>
        <v>5</v>
      </c>
      <c r="P1120" t="str">
        <f t="shared" ca="1" si="24"/>
        <v>May</v>
      </c>
      <c r="Q1120">
        <f t="shared" ca="1" si="25"/>
        <v>2016</v>
      </c>
    </row>
    <row r="1121" spans="1:17" x14ac:dyDescent="0.3">
      <c r="A1121" t="str">
        <f t="shared" ca="1" si="27"/>
        <v>ORD-2015-Fra-3250</v>
      </c>
      <c r="B1121" t="s">
        <v>33</v>
      </c>
      <c r="C1121" t="s">
        <v>24</v>
      </c>
      <c r="D1121" t="s">
        <v>44</v>
      </c>
      <c r="E1121" t="s">
        <v>45</v>
      </c>
      <c r="F1121">
        <f t="shared" ca="1" si="17"/>
        <v>2147</v>
      </c>
      <c r="G1121">
        <v>260</v>
      </c>
      <c r="H1121">
        <v>12</v>
      </c>
      <c r="I1121">
        <f t="shared" ca="1" si="18"/>
        <v>18698</v>
      </c>
      <c r="J1121">
        <f t="shared" ca="1" si="19"/>
        <v>58648.72</v>
      </c>
      <c r="K1121">
        <f t="shared" ca="1" si="28"/>
        <v>78528.7</v>
      </c>
      <c r="L1121">
        <f t="shared" ca="1" si="26"/>
        <v>606840</v>
      </c>
      <c r="M1121">
        <f t="shared" ca="1" si="21"/>
        <v>-528311.30000000005</v>
      </c>
      <c r="N1121" s="1">
        <f t="shared" ca="1" si="22"/>
        <v>42031</v>
      </c>
      <c r="O1121">
        <f t="shared" ca="1" si="23"/>
        <v>1</v>
      </c>
      <c r="P1121" t="str">
        <f t="shared" ca="1" si="24"/>
        <v>January</v>
      </c>
      <c r="Q1121">
        <f t="shared" ca="1" si="25"/>
        <v>2015</v>
      </c>
    </row>
    <row r="1122" spans="1:17" x14ac:dyDescent="0.3">
      <c r="A1122" t="str">
        <f t="shared" ca="1" si="27"/>
        <v>ORD-2016-Fra-1595</v>
      </c>
      <c r="B1122" t="s">
        <v>31</v>
      </c>
      <c r="C1122" t="s">
        <v>24</v>
      </c>
      <c r="D1122" t="s">
        <v>19</v>
      </c>
      <c r="E1122" t="s">
        <v>45</v>
      </c>
      <c r="F1122">
        <f t="shared" ca="1" si="17"/>
        <v>879</v>
      </c>
      <c r="G1122">
        <v>260</v>
      </c>
      <c r="H1122">
        <v>20</v>
      </c>
      <c r="I1122">
        <f t="shared" ca="1" si="18"/>
        <v>29252</v>
      </c>
      <c r="J1122">
        <f t="shared" ca="1" si="19"/>
        <v>61635.22</v>
      </c>
      <c r="K1122">
        <f t="shared" ca="1" si="28"/>
        <v>79114.55</v>
      </c>
      <c r="L1122">
        <f t="shared" ca="1" si="26"/>
        <v>558220</v>
      </c>
      <c r="M1122">
        <f t="shared" ca="1" si="21"/>
        <v>-479105.45</v>
      </c>
      <c r="N1122" s="1">
        <f t="shared" ca="1" si="22"/>
        <v>42372</v>
      </c>
      <c r="O1122">
        <f t="shared" ca="1" si="23"/>
        <v>1</v>
      </c>
      <c r="P1122" t="str">
        <f t="shared" ca="1" si="24"/>
        <v>January</v>
      </c>
      <c r="Q1122">
        <f t="shared" ca="1" si="25"/>
        <v>2016</v>
      </c>
    </row>
    <row r="1123" spans="1:17" x14ac:dyDescent="0.3">
      <c r="A1123" t="str">
        <f t="shared" ca="1" si="27"/>
        <v>ORD-2016-Uni-7158</v>
      </c>
      <c r="B1123" t="s">
        <v>33</v>
      </c>
      <c r="C1123" t="s">
        <v>37</v>
      </c>
      <c r="D1123" t="s">
        <v>19</v>
      </c>
      <c r="E1123" t="s">
        <v>45</v>
      </c>
      <c r="F1123">
        <f t="shared" ca="1" si="17"/>
        <v>2951</v>
      </c>
      <c r="G1123">
        <v>260</v>
      </c>
      <c r="H1123">
        <v>12</v>
      </c>
      <c r="I1123">
        <f t="shared" ca="1" si="18"/>
        <v>32083</v>
      </c>
      <c r="J1123">
        <f t="shared" ca="1" si="19"/>
        <v>59438.65</v>
      </c>
      <c r="K1123">
        <f t="shared" ca="1" si="28"/>
        <v>78580.539999999994</v>
      </c>
      <c r="L1123">
        <f t="shared" ca="1" si="26"/>
        <v>228540</v>
      </c>
      <c r="M1123">
        <f t="shared" ca="1" si="21"/>
        <v>-149959.46000000002</v>
      </c>
      <c r="N1123" s="1">
        <f t="shared" ca="1" si="22"/>
        <v>42615</v>
      </c>
      <c r="O1123">
        <f t="shared" ca="1" si="23"/>
        <v>9</v>
      </c>
      <c r="P1123" t="str">
        <f t="shared" ca="1" si="24"/>
        <v>September</v>
      </c>
      <c r="Q1123">
        <f t="shared" ca="1" si="25"/>
        <v>2016</v>
      </c>
    </row>
    <row r="1124" spans="1:17" x14ac:dyDescent="0.3">
      <c r="A1124" t="str">
        <f t="shared" ca="1" si="27"/>
        <v>ORD-2016-Ger-8447</v>
      </c>
      <c r="B1124" t="s">
        <v>33</v>
      </c>
      <c r="C1124" t="s">
        <v>22</v>
      </c>
      <c r="D1124" t="s">
        <v>19</v>
      </c>
      <c r="E1124" t="s">
        <v>47</v>
      </c>
      <c r="F1124">
        <f t="shared" ca="1" si="17"/>
        <v>1707.5</v>
      </c>
      <c r="G1124">
        <v>260</v>
      </c>
      <c r="H1124">
        <v>12</v>
      </c>
      <c r="I1124">
        <f t="shared" ca="1" si="18"/>
        <v>29234</v>
      </c>
      <c r="J1124">
        <f t="shared" ca="1" si="19"/>
        <v>58410.84</v>
      </c>
      <c r="K1124">
        <f t="shared" ca="1" si="28"/>
        <v>80344.95</v>
      </c>
      <c r="L1124">
        <f t="shared" ca="1" si="26"/>
        <v>767260</v>
      </c>
      <c r="M1124">
        <f t="shared" ca="1" si="21"/>
        <v>-686915.05</v>
      </c>
      <c r="N1124" s="1">
        <f t="shared" ca="1" si="22"/>
        <v>42524</v>
      </c>
      <c r="O1124">
        <f t="shared" ca="1" si="23"/>
        <v>6</v>
      </c>
      <c r="P1124" t="str">
        <f t="shared" ca="1" si="24"/>
        <v>June</v>
      </c>
      <c r="Q1124">
        <f t="shared" ca="1" si="25"/>
        <v>2016</v>
      </c>
    </row>
    <row r="1125" spans="1:17" x14ac:dyDescent="0.3">
      <c r="A1125" t="str">
        <f t="shared" ca="1" si="27"/>
        <v>ORD-2016-Uni-7770</v>
      </c>
      <c r="B1125" t="s">
        <v>23</v>
      </c>
      <c r="C1125" t="s">
        <v>37</v>
      </c>
      <c r="D1125" t="s">
        <v>28</v>
      </c>
      <c r="E1125" t="s">
        <v>47</v>
      </c>
      <c r="F1125">
        <f t="shared" ca="1" si="17"/>
        <v>2655.5</v>
      </c>
      <c r="G1125">
        <v>260</v>
      </c>
      <c r="H1125">
        <v>7</v>
      </c>
      <c r="I1125">
        <f t="shared" ca="1" si="18"/>
        <v>30537</v>
      </c>
      <c r="J1125">
        <f t="shared" ca="1" si="19"/>
        <v>60407.45</v>
      </c>
      <c r="K1125">
        <f t="shared" ca="1" si="28"/>
        <v>80338.97</v>
      </c>
      <c r="L1125">
        <f t="shared" ca="1" si="26"/>
        <v>443950</v>
      </c>
      <c r="M1125">
        <f t="shared" ca="1" si="21"/>
        <v>-363611.03</v>
      </c>
      <c r="N1125" s="1">
        <f t="shared" ca="1" si="22"/>
        <v>42542</v>
      </c>
      <c r="O1125">
        <f t="shared" ca="1" si="23"/>
        <v>6</v>
      </c>
      <c r="P1125" t="str">
        <f t="shared" ca="1" si="24"/>
        <v>June</v>
      </c>
      <c r="Q1125">
        <f t="shared" ca="1" si="25"/>
        <v>2016</v>
      </c>
    </row>
    <row r="1126" spans="1:17" x14ac:dyDescent="0.3">
      <c r="A1126" t="str">
        <f t="shared" ca="1" si="27"/>
        <v>ORD-2017-Fra-3965</v>
      </c>
      <c r="B1126" t="s">
        <v>17</v>
      </c>
      <c r="C1126" t="s">
        <v>24</v>
      </c>
      <c r="D1126" t="s">
        <v>28</v>
      </c>
      <c r="E1126" t="s">
        <v>47</v>
      </c>
      <c r="F1126">
        <f t="shared" ca="1" si="17"/>
        <v>499</v>
      </c>
      <c r="G1126">
        <v>260</v>
      </c>
      <c r="H1126">
        <v>15</v>
      </c>
      <c r="I1126">
        <f t="shared" ca="1" si="18"/>
        <v>20459</v>
      </c>
      <c r="J1126">
        <f t="shared" ca="1" si="19"/>
        <v>58499.42</v>
      </c>
      <c r="K1126">
        <f t="shared" ca="1" si="28"/>
        <v>78236.47</v>
      </c>
      <c r="L1126">
        <f t="shared" ca="1" si="26"/>
        <v>690430</v>
      </c>
      <c r="M1126">
        <f t="shared" ca="1" si="21"/>
        <v>-612193.53</v>
      </c>
      <c r="N1126" s="1">
        <f t="shared" ca="1" si="22"/>
        <v>42896</v>
      </c>
      <c r="O1126">
        <f t="shared" ca="1" si="23"/>
        <v>6</v>
      </c>
      <c r="P1126" t="str">
        <f t="shared" ca="1" si="24"/>
        <v>June</v>
      </c>
      <c r="Q1126">
        <f t="shared" ca="1" si="25"/>
        <v>2017</v>
      </c>
    </row>
    <row r="1127" spans="1:17" x14ac:dyDescent="0.3">
      <c r="A1127" t="str">
        <f t="shared" ca="1" si="27"/>
        <v>ORD-2015-Ger-5065</v>
      </c>
      <c r="B1127" t="s">
        <v>31</v>
      </c>
      <c r="C1127" t="s">
        <v>22</v>
      </c>
      <c r="D1127" t="s">
        <v>28</v>
      </c>
      <c r="E1127" t="s">
        <v>47</v>
      </c>
      <c r="F1127">
        <f t="shared" ca="1" si="17"/>
        <v>2537</v>
      </c>
      <c r="G1127">
        <v>3</v>
      </c>
      <c r="H1127">
        <v>7</v>
      </c>
      <c r="I1127">
        <f t="shared" ca="1" si="18"/>
        <v>53816</v>
      </c>
      <c r="J1127">
        <f t="shared" ca="1" si="19"/>
        <v>60311.86</v>
      </c>
      <c r="K1127">
        <f t="shared" ca="1" si="28"/>
        <v>78759.990000000005</v>
      </c>
      <c r="L1127">
        <f t="shared" ca="1" si="26"/>
        <v>129740</v>
      </c>
      <c r="M1127">
        <f t="shared" ca="1" si="21"/>
        <v>-50980.009999999995</v>
      </c>
      <c r="N1127" s="1">
        <f t="shared" ca="1" si="22"/>
        <v>42329</v>
      </c>
      <c r="O1127">
        <f t="shared" ca="1" si="23"/>
        <v>11</v>
      </c>
      <c r="P1127" t="str">
        <f t="shared" ca="1" si="24"/>
        <v>November</v>
      </c>
      <c r="Q1127">
        <f t="shared" ca="1" si="25"/>
        <v>2015</v>
      </c>
    </row>
    <row r="1128" spans="1:17" x14ac:dyDescent="0.3">
      <c r="A1128" t="str">
        <f t="shared" ca="1" si="27"/>
        <v>ORD-2016-Mex-2109</v>
      </c>
      <c r="B1128" t="s">
        <v>23</v>
      </c>
      <c r="C1128" t="s">
        <v>26</v>
      </c>
      <c r="D1128" t="s">
        <v>28</v>
      </c>
      <c r="E1128" t="s">
        <v>47</v>
      </c>
      <c r="F1128">
        <f t="shared" ca="1" si="17"/>
        <v>1290</v>
      </c>
      <c r="G1128">
        <v>10</v>
      </c>
      <c r="H1128">
        <v>7</v>
      </c>
      <c r="I1128">
        <f t="shared" ca="1" si="18"/>
        <v>18400</v>
      </c>
      <c r="J1128">
        <f t="shared" ca="1" si="19"/>
        <v>60120.33</v>
      </c>
      <c r="K1128">
        <f t="shared" ca="1" si="28"/>
        <v>78351.56</v>
      </c>
      <c r="L1128">
        <f t="shared" ca="1" si="26"/>
        <v>7611</v>
      </c>
      <c r="M1128">
        <f t="shared" ca="1" si="21"/>
        <v>70740.56</v>
      </c>
      <c r="N1128" s="1">
        <f t="shared" ca="1" si="22"/>
        <v>42386</v>
      </c>
      <c r="O1128">
        <f t="shared" ca="1" si="23"/>
        <v>1</v>
      </c>
      <c r="P1128" t="str">
        <f t="shared" ca="1" si="24"/>
        <v>January</v>
      </c>
      <c r="Q1128">
        <f t="shared" ca="1" si="25"/>
        <v>2016</v>
      </c>
    </row>
    <row r="1129" spans="1:17" x14ac:dyDescent="0.3">
      <c r="A1129" t="str">
        <f t="shared" ca="1" si="27"/>
        <v>ORD-2016-Uni-1620</v>
      </c>
      <c r="B1129" t="s">
        <v>17</v>
      </c>
      <c r="C1129" t="s">
        <v>37</v>
      </c>
      <c r="D1129" t="s">
        <v>28</v>
      </c>
      <c r="E1129" t="s">
        <v>48</v>
      </c>
      <c r="F1129">
        <f t="shared" ca="1" si="17"/>
        <v>1085</v>
      </c>
      <c r="G1129">
        <v>10</v>
      </c>
      <c r="H1129">
        <v>7</v>
      </c>
      <c r="I1129">
        <f t="shared" ca="1" si="18"/>
        <v>30420</v>
      </c>
      <c r="J1129">
        <f t="shared" ca="1" si="19"/>
        <v>61285.120000000003</v>
      </c>
      <c r="K1129">
        <f t="shared" ca="1" si="28"/>
        <v>80070.37</v>
      </c>
      <c r="L1129">
        <f t="shared" ca="1" si="26"/>
        <v>12900</v>
      </c>
      <c r="M1129">
        <f t="shared" ca="1" si="21"/>
        <v>67170.37</v>
      </c>
      <c r="N1129" s="1">
        <f t="shared" ca="1" si="22"/>
        <v>42589</v>
      </c>
      <c r="O1129">
        <f t="shared" ca="1" si="23"/>
        <v>8</v>
      </c>
      <c r="P1129" t="str">
        <f t="shared" ca="1" si="24"/>
        <v>August</v>
      </c>
      <c r="Q1129">
        <f t="shared" ca="1" si="25"/>
        <v>2016</v>
      </c>
    </row>
    <row r="1130" spans="1:17" x14ac:dyDescent="0.3">
      <c r="A1130" t="str">
        <f t="shared" ca="1" si="27"/>
        <v>ORD-2016-Mex-1111</v>
      </c>
      <c r="B1130" t="s">
        <v>17</v>
      </c>
      <c r="C1130" t="s">
        <v>26</v>
      </c>
      <c r="D1130" t="s">
        <v>28</v>
      </c>
      <c r="E1130" t="s">
        <v>48</v>
      </c>
      <c r="F1130">
        <f t="shared" ca="1" si="17"/>
        <v>288</v>
      </c>
      <c r="G1130">
        <v>10</v>
      </c>
      <c r="H1130">
        <v>12</v>
      </c>
      <c r="I1130">
        <f t="shared" ca="1" si="18"/>
        <v>9888</v>
      </c>
      <c r="J1130">
        <v>0</v>
      </c>
      <c r="K1130">
        <f t="shared" ca="1" si="28"/>
        <v>80298.94</v>
      </c>
      <c r="L1130">
        <f t="shared" ca="1" si="26"/>
        <v>10850</v>
      </c>
      <c r="M1130">
        <f t="shared" ca="1" si="21"/>
        <v>69448.94</v>
      </c>
      <c r="N1130" s="1">
        <f t="shared" ca="1" si="22"/>
        <v>42648</v>
      </c>
      <c r="O1130">
        <f t="shared" ca="1" si="23"/>
        <v>10</v>
      </c>
      <c r="P1130" t="str">
        <f t="shared" ca="1" si="24"/>
        <v>October</v>
      </c>
      <c r="Q1130">
        <f t="shared" ca="1" si="25"/>
        <v>2016</v>
      </c>
    </row>
    <row r="1131" spans="1:17" x14ac:dyDescent="0.3">
      <c r="A1131" t="str">
        <f t="shared" ca="1" si="27"/>
        <v>ORD-2016-Ca0-7556</v>
      </c>
      <c r="B1131" t="s">
        <v>30</v>
      </c>
      <c r="C1131" t="s">
        <v>18</v>
      </c>
      <c r="D1131" t="s">
        <v>38</v>
      </c>
      <c r="E1131" t="s">
        <v>48</v>
      </c>
      <c r="F1131">
        <f t="shared" ca="1" si="17"/>
        <v>919.5</v>
      </c>
      <c r="G1131">
        <v>10</v>
      </c>
      <c r="H1131">
        <v>12</v>
      </c>
      <c r="I1131">
        <f t="shared" ca="1" si="18"/>
        <v>53173</v>
      </c>
      <c r="J1131">
        <v>0</v>
      </c>
      <c r="K1131">
        <f t="shared" ca="1" si="28"/>
        <v>80309.11</v>
      </c>
      <c r="L1131">
        <f t="shared" ca="1" si="26"/>
        <v>2880</v>
      </c>
      <c r="M1131">
        <f t="shared" ca="1" si="21"/>
        <v>77429.11</v>
      </c>
      <c r="N1131" s="1">
        <f t="shared" ca="1" si="22"/>
        <v>42698</v>
      </c>
      <c r="O1131">
        <f t="shared" ca="1" si="23"/>
        <v>11</v>
      </c>
      <c r="P1131" t="str">
        <f t="shared" ca="1" si="24"/>
        <v>November</v>
      </c>
      <c r="Q1131">
        <f t="shared" ca="1" si="25"/>
        <v>2016</v>
      </c>
    </row>
    <row r="1132" spans="1:17" x14ac:dyDescent="0.3">
      <c r="A1132" t="str">
        <f t="shared" ca="1" si="27"/>
        <v>ORD-2016-Mex-4110</v>
      </c>
      <c r="B1132" t="s">
        <v>17</v>
      </c>
      <c r="C1132" t="s">
        <v>26</v>
      </c>
      <c r="D1132" t="s">
        <v>38</v>
      </c>
      <c r="E1132" t="s">
        <v>48</v>
      </c>
      <c r="F1132">
        <f t="shared" ca="1" si="17"/>
        <v>260</v>
      </c>
      <c r="G1132">
        <v>10</v>
      </c>
      <c r="H1132">
        <v>7</v>
      </c>
      <c r="I1132">
        <f t="shared" ca="1" si="18"/>
        <v>50123</v>
      </c>
      <c r="J1132">
        <v>0</v>
      </c>
      <c r="K1132">
        <f t="shared" ca="1" si="28"/>
        <v>80407.19</v>
      </c>
      <c r="L1132">
        <f t="shared" ca="1" si="26"/>
        <v>9195</v>
      </c>
      <c r="M1132">
        <f t="shared" ca="1" si="21"/>
        <v>71212.19</v>
      </c>
      <c r="N1132" s="1">
        <f t="shared" ca="1" si="22"/>
        <v>42531</v>
      </c>
      <c r="O1132">
        <f t="shared" ca="1" si="23"/>
        <v>6</v>
      </c>
      <c r="P1132" t="str">
        <f t="shared" ca="1" si="24"/>
        <v>June</v>
      </c>
      <c r="Q1132">
        <f t="shared" ca="1" si="25"/>
        <v>2016</v>
      </c>
    </row>
    <row r="1133" spans="1:17" x14ac:dyDescent="0.3">
      <c r="A1133" t="str">
        <f t="shared" ca="1" si="27"/>
        <v>ORD-2015-Mex-3121</v>
      </c>
      <c r="B1133" t="s">
        <v>23</v>
      </c>
      <c r="C1133" t="s">
        <v>26</v>
      </c>
      <c r="D1133" t="s">
        <v>38</v>
      </c>
      <c r="E1133" t="s">
        <v>48</v>
      </c>
      <c r="F1133">
        <f t="shared" ca="1" si="17"/>
        <v>947</v>
      </c>
      <c r="G1133">
        <v>10</v>
      </c>
      <c r="H1133">
        <v>7</v>
      </c>
      <c r="I1133">
        <f t="shared" ca="1" si="18"/>
        <v>27772</v>
      </c>
      <c r="J1133">
        <v>0</v>
      </c>
      <c r="K1133">
        <f t="shared" ca="1" si="28"/>
        <v>79902.070000000007</v>
      </c>
      <c r="L1133">
        <f t="shared" ca="1" si="26"/>
        <v>2600</v>
      </c>
      <c r="M1133">
        <f t="shared" ca="1" si="21"/>
        <v>77302.070000000007</v>
      </c>
      <c r="N1133" s="1">
        <f t="shared" ca="1" si="22"/>
        <v>42207</v>
      </c>
      <c r="O1133">
        <f t="shared" ca="1" si="23"/>
        <v>7</v>
      </c>
      <c r="P1133" t="str">
        <f t="shared" ca="1" si="24"/>
        <v>July</v>
      </c>
      <c r="Q1133">
        <f t="shared" ca="1" si="25"/>
        <v>2015</v>
      </c>
    </row>
    <row r="1134" spans="1:17" x14ac:dyDescent="0.3">
      <c r="A1134" t="str">
        <f t="shared" ca="1" si="27"/>
        <v>ORD-2015-Fra-5357</v>
      </c>
      <c r="B1134" t="s">
        <v>23</v>
      </c>
      <c r="C1134" t="s">
        <v>24</v>
      </c>
      <c r="D1134" t="s">
        <v>38</v>
      </c>
      <c r="E1134" t="s">
        <v>48</v>
      </c>
      <c r="F1134">
        <f t="shared" ca="1" si="17"/>
        <v>2364</v>
      </c>
      <c r="G1134">
        <v>10</v>
      </c>
      <c r="H1134">
        <v>350</v>
      </c>
      <c r="I1134">
        <f t="shared" ca="1" si="18"/>
        <v>42820</v>
      </c>
      <c r="J1134">
        <v>0</v>
      </c>
      <c r="K1134">
        <f t="shared" ca="1" si="28"/>
        <v>79905.87</v>
      </c>
      <c r="L1134">
        <f t="shared" ca="1" si="26"/>
        <v>9470</v>
      </c>
      <c r="M1134">
        <f t="shared" ca="1" si="21"/>
        <v>70435.87</v>
      </c>
      <c r="N1134" s="1">
        <f t="shared" ca="1" si="22"/>
        <v>42113</v>
      </c>
      <c r="O1134">
        <f t="shared" ca="1" si="23"/>
        <v>4</v>
      </c>
      <c r="P1134" t="str">
        <f t="shared" ca="1" si="24"/>
        <v>April</v>
      </c>
      <c r="Q1134">
        <f t="shared" ca="1" si="25"/>
        <v>2015</v>
      </c>
    </row>
    <row r="1135" spans="1:17" x14ac:dyDescent="0.3">
      <c r="A1135" t="str">
        <f t="shared" ca="1" si="27"/>
        <v>ORD-2016-Fra-8861</v>
      </c>
      <c r="B1135" t="s">
        <v>23</v>
      </c>
      <c r="C1135" t="s">
        <v>24</v>
      </c>
      <c r="D1135" t="s">
        <v>38</v>
      </c>
      <c r="E1135" t="s">
        <v>48</v>
      </c>
      <c r="F1135">
        <f t="shared" ca="1" si="17"/>
        <v>217.5</v>
      </c>
      <c r="G1135">
        <v>10</v>
      </c>
      <c r="H1135">
        <v>300</v>
      </c>
      <c r="I1135">
        <f t="shared" ca="1" si="18"/>
        <v>50019</v>
      </c>
      <c r="J1135">
        <v>0</v>
      </c>
      <c r="K1135">
        <f t="shared" ca="1" si="28"/>
        <v>78302.509999999995</v>
      </c>
      <c r="L1135">
        <f t="shared" ca="1" si="26"/>
        <v>23640</v>
      </c>
      <c r="M1135">
        <f t="shared" ca="1" si="21"/>
        <v>54662.509999999995</v>
      </c>
      <c r="N1135" s="1">
        <f t="shared" ca="1" si="22"/>
        <v>42591</v>
      </c>
      <c r="O1135">
        <f t="shared" ca="1" si="23"/>
        <v>8</v>
      </c>
      <c r="P1135" t="str">
        <f t="shared" ca="1" si="24"/>
        <v>August</v>
      </c>
      <c r="Q1135">
        <f t="shared" ca="1" si="25"/>
        <v>2016</v>
      </c>
    </row>
    <row r="1136" spans="1:17" x14ac:dyDescent="0.3">
      <c r="A1136" t="str">
        <f t="shared" ca="1" si="27"/>
        <v>ORD-2017-Ger-6000</v>
      </c>
      <c r="B1136" t="s">
        <v>17</v>
      </c>
      <c r="C1136" t="s">
        <v>22</v>
      </c>
      <c r="D1136" t="s">
        <v>38</v>
      </c>
      <c r="E1136" t="s">
        <v>48</v>
      </c>
      <c r="F1136">
        <f t="shared" ca="1" si="17"/>
        <v>216</v>
      </c>
      <c r="G1136">
        <v>10</v>
      </c>
      <c r="H1136">
        <v>300</v>
      </c>
      <c r="I1136">
        <f t="shared" ca="1" si="18"/>
        <v>21862</v>
      </c>
      <c r="J1136">
        <v>0</v>
      </c>
      <c r="K1136">
        <f t="shared" ca="1" si="28"/>
        <v>78385.39</v>
      </c>
      <c r="L1136">
        <f t="shared" ca="1" si="26"/>
        <v>2175</v>
      </c>
      <c r="M1136">
        <f t="shared" ca="1" si="21"/>
        <v>76210.39</v>
      </c>
      <c r="N1136" s="1">
        <f t="shared" ca="1" si="22"/>
        <v>42934</v>
      </c>
      <c r="O1136">
        <f t="shared" ca="1" si="23"/>
        <v>7</v>
      </c>
      <c r="P1136" t="str">
        <f t="shared" ca="1" si="24"/>
        <v>July</v>
      </c>
      <c r="Q1136">
        <f t="shared" ca="1" si="25"/>
        <v>2017</v>
      </c>
    </row>
    <row r="1137" spans="1:17" x14ac:dyDescent="0.3">
      <c r="A1137" t="str">
        <f t="shared" ca="1" si="27"/>
        <v>ORD-2017-Fra-2153</v>
      </c>
      <c r="B1137" t="s">
        <v>23</v>
      </c>
      <c r="C1137" t="s">
        <v>24</v>
      </c>
      <c r="D1137" t="s">
        <v>38</v>
      </c>
      <c r="E1137" t="s">
        <v>48</v>
      </c>
      <c r="F1137">
        <f t="shared" ca="1" si="17"/>
        <v>558.5</v>
      </c>
      <c r="G1137">
        <v>120</v>
      </c>
      <c r="H1137">
        <v>20</v>
      </c>
      <c r="I1137">
        <f t="shared" ca="1" si="18"/>
        <v>35985</v>
      </c>
      <c r="J1137">
        <f t="shared" ca="1" si="19"/>
        <v>60345.06</v>
      </c>
      <c r="K1137">
        <f t="shared" ca="1" si="28"/>
        <v>80302.69</v>
      </c>
      <c r="L1137">
        <f t="shared" ca="1" si="26"/>
        <v>2160</v>
      </c>
      <c r="M1137">
        <f t="shared" ca="1" si="21"/>
        <v>78142.69</v>
      </c>
      <c r="N1137" s="1">
        <f t="shared" ca="1" si="22"/>
        <v>42785</v>
      </c>
      <c r="O1137">
        <f t="shared" ca="1" si="23"/>
        <v>2</v>
      </c>
      <c r="P1137" t="str">
        <f t="shared" ca="1" si="24"/>
        <v>February</v>
      </c>
      <c r="Q1137">
        <f t="shared" ca="1" si="25"/>
        <v>2017</v>
      </c>
    </row>
    <row r="1138" spans="1:17" x14ac:dyDescent="0.3">
      <c r="A1138" t="str">
        <f t="shared" ca="1" si="27"/>
        <v>ORD-2016-Uni-1118</v>
      </c>
      <c r="B1138" t="s">
        <v>30</v>
      </c>
      <c r="C1138" t="s">
        <v>37</v>
      </c>
      <c r="D1138" t="s">
        <v>38</v>
      </c>
      <c r="E1138" t="s">
        <v>48</v>
      </c>
      <c r="F1138">
        <f t="shared" ca="1" si="17"/>
        <v>2957</v>
      </c>
      <c r="G1138">
        <v>120</v>
      </c>
      <c r="H1138">
        <v>300</v>
      </c>
      <c r="I1138">
        <f t="shared" ca="1" si="18"/>
        <v>14072</v>
      </c>
      <c r="J1138">
        <f t="shared" ca="1" si="19"/>
        <v>58154.3</v>
      </c>
      <c r="K1138">
        <f t="shared" ca="1" si="28"/>
        <v>80149.17</v>
      </c>
      <c r="L1138">
        <f t="shared" ca="1" si="26"/>
        <v>67020</v>
      </c>
      <c r="M1138">
        <f t="shared" ca="1" si="21"/>
        <v>13129.169999999998</v>
      </c>
      <c r="N1138" s="1">
        <f t="shared" ca="1" si="22"/>
        <v>42502</v>
      </c>
      <c r="O1138">
        <f t="shared" ca="1" si="23"/>
        <v>5</v>
      </c>
      <c r="P1138" t="str">
        <f t="shared" ca="1" si="24"/>
        <v>May</v>
      </c>
      <c r="Q1138">
        <f t="shared" ca="1" si="25"/>
        <v>2016</v>
      </c>
    </row>
    <row r="1139" spans="1:17" x14ac:dyDescent="0.3">
      <c r="A1139" t="str">
        <f t="shared" ca="1" si="27"/>
        <v>ORD-2016-Fra-2026</v>
      </c>
      <c r="B1139" t="s">
        <v>17</v>
      </c>
      <c r="C1139" t="s">
        <v>24</v>
      </c>
      <c r="D1139" t="s">
        <v>19</v>
      </c>
      <c r="E1139" t="s">
        <v>48</v>
      </c>
      <c r="F1139">
        <f t="shared" ca="1" si="17"/>
        <v>2024.5</v>
      </c>
      <c r="G1139">
        <v>120</v>
      </c>
      <c r="H1139">
        <v>125</v>
      </c>
      <c r="I1139">
        <f t="shared" ca="1" si="18"/>
        <v>34183</v>
      </c>
      <c r="J1139">
        <f t="shared" ca="1" si="19"/>
        <v>58188.88</v>
      </c>
      <c r="K1139">
        <f t="shared" ca="1" si="28"/>
        <v>79206.34</v>
      </c>
      <c r="L1139">
        <f t="shared" ca="1" si="26"/>
        <v>354840</v>
      </c>
      <c r="M1139">
        <f t="shared" ca="1" si="21"/>
        <v>-275633.66000000003</v>
      </c>
      <c r="N1139" s="1">
        <f t="shared" ca="1" si="22"/>
        <v>42663</v>
      </c>
      <c r="O1139">
        <f t="shared" ca="1" si="23"/>
        <v>10</v>
      </c>
      <c r="P1139" t="str">
        <f t="shared" ca="1" si="24"/>
        <v>October</v>
      </c>
      <c r="Q1139">
        <f t="shared" ca="1" si="25"/>
        <v>2016</v>
      </c>
    </row>
    <row r="1140" spans="1:17" x14ac:dyDescent="0.3">
      <c r="A1140" t="str">
        <f t="shared" ca="1" si="27"/>
        <v>ORD-2016-Ger-3659</v>
      </c>
      <c r="B1140" t="s">
        <v>30</v>
      </c>
      <c r="C1140" t="s">
        <v>22</v>
      </c>
      <c r="D1140" t="s">
        <v>19</v>
      </c>
      <c r="E1140" t="s">
        <v>48</v>
      </c>
      <c r="F1140">
        <f t="shared" ca="1" si="17"/>
        <v>322</v>
      </c>
      <c r="G1140">
        <v>120</v>
      </c>
      <c r="H1140">
        <v>300</v>
      </c>
      <c r="I1140">
        <f t="shared" ca="1" si="18"/>
        <v>35775</v>
      </c>
      <c r="J1140">
        <f t="shared" ca="1" si="19"/>
        <v>61611.29</v>
      </c>
      <c r="K1140">
        <f t="shared" ca="1" si="28"/>
        <v>80499.429999999993</v>
      </c>
      <c r="L1140">
        <f t="shared" ca="1" si="26"/>
        <v>242940</v>
      </c>
      <c r="M1140">
        <f t="shared" ca="1" si="21"/>
        <v>-162440.57</v>
      </c>
      <c r="N1140" s="1">
        <f t="shared" ca="1" si="22"/>
        <v>42640</v>
      </c>
      <c r="O1140">
        <f t="shared" ca="1" si="23"/>
        <v>9</v>
      </c>
      <c r="P1140" t="str">
        <f t="shared" ca="1" si="24"/>
        <v>September</v>
      </c>
      <c r="Q1140">
        <f t="shared" ca="1" si="25"/>
        <v>2016</v>
      </c>
    </row>
    <row r="1141" spans="1:17" x14ac:dyDescent="0.3">
      <c r="A1141" t="str">
        <f t="shared" ca="1" si="27"/>
        <v>ORD-2017-Ca0-4635</v>
      </c>
      <c r="B1141" t="s">
        <v>23</v>
      </c>
      <c r="C1141" t="s">
        <v>18</v>
      </c>
      <c r="D1141" t="s">
        <v>19</v>
      </c>
      <c r="E1141" t="s">
        <v>48</v>
      </c>
      <c r="F1141">
        <f t="shared" ca="1" si="17"/>
        <v>2499.5</v>
      </c>
      <c r="G1141">
        <v>3</v>
      </c>
      <c r="H1141">
        <v>300</v>
      </c>
      <c r="I1141">
        <f t="shared" ca="1" si="18"/>
        <v>23294</v>
      </c>
      <c r="J1141">
        <f t="shared" ca="1" si="19"/>
        <v>61602.42</v>
      </c>
      <c r="K1141">
        <f t="shared" ca="1" si="28"/>
        <v>79355.839999999997</v>
      </c>
      <c r="L1141">
        <f t="shared" ca="1" si="26"/>
        <v>38640</v>
      </c>
      <c r="M1141">
        <f t="shared" ca="1" si="21"/>
        <v>40715.839999999997</v>
      </c>
      <c r="N1141" s="1">
        <f t="shared" ca="1" si="22"/>
        <v>42978</v>
      </c>
      <c r="O1141">
        <f t="shared" ca="1" si="23"/>
        <v>8</v>
      </c>
      <c r="P1141" t="str">
        <f t="shared" ca="1" si="24"/>
        <v>August</v>
      </c>
      <c r="Q1141">
        <f t="shared" ca="1" si="25"/>
        <v>2017</v>
      </c>
    </row>
    <row r="1142" spans="1:17" x14ac:dyDescent="0.3">
      <c r="A1142" t="str">
        <f t="shared" ca="1" si="27"/>
        <v>ORD-2015-Mex-1031</v>
      </c>
      <c r="B1142" t="s">
        <v>31</v>
      </c>
      <c r="C1142" t="s">
        <v>26</v>
      </c>
      <c r="D1142" t="s">
        <v>28</v>
      </c>
      <c r="E1142" t="s">
        <v>48</v>
      </c>
      <c r="F1142">
        <f t="shared" ca="1" si="17"/>
        <v>1600</v>
      </c>
      <c r="G1142">
        <v>3</v>
      </c>
      <c r="H1142">
        <v>125</v>
      </c>
      <c r="I1142">
        <f t="shared" ca="1" si="18"/>
        <v>49118</v>
      </c>
      <c r="J1142">
        <f t="shared" ca="1" si="19"/>
        <v>58112.04</v>
      </c>
      <c r="K1142">
        <f t="shared" ca="1" si="28"/>
        <v>79668.22</v>
      </c>
      <c r="L1142">
        <f t="shared" ca="1" si="26"/>
        <v>7498.5</v>
      </c>
      <c r="M1142">
        <f t="shared" ca="1" si="21"/>
        <v>72169.72</v>
      </c>
      <c r="N1142" s="1">
        <f t="shared" ca="1" si="22"/>
        <v>42044</v>
      </c>
      <c r="O1142">
        <f t="shared" ca="1" si="23"/>
        <v>2</v>
      </c>
      <c r="P1142" t="str">
        <f t="shared" ca="1" si="24"/>
        <v>February</v>
      </c>
      <c r="Q1142">
        <f t="shared" ca="1" si="25"/>
        <v>2015</v>
      </c>
    </row>
    <row r="1143" spans="1:17" x14ac:dyDescent="0.3">
      <c r="A1143" t="str">
        <f t="shared" ca="1" si="27"/>
        <v>ORD-2015-Ger-9403</v>
      </c>
      <c r="B1143" t="s">
        <v>33</v>
      </c>
      <c r="C1143" t="s">
        <v>22</v>
      </c>
      <c r="D1143" t="s">
        <v>28</v>
      </c>
      <c r="E1143" t="s">
        <v>48</v>
      </c>
      <c r="F1143">
        <f t="shared" ca="1" si="17"/>
        <v>2598</v>
      </c>
      <c r="G1143">
        <v>3</v>
      </c>
      <c r="H1143">
        <v>15</v>
      </c>
      <c r="I1143">
        <f t="shared" ca="1" si="18"/>
        <v>49796</v>
      </c>
      <c r="J1143">
        <f t="shared" ca="1" si="19"/>
        <v>58612.11</v>
      </c>
      <c r="K1143">
        <f t="shared" ca="1" si="28"/>
        <v>79744.210000000006</v>
      </c>
      <c r="L1143">
        <f t="shared" ca="1" si="26"/>
        <v>4800</v>
      </c>
      <c r="M1143">
        <f t="shared" ca="1" si="21"/>
        <v>74944.210000000006</v>
      </c>
      <c r="N1143" s="1">
        <f t="shared" ca="1" si="22"/>
        <v>42189</v>
      </c>
      <c r="O1143">
        <f t="shared" ca="1" si="23"/>
        <v>7</v>
      </c>
      <c r="P1143" t="str">
        <f t="shared" ca="1" si="24"/>
        <v>July</v>
      </c>
      <c r="Q1143">
        <f t="shared" ca="1" si="25"/>
        <v>2015</v>
      </c>
    </row>
    <row r="1144" spans="1:17" x14ac:dyDescent="0.3">
      <c r="A1144" t="str">
        <f t="shared" ca="1" si="27"/>
        <v>ORD-2015-Fra-6967</v>
      </c>
      <c r="B1144" t="s">
        <v>17</v>
      </c>
      <c r="C1144" t="s">
        <v>24</v>
      </c>
      <c r="D1144" t="s">
        <v>38</v>
      </c>
      <c r="E1144" t="s">
        <v>45</v>
      </c>
      <c r="F1144">
        <f t="shared" ca="1" si="17"/>
        <v>2720.5</v>
      </c>
      <c r="G1144">
        <v>3</v>
      </c>
      <c r="H1144">
        <v>15</v>
      </c>
      <c r="I1144">
        <f t="shared" ca="1" si="18"/>
        <v>34057</v>
      </c>
      <c r="J1144">
        <f t="shared" ca="1" si="19"/>
        <v>60247.95</v>
      </c>
      <c r="K1144">
        <f t="shared" ca="1" si="28"/>
        <v>78839.3</v>
      </c>
      <c r="L1144">
        <f t="shared" ca="1" si="26"/>
        <v>7794</v>
      </c>
      <c r="M1144">
        <f t="shared" ca="1" si="21"/>
        <v>71045.3</v>
      </c>
      <c r="N1144" s="1">
        <f t="shared" ca="1" si="22"/>
        <v>42197</v>
      </c>
      <c r="O1144">
        <f t="shared" ca="1" si="23"/>
        <v>7</v>
      </c>
      <c r="P1144" t="str">
        <f t="shared" ca="1" si="24"/>
        <v>July</v>
      </c>
      <c r="Q1144">
        <f t="shared" ca="1" si="25"/>
        <v>2015</v>
      </c>
    </row>
    <row r="1145" spans="1:17" x14ac:dyDescent="0.3">
      <c r="A1145" t="str">
        <f t="shared" ca="1" si="27"/>
        <v>ORD-2017-Mex-3370</v>
      </c>
      <c r="B1145" t="s">
        <v>31</v>
      </c>
      <c r="C1145" t="s">
        <v>26</v>
      </c>
      <c r="D1145" t="s">
        <v>38</v>
      </c>
      <c r="E1145" t="s">
        <v>45</v>
      </c>
      <c r="F1145">
        <f t="shared" ca="1" si="17"/>
        <v>1920</v>
      </c>
      <c r="G1145">
        <v>3</v>
      </c>
      <c r="H1145">
        <v>20</v>
      </c>
      <c r="I1145">
        <f t="shared" ca="1" si="18"/>
        <v>20266</v>
      </c>
      <c r="J1145">
        <f t="shared" ca="1" si="19"/>
        <v>59152.01</v>
      </c>
      <c r="K1145">
        <f t="shared" ca="1" si="28"/>
        <v>79935.850000000006</v>
      </c>
      <c r="L1145">
        <f t="shared" ca="1" si="26"/>
        <v>8161.5</v>
      </c>
      <c r="M1145">
        <f t="shared" ca="1" si="21"/>
        <v>71774.350000000006</v>
      </c>
      <c r="N1145" s="1">
        <f t="shared" ca="1" si="22"/>
        <v>42765</v>
      </c>
      <c r="O1145">
        <f t="shared" ca="1" si="23"/>
        <v>1</v>
      </c>
      <c r="P1145" t="str">
        <f t="shared" ca="1" si="24"/>
        <v>January</v>
      </c>
      <c r="Q1145">
        <f t="shared" ca="1" si="25"/>
        <v>2017</v>
      </c>
    </row>
    <row r="1146" spans="1:17" x14ac:dyDescent="0.3">
      <c r="A1146" t="str">
        <f t="shared" ca="1" si="27"/>
        <v>ORD-2015-Ger-7115</v>
      </c>
      <c r="B1146" t="s">
        <v>23</v>
      </c>
      <c r="C1146" t="s">
        <v>22</v>
      </c>
      <c r="D1146" t="s">
        <v>38</v>
      </c>
      <c r="E1146" t="s">
        <v>45</v>
      </c>
      <c r="F1146">
        <f t="shared" ca="1" si="17"/>
        <v>1404</v>
      </c>
      <c r="G1146">
        <v>3</v>
      </c>
      <c r="H1146">
        <v>300</v>
      </c>
      <c r="I1146">
        <f t="shared" ca="1" si="18"/>
        <v>57823</v>
      </c>
      <c r="J1146">
        <f t="shared" ca="1" si="19"/>
        <v>61668.73</v>
      </c>
      <c r="K1146">
        <f t="shared" ca="1" si="28"/>
        <v>78374.929999999993</v>
      </c>
      <c r="L1146">
        <f t="shared" ca="1" si="26"/>
        <v>5760</v>
      </c>
      <c r="M1146">
        <f t="shared" ca="1" si="21"/>
        <v>72614.929999999993</v>
      </c>
      <c r="N1146" s="1">
        <f t="shared" ca="1" si="22"/>
        <v>42266</v>
      </c>
      <c r="O1146">
        <f t="shared" ca="1" si="23"/>
        <v>9</v>
      </c>
      <c r="P1146" t="str">
        <f t="shared" ca="1" si="24"/>
        <v>September</v>
      </c>
      <c r="Q1146">
        <f t="shared" ca="1" si="25"/>
        <v>2015</v>
      </c>
    </row>
    <row r="1147" spans="1:17" x14ac:dyDescent="0.3">
      <c r="A1147" t="str">
        <f t="shared" ca="1" si="27"/>
        <v>ORD-2015-Fra-9740</v>
      </c>
      <c r="B1147" t="s">
        <v>17</v>
      </c>
      <c r="C1147" t="s">
        <v>24</v>
      </c>
      <c r="D1147" t="s">
        <v>38</v>
      </c>
      <c r="E1147" t="s">
        <v>45</v>
      </c>
      <c r="F1147">
        <f t="shared" ca="1" si="17"/>
        <v>2840.5</v>
      </c>
      <c r="G1147">
        <v>3</v>
      </c>
      <c r="H1147">
        <v>300</v>
      </c>
      <c r="I1147">
        <f t="shared" ca="1" si="18"/>
        <v>40369</v>
      </c>
      <c r="J1147">
        <f t="shared" ca="1" si="19"/>
        <v>59333.81</v>
      </c>
      <c r="K1147">
        <f t="shared" ca="1" si="28"/>
        <v>78854.67</v>
      </c>
      <c r="L1147">
        <f t="shared" ca="1" si="26"/>
        <v>4212</v>
      </c>
      <c r="M1147">
        <f t="shared" ca="1" si="21"/>
        <v>74642.67</v>
      </c>
      <c r="N1147" s="1">
        <f t="shared" ca="1" si="22"/>
        <v>42186</v>
      </c>
      <c r="O1147">
        <f t="shared" ca="1" si="23"/>
        <v>7</v>
      </c>
      <c r="P1147" t="str">
        <f t="shared" ca="1" si="24"/>
        <v>July</v>
      </c>
      <c r="Q1147">
        <f t="shared" ca="1" si="25"/>
        <v>2015</v>
      </c>
    </row>
    <row r="1148" spans="1:17" x14ac:dyDescent="0.3">
      <c r="A1148" t="str">
        <f t="shared" ca="1" si="27"/>
        <v>ORD-2016-Uni-2493</v>
      </c>
      <c r="B1148" t="s">
        <v>23</v>
      </c>
      <c r="C1148" t="s">
        <v>37</v>
      </c>
      <c r="D1148" t="s">
        <v>42</v>
      </c>
      <c r="E1148" t="s">
        <v>45</v>
      </c>
      <c r="F1148">
        <f t="shared" ref="F1148:F1211" ca="1" si="29">ROUND(RANDBETWEEN(200,3000) + IF(RAND()&gt;0.7,0.5),1)</f>
        <v>2877.5</v>
      </c>
      <c r="G1148">
        <v>5</v>
      </c>
      <c r="H1148">
        <v>12</v>
      </c>
      <c r="I1148">
        <f t="shared" ref="I1148:I1211" ca="1" si="30">RANDBETWEEN(5000,58000)</f>
        <v>10188</v>
      </c>
      <c r="J1148">
        <f t="shared" ref="J1148:J1175" ca="1" si="31">ROUND(RAND()*4500+58000,2)</f>
        <v>59770.44</v>
      </c>
      <c r="K1148">
        <f t="shared" ca="1" si="28"/>
        <v>79529.899999999994</v>
      </c>
      <c r="L1148">
        <f t="shared" ca="1" si="26"/>
        <v>8521.5</v>
      </c>
      <c r="M1148">
        <f t="shared" ref="M1148:M1211" ca="1" si="32">K1148-L1148</f>
        <v>71008.399999999994</v>
      </c>
      <c r="N1148" s="1">
        <f t="shared" ref="N1148:N1211" ca="1" si="33">RANDBETWEEN(DATE(2014,12,31),DATE(2016,21,31))</f>
        <v>42376</v>
      </c>
      <c r="O1148">
        <f t="shared" ref="O1148:O1211" ca="1" si="34">MONTH(N1148)</f>
        <v>1</v>
      </c>
      <c r="P1148" t="str">
        <f t="shared" ref="P1148:P1161" ca="1" si="35">TEXT(N1148,"mmmm")</f>
        <v>January</v>
      </c>
      <c r="Q1148">
        <f t="shared" ref="Q1148:Q1211" ca="1" si="36">YEAR(N1148)</f>
        <v>2016</v>
      </c>
    </row>
    <row r="1149" spans="1:17" x14ac:dyDescent="0.3">
      <c r="A1149" t="str">
        <f t="shared" ca="1" si="27"/>
        <v>ORD-2016-Uni-3509</v>
      </c>
      <c r="B1149" t="s">
        <v>30</v>
      </c>
      <c r="C1149" t="s">
        <v>37</v>
      </c>
      <c r="D1149" t="s">
        <v>44</v>
      </c>
      <c r="E1149" t="s">
        <v>45</v>
      </c>
      <c r="F1149">
        <f t="shared" ca="1" si="29"/>
        <v>1884</v>
      </c>
      <c r="G1149">
        <v>5</v>
      </c>
      <c r="H1149">
        <v>7</v>
      </c>
      <c r="I1149">
        <f t="shared" ca="1" si="30"/>
        <v>48354</v>
      </c>
      <c r="J1149">
        <f t="shared" ca="1" si="31"/>
        <v>61724.73</v>
      </c>
      <c r="K1149">
        <f t="shared" ca="1" si="28"/>
        <v>80263.69</v>
      </c>
      <c r="L1149">
        <f t="shared" ref="L1149:L1212" ca="1" si="37">F1148*G1148</f>
        <v>14387.5</v>
      </c>
      <c r="M1149">
        <f t="shared" ca="1" si="32"/>
        <v>65876.19</v>
      </c>
      <c r="N1149" s="1">
        <f t="shared" ca="1" si="33"/>
        <v>42401</v>
      </c>
      <c r="O1149">
        <f t="shared" ca="1" si="34"/>
        <v>2</v>
      </c>
      <c r="P1149" t="str">
        <f t="shared" ca="1" si="35"/>
        <v>February</v>
      </c>
      <c r="Q1149">
        <f t="shared" ca="1" si="36"/>
        <v>2016</v>
      </c>
    </row>
    <row r="1150" spans="1:17" x14ac:dyDescent="0.3">
      <c r="A1150" t="str">
        <f t="shared" ca="1" si="27"/>
        <v>ORD-2016-Ger-1318</v>
      </c>
      <c r="B1150" t="s">
        <v>17</v>
      </c>
      <c r="C1150" t="s">
        <v>22</v>
      </c>
      <c r="D1150" t="s">
        <v>44</v>
      </c>
      <c r="E1150" t="s">
        <v>47</v>
      </c>
      <c r="F1150">
        <f t="shared" ca="1" si="29"/>
        <v>2940</v>
      </c>
      <c r="G1150">
        <v>5</v>
      </c>
      <c r="H1150">
        <v>300</v>
      </c>
      <c r="I1150">
        <f t="shared" ca="1" si="30"/>
        <v>12808</v>
      </c>
      <c r="J1150">
        <f t="shared" ca="1" si="31"/>
        <v>62241.48</v>
      </c>
      <c r="K1150">
        <f t="shared" ca="1" si="28"/>
        <v>78731.47</v>
      </c>
      <c r="L1150">
        <f t="shared" ca="1" si="37"/>
        <v>9420</v>
      </c>
      <c r="M1150">
        <f t="shared" ca="1" si="32"/>
        <v>69311.47</v>
      </c>
      <c r="N1150" s="1">
        <f t="shared" ca="1" si="33"/>
        <v>42486</v>
      </c>
      <c r="O1150">
        <f t="shared" ca="1" si="34"/>
        <v>4</v>
      </c>
      <c r="P1150" t="str">
        <f t="shared" ca="1" si="35"/>
        <v>April</v>
      </c>
      <c r="Q1150">
        <f t="shared" ca="1" si="36"/>
        <v>2016</v>
      </c>
    </row>
    <row r="1151" spans="1:17" x14ac:dyDescent="0.3">
      <c r="A1151" t="str">
        <f t="shared" ca="1" si="27"/>
        <v>ORD-2015-Ca0-9576</v>
      </c>
      <c r="B1151" t="s">
        <v>30</v>
      </c>
      <c r="C1151" t="s">
        <v>18</v>
      </c>
      <c r="D1151" t="s">
        <v>19</v>
      </c>
      <c r="E1151" t="s">
        <v>47</v>
      </c>
      <c r="F1151">
        <f t="shared" ca="1" si="29"/>
        <v>1517</v>
      </c>
      <c r="G1151">
        <v>5</v>
      </c>
      <c r="H1151">
        <v>20</v>
      </c>
      <c r="I1151">
        <f t="shared" ca="1" si="30"/>
        <v>39857</v>
      </c>
      <c r="J1151">
        <f t="shared" ca="1" si="31"/>
        <v>58401.35</v>
      </c>
      <c r="K1151">
        <f t="shared" ca="1" si="28"/>
        <v>79196.429999999993</v>
      </c>
      <c r="L1151">
        <f t="shared" ca="1" si="37"/>
        <v>14700</v>
      </c>
      <c r="M1151">
        <f t="shared" ca="1" si="32"/>
        <v>64496.429999999993</v>
      </c>
      <c r="N1151" s="1">
        <f t="shared" ca="1" si="33"/>
        <v>42175</v>
      </c>
      <c r="O1151">
        <f t="shared" ca="1" si="34"/>
        <v>6</v>
      </c>
      <c r="P1151" t="str">
        <f t="shared" ca="1" si="35"/>
        <v>June</v>
      </c>
      <c r="Q1151">
        <f t="shared" ca="1" si="36"/>
        <v>2015</v>
      </c>
    </row>
    <row r="1152" spans="1:17" x14ac:dyDescent="0.3">
      <c r="A1152" t="str">
        <f t="shared" ca="1" si="27"/>
        <v>ORD-2017-Fra-7836</v>
      </c>
      <c r="B1152" t="s">
        <v>17</v>
      </c>
      <c r="C1152" t="s">
        <v>24</v>
      </c>
      <c r="D1152" t="s">
        <v>19</v>
      </c>
      <c r="E1152" t="s">
        <v>47</v>
      </c>
      <c r="F1152">
        <f t="shared" ca="1" si="29"/>
        <v>2145</v>
      </c>
      <c r="G1152">
        <v>5</v>
      </c>
      <c r="H1152">
        <v>125</v>
      </c>
      <c r="I1152">
        <f t="shared" ca="1" si="30"/>
        <v>14732</v>
      </c>
      <c r="J1152">
        <f t="shared" ca="1" si="31"/>
        <v>62486.64</v>
      </c>
      <c r="K1152">
        <f t="shared" ca="1" si="28"/>
        <v>79693.37</v>
      </c>
      <c r="L1152">
        <f t="shared" ca="1" si="37"/>
        <v>7585</v>
      </c>
      <c r="M1152">
        <f t="shared" ca="1" si="32"/>
        <v>72108.37</v>
      </c>
      <c r="N1152" s="1">
        <f t="shared" ca="1" si="33"/>
        <v>42752</v>
      </c>
      <c r="O1152">
        <f t="shared" ca="1" si="34"/>
        <v>1</v>
      </c>
      <c r="P1152" t="str">
        <f t="shared" ca="1" si="35"/>
        <v>January</v>
      </c>
      <c r="Q1152">
        <f t="shared" ca="1" si="36"/>
        <v>2017</v>
      </c>
    </row>
    <row r="1153" spans="1:17" x14ac:dyDescent="0.3">
      <c r="A1153" t="str">
        <f t="shared" ca="1" si="27"/>
        <v>ORD-2016-Mex-4238</v>
      </c>
      <c r="B1153" t="s">
        <v>23</v>
      </c>
      <c r="C1153" t="s">
        <v>26</v>
      </c>
      <c r="D1153" t="s">
        <v>19</v>
      </c>
      <c r="E1153" t="s">
        <v>47</v>
      </c>
      <c r="F1153">
        <f t="shared" ca="1" si="29"/>
        <v>2873.5</v>
      </c>
      <c r="G1153">
        <v>5</v>
      </c>
      <c r="H1153">
        <v>20</v>
      </c>
      <c r="I1153">
        <f t="shared" ca="1" si="30"/>
        <v>41639</v>
      </c>
      <c r="J1153">
        <f t="shared" ca="1" si="31"/>
        <v>58233.5</v>
      </c>
      <c r="K1153">
        <f t="shared" ca="1" si="28"/>
        <v>79902.429999999993</v>
      </c>
      <c r="L1153">
        <f t="shared" ca="1" si="37"/>
        <v>10725</v>
      </c>
      <c r="M1153">
        <f t="shared" ca="1" si="32"/>
        <v>69177.429999999993</v>
      </c>
      <c r="N1153" s="1">
        <f t="shared" ca="1" si="33"/>
        <v>42589</v>
      </c>
      <c r="O1153">
        <f t="shared" ca="1" si="34"/>
        <v>8</v>
      </c>
      <c r="P1153" t="str">
        <f t="shared" ca="1" si="35"/>
        <v>August</v>
      </c>
      <c r="Q1153">
        <f t="shared" ca="1" si="36"/>
        <v>2016</v>
      </c>
    </row>
    <row r="1154" spans="1:17" x14ac:dyDescent="0.3">
      <c r="A1154" t="str">
        <f t="shared" ca="1" si="27"/>
        <v>ORD-2015-Ca0-1300</v>
      </c>
      <c r="B1154" t="s">
        <v>33</v>
      </c>
      <c r="C1154" t="s">
        <v>18</v>
      </c>
      <c r="D1154" t="s">
        <v>19</v>
      </c>
      <c r="E1154" t="s">
        <v>47</v>
      </c>
      <c r="F1154">
        <f t="shared" ca="1" si="29"/>
        <v>2191.5</v>
      </c>
      <c r="G1154">
        <v>10</v>
      </c>
      <c r="H1154">
        <v>20</v>
      </c>
      <c r="I1154">
        <f t="shared" ca="1" si="30"/>
        <v>34223</v>
      </c>
      <c r="J1154">
        <f t="shared" ca="1" si="31"/>
        <v>59754.59</v>
      </c>
      <c r="K1154">
        <f t="shared" ca="1" si="28"/>
        <v>79805.5</v>
      </c>
      <c r="L1154">
        <f t="shared" ca="1" si="37"/>
        <v>14367.5</v>
      </c>
      <c r="M1154">
        <f t="shared" ca="1" si="32"/>
        <v>65438</v>
      </c>
      <c r="N1154" s="1">
        <f t="shared" ca="1" si="33"/>
        <v>42348</v>
      </c>
      <c r="O1154">
        <f t="shared" ca="1" si="34"/>
        <v>12</v>
      </c>
      <c r="P1154" t="str">
        <f t="shared" ca="1" si="35"/>
        <v>December</v>
      </c>
      <c r="Q1154">
        <f t="shared" ca="1" si="36"/>
        <v>2015</v>
      </c>
    </row>
    <row r="1155" spans="1:17" x14ac:dyDescent="0.3">
      <c r="A1155" t="str">
        <f t="shared" ref="A1155:A1218" ca="1" si="38">"ORD-" &amp; YEAR(N1155) &amp; "-"  &amp; LEFT(C1155,3) &amp; "-" &amp; RANDBETWEEN(1000,9999)</f>
        <v>ORD-2015-Fra-6331</v>
      </c>
      <c r="B1155" t="s">
        <v>23</v>
      </c>
      <c r="C1155" t="s">
        <v>24</v>
      </c>
      <c r="D1155" t="s">
        <v>19</v>
      </c>
      <c r="E1155" t="s">
        <v>48</v>
      </c>
      <c r="F1155">
        <f t="shared" ca="1" si="29"/>
        <v>545</v>
      </c>
      <c r="G1155">
        <v>10</v>
      </c>
      <c r="H1155">
        <v>300</v>
      </c>
      <c r="I1155">
        <f t="shared" ca="1" si="30"/>
        <v>10932</v>
      </c>
      <c r="J1155">
        <f t="shared" ca="1" si="31"/>
        <v>62027.22</v>
      </c>
      <c r="K1155">
        <f t="shared" ca="1" si="28"/>
        <v>80360.59</v>
      </c>
      <c r="L1155">
        <f t="shared" ca="1" si="37"/>
        <v>21915</v>
      </c>
      <c r="M1155">
        <f t="shared" ca="1" si="32"/>
        <v>58445.59</v>
      </c>
      <c r="N1155" s="1">
        <f t="shared" ca="1" si="33"/>
        <v>42074</v>
      </c>
      <c r="O1155">
        <f t="shared" ca="1" si="34"/>
        <v>3</v>
      </c>
      <c r="P1155" t="str">
        <f t="shared" ca="1" si="35"/>
        <v>March</v>
      </c>
      <c r="Q1155">
        <f t="shared" ca="1" si="36"/>
        <v>2015</v>
      </c>
    </row>
    <row r="1156" spans="1:17" x14ac:dyDescent="0.3">
      <c r="A1156" t="str">
        <f t="shared" ca="1" si="38"/>
        <v>ORD-2016-Ger-6284</v>
      </c>
      <c r="B1156" t="s">
        <v>17</v>
      </c>
      <c r="C1156" t="s">
        <v>22</v>
      </c>
      <c r="D1156" t="s">
        <v>19</v>
      </c>
      <c r="E1156" t="s">
        <v>48</v>
      </c>
      <c r="F1156">
        <f t="shared" ca="1" si="29"/>
        <v>2175.5</v>
      </c>
      <c r="G1156">
        <v>10</v>
      </c>
      <c r="H1156">
        <v>20</v>
      </c>
      <c r="I1156">
        <f t="shared" ca="1" si="30"/>
        <v>33618</v>
      </c>
      <c r="J1156">
        <f t="shared" ca="1" si="31"/>
        <v>59053.07</v>
      </c>
      <c r="K1156">
        <f t="shared" ca="1" si="28"/>
        <v>79102.31</v>
      </c>
      <c r="L1156">
        <f t="shared" ca="1" si="37"/>
        <v>5450</v>
      </c>
      <c r="M1156">
        <f t="shared" ca="1" si="32"/>
        <v>73652.31</v>
      </c>
      <c r="N1156" s="1">
        <f t="shared" ca="1" si="33"/>
        <v>42565</v>
      </c>
      <c r="O1156">
        <f t="shared" ca="1" si="34"/>
        <v>7</v>
      </c>
      <c r="P1156" t="str">
        <f t="shared" ca="1" si="35"/>
        <v>July</v>
      </c>
      <c r="Q1156">
        <f t="shared" ca="1" si="36"/>
        <v>2016</v>
      </c>
    </row>
    <row r="1157" spans="1:17" x14ac:dyDescent="0.3">
      <c r="A1157" t="str">
        <f t="shared" ca="1" si="38"/>
        <v>ORD-2015-Ca0-3135</v>
      </c>
      <c r="B1157" t="s">
        <v>17</v>
      </c>
      <c r="C1157" t="s">
        <v>18</v>
      </c>
      <c r="D1157" t="s">
        <v>19</v>
      </c>
      <c r="E1157" t="s">
        <v>48</v>
      </c>
      <c r="F1157">
        <f t="shared" ca="1" si="29"/>
        <v>2924</v>
      </c>
      <c r="G1157">
        <v>10</v>
      </c>
      <c r="H1157">
        <v>12</v>
      </c>
      <c r="I1157">
        <f t="shared" ca="1" si="30"/>
        <v>8274</v>
      </c>
      <c r="J1157">
        <f t="shared" ca="1" si="31"/>
        <v>61640.02</v>
      </c>
      <c r="K1157">
        <f t="shared" ca="1" si="28"/>
        <v>80295.47</v>
      </c>
      <c r="L1157">
        <f t="shared" ca="1" si="37"/>
        <v>21755</v>
      </c>
      <c r="M1157">
        <f t="shared" ca="1" si="32"/>
        <v>58540.47</v>
      </c>
      <c r="N1157" s="1">
        <f t="shared" ca="1" si="33"/>
        <v>42312</v>
      </c>
      <c r="O1157">
        <f t="shared" ca="1" si="34"/>
        <v>11</v>
      </c>
      <c r="P1157" t="str">
        <f t="shared" ca="1" si="35"/>
        <v>November</v>
      </c>
      <c r="Q1157">
        <f t="shared" ca="1" si="36"/>
        <v>2015</v>
      </c>
    </row>
    <row r="1158" spans="1:17" x14ac:dyDescent="0.3">
      <c r="A1158" t="str">
        <f t="shared" ca="1" si="38"/>
        <v>ORD-2015-Uni-6203</v>
      </c>
      <c r="B1158" t="s">
        <v>30</v>
      </c>
      <c r="C1158" t="s">
        <v>37</v>
      </c>
      <c r="D1158" t="s">
        <v>28</v>
      </c>
      <c r="E1158" t="s">
        <v>48</v>
      </c>
      <c r="F1158">
        <f t="shared" ca="1" si="29"/>
        <v>2427</v>
      </c>
      <c r="G1158">
        <v>120</v>
      </c>
      <c r="H1158">
        <v>300</v>
      </c>
      <c r="I1158">
        <f t="shared" ca="1" si="30"/>
        <v>8982</v>
      </c>
      <c r="J1158">
        <f t="shared" ca="1" si="31"/>
        <v>58053.36</v>
      </c>
      <c r="K1158">
        <f t="shared" ca="1" si="28"/>
        <v>80173.66</v>
      </c>
      <c r="L1158">
        <f t="shared" ca="1" si="37"/>
        <v>29240</v>
      </c>
      <c r="M1158">
        <f t="shared" ca="1" si="32"/>
        <v>50933.66</v>
      </c>
      <c r="N1158" s="1">
        <f t="shared" ca="1" si="33"/>
        <v>42039</v>
      </c>
      <c r="O1158">
        <f t="shared" ca="1" si="34"/>
        <v>2</v>
      </c>
      <c r="P1158" t="str">
        <f t="shared" ca="1" si="35"/>
        <v>February</v>
      </c>
      <c r="Q1158">
        <f t="shared" ca="1" si="36"/>
        <v>2015</v>
      </c>
    </row>
    <row r="1159" spans="1:17" x14ac:dyDescent="0.3">
      <c r="A1159" t="str">
        <f t="shared" ca="1" si="38"/>
        <v>ORD-2017-Ca0-9799</v>
      </c>
      <c r="B1159" t="s">
        <v>23</v>
      </c>
      <c r="C1159" t="s">
        <v>18</v>
      </c>
      <c r="D1159" t="s">
        <v>28</v>
      </c>
      <c r="E1159" t="s">
        <v>48</v>
      </c>
      <c r="F1159">
        <f t="shared" ca="1" si="29"/>
        <v>626</v>
      </c>
      <c r="G1159">
        <v>120</v>
      </c>
      <c r="H1159">
        <v>300</v>
      </c>
      <c r="I1159">
        <f t="shared" ca="1" si="30"/>
        <v>6876</v>
      </c>
      <c r="J1159">
        <f t="shared" ca="1" si="31"/>
        <v>59433.43</v>
      </c>
      <c r="K1159">
        <f t="shared" ca="1" si="28"/>
        <v>80053.009999999995</v>
      </c>
      <c r="L1159">
        <f t="shared" ca="1" si="37"/>
        <v>291240</v>
      </c>
      <c r="M1159">
        <f t="shared" ca="1" si="32"/>
        <v>-211186.99</v>
      </c>
      <c r="N1159" s="1">
        <f t="shared" ca="1" si="33"/>
        <v>42749</v>
      </c>
      <c r="O1159">
        <f t="shared" ca="1" si="34"/>
        <v>1</v>
      </c>
      <c r="P1159" t="str">
        <f t="shared" ca="1" si="35"/>
        <v>January</v>
      </c>
      <c r="Q1159">
        <f t="shared" ca="1" si="36"/>
        <v>2017</v>
      </c>
    </row>
    <row r="1160" spans="1:17" x14ac:dyDescent="0.3">
      <c r="A1160" t="str">
        <f t="shared" ca="1" si="38"/>
        <v>ORD-2017-Uni-7034</v>
      </c>
      <c r="B1160" t="s">
        <v>17</v>
      </c>
      <c r="C1160" t="s">
        <v>37</v>
      </c>
      <c r="D1160" t="s">
        <v>28</v>
      </c>
      <c r="E1160" t="s">
        <v>48</v>
      </c>
      <c r="F1160">
        <f t="shared" ca="1" si="29"/>
        <v>1687</v>
      </c>
      <c r="G1160">
        <v>120</v>
      </c>
      <c r="H1160">
        <v>125</v>
      </c>
      <c r="I1160">
        <f t="shared" ca="1" si="30"/>
        <v>30084</v>
      </c>
      <c r="J1160">
        <f t="shared" ca="1" si="31"/>
        <v>58641.84</v>
      </c>
      <c r="K1160">
        <f t="shared" ca="1" si="28"/>
        <v>79584.61</v>
      </c>
      <c r="L1160">
        <f t="shared" ca="1" si="37"/>
        <v>75120</v>
      </c>
      <c r="M1160">
        <f t="shared" ca="1" si="32"/>
        <v>4464.6100000000006</v>
      </c>
      <c r="N1160" s="1">
        <f t="shared" ca="1" si="33"/>
        <v>42820</v>
      </c>
      <c r="O1160">
        <f t="shared" ca="1" si="34"/>
        <v>3</v>
      </c>
      <c r="P1160" t="str">
        <f t="shared" ca="1" si="35"/>
        <v>March</v>
      </c>
      <c r="Q1160">
        <f t="shared" ca="1" si="36"/>
        <v>2017</v>
      </c>
    </row>
    <row r="1161" spans="1:17" x14ac:dyDescent="0.3">
      <c r="A1161" t="str">
        <f t="shared" ca="1" si="38"/>
        <v>ORD-2015-Ca0-2071</v>
      </c>
      <c r="B1161" t="s">
        <v>17</v>
      </c>
      <c r="C1161" t="s">
        <v>18</v>
      </c>
      <c r="D1161" t="s">
        <v>28</v>
      </c>
      <c r="E1161" t="s">
        <v>48</v>
      </c>
      <c r="F1161">
        <f t="shared" ca="1" si="29"/>
        <v>2238.5</v>
      </c>
      <c r="G1161">
        <v>120</v>
      </c>
      <c r="H1161">
        <v>350</v>
      </c>
      <c r="I1161">
        <f t="shared" ca="1" si="30"/>
        <v>32790</v>
      </c>
      <c r="J1161">
        <f t="shared" ca="1" si="31"/>
        <v>60028.81</v>
      </c>
      <c r="K1161">
        <f t="shared" ca="1" si="28"/>
        <v>79175.75</v>
      </c>
      <c r="L1161">
        <f t="shared" ca="1" si="37"/>
        <v>202440</v>
      </c>
      <c r="M1161">
        <f t="shared" ca="1" si="32"/>
        <v>-123264.25</v>
      </c>
      <c r="N1161" s="1">
        <f t="shared" ca="1" si="33"/>
        <v>42364</v>
      </c>
      <c r="O1161">
        <f t="shared" ca="1" si="34"/>
        <v>12</v>
      </c>
      <c r="P1161" t="str">
        <f t="shared" ca="1" si="35"/>
        <v>December</v>
      </c>
      <c r="Q1161">
        <f t="shared" ca="1" si="36"/>
        <v>2015</v>
      </c>
    </row>
    <row r="1162" spans="1:17" x14ac:dyDescent="0.3">
      <c r="A1162" t="str">
        <f t="shared" ca="1" si="38"/>
        <v>ORD-2017-Uni-2190</v>
      </c>
      <c r="B1162" t="s">
        <v>17</v>
      </c>
      <c r="C1162" t="s">
        <v>37</v>
      </c>
      <c r="D1162" t="s">
        <v>28</v>
      </c>
      <c r="E1162" t="s">
        <v>45</v>
      </c>
      <c r="F1162">
        <f t="shared" ca="1" si="29"/>
        <v>1699</v>
      </c>
      <c r="G1162">
        <v>120</v>
      </c>
      <c r="H1162">
        <v>125</v>
      </c>
      <c r="I1162">
        <f t="shared" ca="1" si="30"/>
        <v>15078</v>
      </c>
      <c r="J1162">
        <f t="shared" ca="1" si="31"/>
        <v>59843.97</v>
      </c>
      <c r="K1162">
        <f t="shared" ca="1" si="28"/>
        <v>79863.7</v>
      </c>
      <c r="L1162">
        <f t="shared" ca="1" si="37"/>
        <v>268620</v>
      </c>
      <c r="M1162">
        <f t="shared" ca="1" si="32"/>
        <v>-188756.3</v>
      </c>
      <c r="N1162" s="1">
        <f t="shared" ca="1" si="33"/>
        <v>42845</v>
      </c>
      <c r="O1162">
        <f t="shared" ca="1" si="34"/>
        <v>4</v>
      </c>
      <c r="P1162" t="str">
        <f ca="1">TEXT(N1162,"mmmm")</f>
        <v>April</v>
      </c>
      <c r="Q1162">
        <f t="shared" ca="1" si="36"/>
        <v>2017</v>
      </c>
    </row>
    <row r="1163" spans="1:17" x14ac:dyDescent="0.3">
      <c r="A1163" t="str">
        <f t="shared" ca="1" si="38"/>
        <v>ORD-2017-Mex-4561</v>
      </c>
      <c r="B1163" t="s">
        <v>31</v>
      </c>
      <c r="C1163" t="s">
        <v>26</v>
      </c>
      <c r="D1163" t="s">
        <v>28</v>
      </c>
      <c r="E1163" t="s">
        <v>45</v>
      </c>
      <c r="F1163">
        <f t="shared" ca="1" si="29"/>
        <v>2622</v>
      </c>
      <c r="G1163">
        <v>250</v>
      </c>
      <c r="H1163">
        <v>20</v>
      </c>
      <c r="I1163">
        <f t="shared" ca="1" si="30"/>
        <v>41829</v>
      </c>
      <c r="J1163">
        <f t="shared" ca="1" si="31"/>
        <v>59750.46</v>
      </c>
      <c r="K1163">
        <f t="shared" ca="1" si="28"/>
        <v>80432.399999999994</v>
      </c>
      <c r="L1163">
        <f t="shared" ca="1" si="37"/>
        <v>203880</v>
      </c>
      <c r="M1163">
        <f t="shared" ca="1" si="32"/>
        <v>-123447.6</v>
      </c>
      <c r="N1163" s="1">
        <f t="shared" ca="1" si="33"/>
        <v>42853</v>
      </c>
      <c r="O1163">
        <f t="shared" ca="1" si="34"/>
        <v>4</v>
      </c>
      <c r="P1163" t="str">
        <f t="shared" ref="P1163:P1220" ca="1" si="39">TEXT(N1163,"mmmm")</f>
        <v>April</v>
      </c>
      <c r="Q1163">
        <f t="shared" ca="1" si="36"/>
        <v>2017</v>
      </c>
    </row>
    <row r="1164" spans="1:17" x14ac:dyDescent="0.3">
      <c r="A1164" t="str">
        <f t="shared" ca="1" si="38"/>
        <v>ORD-2016-Fra-3627</v>
      </c>
      <c r="B1164" t="s">
        <v>30</v>
      </c>
      <c r="C1164" t="s">
        <v>24</v>
      </c>
      <c r="D1164" t="s">
        <v>38</v>
      </c>
      <c r="E1164" t="s">
        <v>45</v>
      </c>
      <c r="F1164">
        <f t="shared" ca="1" si="29"/>
        <v>2331</v>
      </c>
      <c r="G1164">
        <v>250</v>
      </c>
      <c r="H1164">
        <v>300</v>
      </c>
      <c r="I1164">
        <f t="shared" ca="1" si="30"/>
        <v>51382</v>
      </c>
      <c r="J1164">
        <f t="shared" ca="1" si="31"/>
        <v>58341.31</v>
      </c>
      <c r="K1164">
        <f t="shared" ca="1" si="28"/>
        <v>78666.67</v>
      </c>
      <c r="L1164">
        <f t="shared" ca="1" si="37"/>
        <v>655500</v>
      </c>
      <c r="M1164">
        <f t="shared" ca="1" si="32"/>
        <v>-576833.32999999996</v>
      </c>
      <c r="N1164" s="1">
        <f t="shared" ca="1" si="33"/>
        <v>42463</v>
      </c>
      <c r="O1164">
        <f t="shared" ca="1" si="34"/>
        <v>4</v>
      </c>
      <c r="P1164" t="str">
        <f t="shared" ca="1" si="39"/>
        <v>April</v>
      </c>
      <c r="Q1164">
        <f t="shared" ca="1" si="36"/>
        <v>2016</v>
      </c>
    </row>
    <row r="1165" spans="1:17" x14ac:dyDescent="0.3">
      <c r="A1165" t="str">
        <f t="shared" ca="1" si="38"/>
        <v>ORD-2016-Mex-9925</v>
      </c>
      <c r="B1165" t="s">
        <v>17</v>
      </c>
      <c r="C1165" t="s">
        <v>26</v>
      </c>
      <c r="D1165" t="s">
        <v>38</v>
      </c>
      <c r="E1165" t="s">
        <v>45</v>
      </c>
      <c r="F1165">
        <f t="shared" ca="1" si="29"/>
        <v>503</v>
      </c>
      <c r="G1165">
        <v>250</v>
      </c>
      <c r="H1165">
        <v>7</v>
      </c>
      <c r="I1165">
        <f t="shared" ca="1" si="30"/>
        <v>15193</v>
      </c>
      <c r="J1165">
        <f t="shared" ca="1" si="31"/>
        <v>58144.78</v>
      </c>
      <c r="K1165">
        <f t="shared" ca="1" si="28"/>
        <v>80491.679999999993</v>
      </c>
      <c r="L1165">
        <f t="shared" ca="1" si="37"/>
        <v>582750</v>
      </c>
      <c r="M1165">
        <f t="shared" ca="1" si="32"/>
        <v>-502258.32</v>
      </c>
      <c r="N1165" s="1">
        <f t="shared" ca="1" si="33"/>
        <v>42402</v>
      </c>
      <c r="O1165">
        <f t="shared" ca="1" si="34"/>
        <v>2</v>
      </c>
      <c r="P1165" t="str">
        <f t="shared" ca="1" si="39"/>
        <v>February</v>
      </c>
      <c r="Q1165">
        <f t="shared" ca="1" si="36"/>
        <v>2016</v>
      </c>
    </row>
    <row r="1166" spans="1:17" x14ac:dyDescent="0.3">
      <c r="A1166" t="str">
        <f t="shared" ca="1" si="38"/>
        <v>ORD-2015-Fra-4943</v>
      </c>
      <c r="B1166" t="s">
        <v>30</v>
      </c>
      <c r="C1166" t="s">
        <v>24</v>
      </c>
      <c r="D1166" t="s">
        <v>38</v>
      </c>
      <c r="E1166" t="s">
        <v>45</v>
      </c>
      <c r="F1166">
        <f t="shared" ca="1" si="29"/>
        <v>848</v>
      </c>
      <c r="G1166">
        <v>10</v>
      </c>
      <c r="H1166">
        <v>20</v>
      </c>
      <c r="I1166">
        <f t="shared" ca="1" si="30"/>
        <v>44042</v>
      </c>
      <c r="J1166">
        <f t="shared" ca="1" si="31"/>
        <v>58794.91</v>
      </c>
      <c r="K1166">
        <f t="shared" ca="1" si="28"/>
        <v>78299.81</v>
      </c>
      <c r="L1166">
        <f t="shared" ca="1" si="37"/>
        <v>125750</v>
      </c>
      <c r="M1166">
        <f t="shared" ca="1" si="32"/>
        <v>-47450.19</v>
      </c>
      <c r="N1166" s="1">
        <f t="shared" ca="1" si="33"/>
        <v>42013</v>
      </c>
      <c r="O1166">
        <f t="shared" ca="1" si="34"/>
        <v>1</v>
      </c>
      <c r="P1166" t="str">
        <f t="shared" ca="1" si="39"/>
        <v>January</v>
      </c>
      <c r="Q1166">
        <f t="shared" ca="1" si="36"/>
        <v>2015</v>
      </c>
    </row>
    <row r="1167" spans="1:17" x14ac:dyDescent="0.3">
      <c r="A1167" t="str">
        <f t="shared" ca="1" si="38"/>
        <v>ORD-2015-Ca0-3301</v>
      </c>
      <c r="B1167" t="s">
        <v>31</v>
      </c>
      <c r="C1167" t="s">
        <v>18</v>
      </c>
      <c r="D1167" t="s">
        <v>38</v>
      </c>
      <c r="E1167" t="s">
        <v>45</v>
      </c>
      <c r="F1167">
        <f t="shared" ca="1" si="29"/>
        <v>688.5</v>
      </c>
      <c r="G1167">
        <v>10</v>
      </c>
      <c r="H1167">
        <v>7</v>
      </c>
      <c r="I1167">
        <f t="shared" ca="1" si="30"/>
        <v>7298</v>
      </c>
      <c r="J1167">
        <f t="shared" ca="1" si="31"/>
        <v>61784.11</v>
      </c>
      <c r="K1167">
        <f t="shared" ca="1" si="28"/>
        <v>79582.720000000001</v>
      </c>
      <c r="L1167">
        <f t="shared" ca="1" si="37"/>
        <v>8480</v>
      </c>
      <c r="M1167">
        <f t="shared" ca="1" si="32"/>
        <v>71102.720000000001</v>
      </c>
      <c r="N1167" s="1">
        <f t="shared" ca="1" si="33"/>
        <v>42096</v>
      </c>
      <c r="O1167">
        <f t="shared" ca="1" si="34"/>
        <v>4</v>
      </c>
      <c r="P1167" t="str">
        <f t="shared" ca="1" si="39"/>
        <v>April</v>
      </c>
      <c r="Q1167">
        <f t="shared" ca="1" si="36"/>
        <v>2015</v>
      </c>
    </row>
    <row r="1168" spans="1:17" x14ac:dyDescent="0.3">
      <c r="A1168" t="str">
        <f t="shared" ca="1" si="38"/>
        <v>ORD-2016-Ger-8885</v>
      </c>
      <c r="B1168" t="s">
        <v>31</v>
      </c>
      <c r="C1168" t="s">
        <v>22</v>
      </c>
      <c r="D1168" t="s">
        <v>38</v>
      </c>
      <c r="E1168" t="s">
        <v>45</v>
      </c>
      <c r="F1168">
        <f t="shared" ca="1" si="29"/>
        <v>2624</v>
      </c>
      <c r="G1168">
        <v>10</v>
      </c>
      <c r="H1168">
        <v>20</v>
      </c>
      <c r="I1168">
        <f t="shared" ca="1" si="30"/>
        <v>17384</v>
      </c>
      <c r="J1168">
        <f t="shared" ca="1" si="31"/>
        <v>61179.519999999997</v>
      </c>
      <c r="K1168">
        <f t="shared" ca="1" si="28"/>
        <v>79362.97</v>
      </c>
      <c r="L1168">
        <f t="shared" ca="1" si="37"/>
        <v>6885</v>
      </c>
      <c r="M1168">
        <f t="shared" ca="1" si="32"/>
        <v>72477.97</v>
      </c>
      <c r="N1168" s="1">
        <f t="shared" ca="1" si="33"/>
        <v>42722</v>
      </c>
      <c r="O1168">
        <f t="shared" ca="1" si="34"/>
        <v>12</v>
      </c>
      <c r="P1168" t="str">
        <f t="shared" ca="1" si="39"/>
        <v>December</v>
      </c>
      <c r="Q1168">
        <f t="shared" ca="1" si="36"/>
        <v>2016</v>
      </c>
    </row>
    <row r="1169" spans="1:17" x14ac:dyDescent="0.3">
      <c r="A1169" t="str">
        <f t="shared" ca="1" si="38"/>
        <v>ORD-2016-Fra-5344</v>
      </c>
      <c r="B1169" t="s">
        <v>33</v>
      </c>
      <c r="C1169" t="s">
        <v>24</v>
      </c>
      <c r="D1169" t="s">
        <v>38</v>
      </c>
      <c r="E1169" t="s">
        <v>45</v>
      </c>
      <c r="F1169">
        <f t="shared" ca="1" si="29"/>
        <v>737.5</v>
      </c>
      <c r="G1169">
        <v>10</v>
      </c>
      <c r="H1169">
        <v>125</v>
      </c>
      <c r="I1169">
        <f t="shared" ca="1" si="30"/>
        <v>54343</v>
      </c>
      <c r="J1169">
        <f t="shared" ca="1" si="31"/>
        <v>60715.28</v>
      </c>
      <c r="K1169">
        <f t="shared" ca="1" si="28"/>
        <v>79815.649999999994</v>
      </c>
      <c r="L1169">
        <f t="shared" ca="1" si="37"/>
        <v>26240</v>
      </c>
      <c r="M1169">
        <f t="shared" ca="1" si="32"/>
        <v>53575.649999999994</v>
      </c>
      <c r="N1169" s="1">
        <f t="shared" ca="1" si="33"/>
        <v>42594</v>
      </c>
      <c r="O1169">
        <f t="shared" ca="1" si="34"/>
        <v>8</v>
      </c>
      <c r="P1169" t="str">
        <f t="shared" ca="1" si="39"/>
        <v>August</v>
      </c>
      <c r="Q1169">
        <f t="shared" ca="1" si="36"/>
        <v>2016</v>
      </c>
    </row>
    <row r="1170" spans="1:17" x14ac:dyDescent="0.3">
      <c r="A1170" t="str">
        <f t="shared" ca="1" si="38"/>
        <v>ORD-2016-Ca0-9110</v>
      </c>
      <c r="B1170" t="s">
        <v>30</v>
      </c>
      <c r="C1170" t="s">
        <v>18</v>
      </c>
      <c r="D1170" t="s">
        <v>38</v>
      </c>
      <c r="E1170" t="s">
        <v>45</v>
      </c>
      <c r="F1170">
        <f t="shared" ca="1" si="29"/>
        <v>898.5</v>
      </c>
      <c r="G1170">
        <v>10</v>
      </c>
      <c r="H1170">
        <v>15</v>
      </c>
      <c r="I1170">
        <f t="shared" ca="1" si="30"/>
        <v>52046</v>
      </c>
      <c r="J1170">
        <f t="shared" ca="1" si="31"/>
        <v>61876.55</v>
      </c>
      <c r="K1170">
        <f t="shared" ref="K1170:K1203" ca="1" si="40">ROUND(RAND()*2500+78000,2)</f>
        <v>79592.41</v>
      </c>
      <c r="L1170">
        <f t="shared" ca="1" si="37"/>
        <v>7375</v>
      </c>
      <c r="M1170">
        <f t="shared" ca="1" si="32"/>
        <v>72217.41</v>
      </c>
      <c r="N1170" s="1">
        <f t="shared" ca="1" si="33"/>
        <v>42433</v>
      </c>
      <c r="O1170">
        <f t="shared" ca="1" si="34"/>
        <v>3</v>
      </c>
      <c r="P1170" t="str">
        <f t="shared" ca="1" si="39"/>
        <v>March</v>
      </c>
      <c r="Q1170">
        <f t="shared" ca="1" si="36"/>
        <v>2016</v>
      </c>
    </row>
    <row r="1171" spans="1:17" x14ac:dyDescent="0.3">
      <c r="A1171" t="str">
        <f t="shared" ca="1" si="38"/>
        <v>ORD-2017-Ger-2673</v>
      </c>
      <c r="B1171" t="s">
        <v>23</v>
      </c>
      <c r="C1171" t="s">
        <v>22</v>
      </c>
      <c r="D1171" t="s">
        <v>38</v>
      </c>
      <c r="E1171" t="s">
        <v>48</v>
      </c>
      <c r="F1171">
        <f t="shared" ca="1" si="29"/>
        <v>912</v>
      </c>
      <c r="G1171">
        <v>10</v>
      </c>
      <c r="H1171">
        <v>350</v>
      </c>
      <c r="I1171">
        <f t="shared" ca="1" si="30"/>
        <v>14409</v>
      </c>
      <c r="J1171">
        <f t="shared" ca="1" si="31"/>
        <v>59301.440000000002</v>
      </c>
      <c r="K1171">
        <f t="shared" ca="1" si="40"/>
        <v>80358.28</v>
      </c>
      <c r="L1171">
        <f t="shared" ca="1" si="37"/>
        <v>8985</v>
      </c>
      <c r="M1171">
        <f t="shared" ca="1" si="32"/>
        <v>71373.279999999999</v>
      </c>
      <c r="N1171" s="1">
        <f t="shared" ca="1" si="33"/>
        <v>42746</v>
      </c>
      <c r="O1171">
        <f t="shared" ca="1" si="34"/>
        <v>1</v>
      </c>
      <c r="P1171" t="str">
        <f t="shared" ca="1" si="39"/>
        <v>January</v>
      </c>
      <c r="Q1171">
        <f t="shared" ca="1" si="36"/>
        <v>2017</v>
      </c>
    </row>
    <row r="1172" spans="1:17" x14ac:dyDescent="0.3">
      <c r="A1172" t="str">
        <f t="shared" ca="1" si="38"/>
        <v>ORD-2015-Mex-7556</v>
      </c>
      <c r="B1172" t="s">
        <v>23</v>
      </c>
      <c r="C1172" t="s">
        <v>26</v>
      </c>
      <c r="D1172" t="s">
        <v>38</v>
      </c>
      <c r="E1172" t="s">
        <v>48</v>
      </c>
      <c r="F1172">
        <f t="shared" ca="1" si="29"/>
        <v>2623</v>
      </c>
      <c r="G1172">
        <v>10</v>
      </c>
      <c r="H1172">
        <v>15</v>
      </c>
      <c r="I1172">
        <f t="shared" ca="1" si="30"/>
        <v>27962</v>
      </c>
      <c r="J1172">
        <f ca="1">ROUND(RAND()*4500+58000,2)</f>
        <v>59272.18</v>
      </c>
      <c r="K1172">
        <f t="shared" ca="1" si="40"/>
        <v>78713.97</v>
      </c>
      <c r="L1172">
        <f t="shared" ca="1" si="37"/>
        <v>9120</v>
      </c>
      <c r="M1172">
        <f t="shared" ca="1" si="32"/>
        <v>69593.97</v>
      </c>
      <c r="N1172" s="1">
        <f t="shared" ca="1" si="33"/>
        <v>42198</v>
      </c>
      <c r="O1172">
        <f t="shared" ca="1" si="34"/>
        <v>7</v>
      </c>
      <c r="P1172" t="str">
        <f t="shared" ca="1" si="39"/>
        <v>July</v>
      </c>
      <c r="Q1172">
        <f t="shared" ca="1" si="36"/>
        <v>2015</v>
      </c>
    </row>
    <row r="1173" spans="1:17" x14ac:dyDescent="0.3">
      <c r="A1173" t="str">
        <f t="shared" ca="1" si="38"/>
        <v>ORD-2015-Ger-2999</v>
      </c>
      <c r="B1173" t="s">
        <v>17</v>
      </c>
      <c r="C1173" t="s">
        <v>22</v>
      </c>
      <c r="D1173" t="s">
        <v>41</v>
      </c>
      <c r="E1173" t="s">
        <v>48</v>
      </c>
      <c r="F1173">
        <f t="shared" ca="1" si="29"/>
        <v>2372.5</v>
      </c>
      <c r="G1173">
        <v>120</v>
      </c>
      <c r="H1173">
        <v>20</v>
      </c>
      <c r="I1173">
        <f t="shared" ca="1" si="30"/>
        <v>19285</v>
      </c>
      <c r="J1173">
        <f t="shared" ca="1" si="31"/>
        <v>60549.96</v>
      </c>
      <c r="K1173">
        <f t="shared" ca="1" si="40"/>
        <v>79799.710000000006</v>
      </c>
      <c r="L1173">
        <f t="shared" ca="1" si="37"/>
        <v>26230</v>
      </c>
      <c r="M1173">
        <f t="shared" ca="1" si="32"/>
        <v>53569.710000000006</v>
      </c>
      <c r="N1173" s="1">
        <f t="shared" ca="1" si="33"/>
        <v>42061</v>
      </c>
      <c r="O1173">
        <f t="shared" ca="1" si="34"/>
        <v>2</v>
      </c>
      <c r="P1173" t="str">
        <f t="shared" ca="1" si="39"/>
        <v>February</v>
      </c>
      <c r="Q1173">
        <f t="shared" ca="1" si="36"/>
        <v>2015</v>
      </c>
    </row>
    <row r="1174" spans="1:17" x14ac:dyDescent="0.3">
      <c r="A1174" t="str">
        <f t="shared" ca="1" si="38"/>
        <v>ORD-2017-Ger-2504</v>
      </c>
      <c r="B1174" t="s">
        <v>33</v>
      </c>
      <c r="C1174" t="s">
        <v>22</v>
      </c>
      <c r="D1174" t="s">
        <v>41</v>
      </c>
      <c r="E1174" t="s">
        <v>48</v>
      </c>
      <c r="F1174">
        <f t="shared" ca="1" si="29"/>
        <v>1953</v>
      </c>
      <c r="G1174">
        <v>120</v>
      </c>
      <c r="H1174">
        <v>20</v>
      </c>
      <c r="I1174">
        <f t="shared" ca="1" si="30"/>
        <v>56030</v>
      </c>
      <c r="J1174">
        <f t="shared" ca="1" si="31"/>
        <v>61992.07</v>
      </c>
      <c r="K1174">
        <f t="shared" ca="1" si="40"/>
        <v>78632.59</v>
      </c>
      <c r="L1174">
        <f t="shared" ca="1" si="37"/>
        <v>284700</v>
      </c>
      <c r="M1174">
        <f t="shared" ca="1" si="32"/>
        <v>-206067.41</v>
      </c>
      <c r="N1174" s="1">
        <f t="shared" ca="1" si="33"/>
        <v>42936</v>
      </c>
      <c r="O1174">
        <f t="shared" ca="1" si="34"/>
        <v>7</v>
      </c>
      <c r="P1174" t="str">
        <f t="shared" ca="1" si="39"/>
        <v>July</v>
      </c>
      <c r="Q1174">
        <f t="shared" ca="1" si="36"/>
        <v>2017</v>
      </c>
    </row>
    <row r="1175" spans="1:17" x14ac:dyDescent="0.3">
      <c r="A1175" t="str">
        <f t="shared" ca="1" si="38"/>
        <v>ORD-2015-Ger-9965</v>
      </c>
      <c r="B1175" t="s">
        <v>17</v>
      </c>
      <c r="C1175" t="s">
        <v>22</v>
      </c>
      <c r="D1175" t="s">
        <v>41</v>
      </c>
      <c r="E1175" t="s">
        <v>45</v>
      </c>
      <c r="F1175">
        <f t="shared" ca="1" si="29"/>
        <v>793</v>
      </c>
      <c r="G1175">
        <v>120</v>
      </c>
      <c r="H1175">
        <v>300</v>
      </c>
      <c r="I1175">
        <f t="shared" ca="1" si="30"/>
        <v>38122</v>
      </c>
      <c r="J1175">
        <f t="shared" ca="1" si="31"/>
        <v>59130.879999999997</v>
      </c>
      <c r="K1175">
        <f t="shared" ca="1" si="40"/>
        <v>79423.28</v>
      </c>
      <c r="L1175">
        <f t="shared" ca="1" si="37"/>
        <v>234360</v>
      </c>
      <c r="M1175">
        <f t="shared" ca="1" si="32"/>
        <v>-154936.72</v>
      </c>
      <c r="N1175" s="1">
        <f t="shared" ca="1" si="33"/>
        <v>42155</v>
      </c>
      <c r="O1175">
        <f t="shared" ca="1" si="34"/>
        <v>5</v>
      </c>
      <c r="P1175" t="str">
        <f t="shared" ca="1" si="39"/>
        <v>May</v>
      </c>
      <c r="Q1175">
        <f t="shared" ca="1" si="36"/>
        <v>2015</v>
      </c>
    </row>
    <row r="1176" spans="1:17" x14ac:dyDescent="0.3">
      <c r="A1176" t="str">
        <f t="shared" ca="1" si="38"/>
        <v>ORD-2017-Mex-3243</v>
      </c>
      <c r="B1176" t="s">
        <v>17</v>
      </c>
      <c r="C1176" t="s">
        <v>26</v>
      </c>
      <c r="D1176" t="s">
        <v>41</v>
      </c>
      <c r="E1176" t="s">
        <v>45</v>
      </c>
      <c r="F1176">
        <f t="shared" ca="1" si="29"/>
        <v>1963.5</v>
      </c>
      <c r="G1176">
        <v>250</v>
      </c>
      <c r="H1176">
        <v>300</v>
      </c>
      <c r="I1176">
        <f t="shared" ca="1" si="30"/>
        <v>13122</v>
      </c>
      <c r="J1176">
        <f ca="1">RANDBETWEEN(4500,34000)</f>
        <v>14960</v>
      </c>
      <c r="K1176">
        <f t="shared" ca="1" si="40"/>
        <v>78909.440000000002</v>
      </c>
      <c r="L1176">
        <f t="shared" ca="1" si="37"/>
        <v>95160</v>
      </c>
      <c r="M1176">
        <f t="shared" ca="1" si="32"/>
        <v>-16250.559999999998</v>
      </c>
      <c r="N1176" s="1">
        <f t="shared" ca="1" si="33"/>
        <v>42989</v>
      </c>
      <c r="O1176">
        <f t="shared" ca="1" si="34"/>
        <v>9</v>
      </c>
      <c r="P1176" t="str">
        <f t="shared" ca="1" si="39"/>
        <v>September</v>
      </c>
      <c r="Q1176">
        <f t="shared" ca="1" si="36"/>
        <v>2017</v>
      </c>
    </row>
    <row r="1177" spans="1:17" x14ac:dyDescent="0.3">
      <c r="A1177" t="str">
        <f t="shared" ca="1" si="38"/>
        <v>ORD-2017-Uni-6524</v>
      </c>
      <c r="B1177" t="s">
        <v>30</v>
      </c>
      <c r="C1177" t="s">
        <v>37</v>
      </c>
      <c r="D1177" t="s">
        <v>41</v>
      </c>
      <c r="E1177" t="s">
        <v>45</v>
      </c>
      <c r="F1177">
        <f t="shared" ca="1" si="29"/>
        <v>697.5</v>
      </c>
      <c r="G1177">
        <v>250</v>
      </c>
      <c r="H1177">
        <v>15</v>
      </c>
      <c r="I1177">
        <f t="shared" ca="1" si="30"/>
        <v>48994</v>
      </c>
      <c r="J1177">
        <f t="shared" ref="J1177:J1191" ca="1" si="41">RANDBETWEEN(4500,34000)</f>
        <v>24019</v>
      </c>
      <c r="K1177">
        <f t="shared" ca="1" si="40"/>
        <v>79162.3</v>
      </c>
      <c r="L1177">
        <f t="shared" ca="1" si="37"/>
        <v>490875</v>
      </c>
      <c r="M1177">
        <f t="shared" ca="1" si="32"/>
        <v>-411712.7</v>
      </c>
      <c r="N1177" s="1">
        <f t="shared" ca="1" si="33"/>
        <v>42747</v>
      </c>
      <c r="O1177">
        <f t="shared" ca="1" si="34"/>
        <v>1</v>
      </c>
      <c r="P1177" t="str">
        <f t="shared" ca="1" si="39"/>
        <v>January</v>
      </c>
      <c r="Q1177">
        <f t="shared" ca="1" si="36"/>
        <v>2017</v>
      </c>
    </row>
    <row r="1178" spans="1:17" x14ac:dyDescent="0.3">
      <c r="A1178" t="str">
        <f t="shared" ca="1" si="38"/>
        <v>ORD-2016-Ger-8272</v>
      </c>
      <c r="B1178" t="s">
        <v>31</v>
      </c>
      <c r="C1178" t="s">
        <v>22</v>
      </c>
      <c r="D1178" t="s">
        <v>42</v>
      </c>
      <c r="E1178" t="s">
        <v>45</v>
      </c>
      <c r="F1178">
        <f t="shared" ca="1" si="29"/>
        <v>1134</v>
      </c>
      <c r="G1178">
        <v>250</v>
      </c>
      <c r="H1178">
        <v>125</v>
      </c>
      <c r="I1178">
        <f t="shared" ca="1" si="30"/>
        <v>19562</v>
      </c>
      <c r="J1178">
        <f t="shared" ca="1" si="41"/>
        <v>14997</v>
      </c>
      <c r="K1178">
        <f t="shared" ca="1" si="40"/>
        <v>79626.16</v>
      </c>
      <c r="L1178">
        <f t="shared" ca="1" si="37"/>
        <v>174375</v>
      </c>
      <c r="M1178">
        <f t="shared" ca="1" si="32"/>
        <v>-94748.84</v>
      </c>
      <c r="N1178" s="1">
        <f t="shared" ca="1" si="33"/>
        <v>42562</v>
      </c>
      <c r="O1178">
        <f t="shared" ca="1" si="34"/>
        <v>7</v>
      </c>
      <c r="P1178" t="str">
        <f t="shared" ca="1" si="39"/>
        <v>July</v>
      </c>
      <c r="Q1178">
        <f t="shared" ca="1" si="36"/>
        <v>2016</v>
      </c>
    </row>
    <row r="1179" spans="1:17" x14ac:dyDescent="0.3">
      <c r="A1179" t="str">
        <f t="shared" ca="1" si="38"/>
        <v>ORD-2017-Ger-1249</v>
      </c>
      <c r="B1179" t="s">
        <v>17</v>
      </c>
      <c r="C1179" t="s">
        <v>22</v>
      </c>
      <c r="D1179" t="s">
        <v>42</v>
      </c>
      <c r="E1179" t="s">
        <v>45</v>
      </c>
      <c r="F1179">
        <f t="shared" ca="1" si="29"/>
        <v>1882</v>
      </c>
      <c r="G1179">
        <v>250</v>
      </c>
      <c r="H1179">
        <v>7</v>
      </c>
      <c r="I1179">
        <f t="shared" ca="1" si="30"/>
        <v>16523</v>
      </c>
      <c r="J1179">
        <f t="shared" ca="1" si="41"/>
        <v>31794</v>
      </c>
      <c r="K1179">
        <f t="shared" ca="1" si="40"/>
        <v>78782.259999999995</v>
      </c>
      <c r="L1179">
        <f t="shared" ca="1" si="37"/>
        <v>283500</v>
      </c>
      <c r="M1179">
        <f t="shared" ca="1" si="32"/>
        <v>-204717.74</v>
      </c>
      <c r="N1179" s="1">
        <f t="shared" ca="1" si="33"/>
        <v>42793</v>
      </c>
      <c r="O1179">
        <f t="shared" ca="1" si="34"/>
        <v>2</v>
      </c>
      <c r="P1179" t="str">
        <f t="shared" ca="1" si="39"/>
        <v>February</v>
      </c>
      <c r="Q1179">
        <f t="shared" ca="1" si="36"/>
        <v>2017</v>
      </c>
    </row>
    <row r="1180" spans="1:17" x14ac:dyDescent="0.3">
      <c r="A1180" t="str">
        <f t="shared" ca="1" si="38"/>
        <v>ORD-2015-Uni-3380</v>
      </c>
      <c r="B1180" t="s">
        <v>17</v>
      </c>
      <c r="C1180" t="s">
        <v>37</v>
      </c>
      <c r="D1180" t="s">
        <v>42</v>
      </c>
      <c r="E1180" t="s">
        <v>45</v>
      </c>
      <c r="F1180">
        <f t="shared" ca="1" si="29"/>
        <v>1079</v>
      </c>
      <c r="G1180">
        <v>250</v>
      </c>
      <c r="H1180">
        <v>7</v>
      </c>
      <c r="I1180">
        <f t="shared" ca="1" si="30"/>
        <v>47136</v>
      </c>
      <c r="J1180">
        <f ca="1">RANDBETWEEN(4500,34000)</f>
        <v>31004</v>
      </c>
      <c r="K1180">
        <f t="shared" ca="1" si="40"/>
        <v>79435.62</v>
      </c>
      <c r="L1180">
        <f t="shared" ca="1" si="37"/>
        <v>470500</v>
      </c>
      <c r="M1180">
        <f t="shared" ca="1" si="32"/>
        <v>-391064.38</v>
      </c>
      <c r="N1180" s="1">
        <f t="shared" ca="1" si="33"/>
        <v>42020</v>
      </c>
      <c r="O1180">
        <f t="shared" ca="1" si="34"/>
        <v>1</v>
      </c>
      <c r="P1180" t="str">
        <f t="shared" ca="1" si="39"/>
        <v>January</v>
      </c>
      <c r="Q1180">
        <f t="shared" ca="1" si="36"/>
        <v>2015</v>
      </c>
    </row>
    <row r="1181" spans="1:17" x14ac:dyDescent="0.3">
      <c r="A1181" t="str">
        <f t="shared" ca="1" si="38"/>
        <v>ORD-2016-Uni-6003</v>
      </c>
      <c r="B1181" t="s">
        <v>30</v>
      </c>
      <c r="C1181" t="s">
        <v>37</v>
      </c>
      <c r="D1181" t="s">
        <v>42</v>
      </c>
      <c r="E1181" t="s">
        <v>47</v>
      </c>
      <c r="F1181">
        <f t="shared" ca="1" si="29"/>
        <v>497.5</v>
      </c>
      <c r="G1181">
        <v>250</v>
      </c>
      <c r="H1181">
        <v>20</v>
      </c>
      <c r="I1181">
        <f t="shared" ca="1" si="30"/>
        <v>52266</v>
      </c>
      <c r="J1181">
        <f t="shared" ca="1" si="41"/>
        <v>16188</v>
      </c>
      <c r="K1181">
        <f t="shared" ca="1" si="40"/>
        <v>78941.600000000006</v>
      </c>
      <c r="L1181">
        <f t="shared" ca="1" si="37"/>
        <v>269750</v>
      </c>
      <c r="M1181">
        <f t="shared" ca="1" si="32"/>
        <v>-190808.4</v>
      </c>
      <c r="N1181" s="1">
        <f t="shared" ca="1" si="33"/>
        <v>42568</v>
      </c>
      <c r="O1181">
        <f t="shared" ca="1" si="34"/>
        <v>7</v>
      </c>
      <c r="P1181" t="str">
        <f t="shared" ca="1" si="39"/>
        <v>July</v>
      </c>
      <c r="Q1181">
        <f t="shared" ca="1" si="36"/>
        <v>2016</v>
      </c>
    </row>
    <row r="1182" spans="1:17" x14ac:dyDescent="0.3">
      <c r="A1182" t="str">
        <f t="shared" ca="1" si="38"/>
        <v>ORD-2015-Ger-2129</v>
      </c>
      <c r="B1182" t="s">
        <v>17</v>
      </c>
      <c r="C1182" t="s">
        <v>22</v>
      </c>
      <c r="D1182" t="s">
        <v>42</v>
      </c>
      <c r="E1182" t="s">
        <v>47</v>
      </c>
      <c r="F1182">
        <f t="shared" ca="1" si="29"/>
        <v>2445</v>
      </c>
      <c r="G1182">
        <v>260</v>
      </c>
      <c r="H1182">
        <v>300</v>
      </c>
      <c r="I1182">
        <f t="shared" ca="1" si="30"/>
        <v>10984</v>
      </c>
      <c r="J1182">
        <f t="shared" ca="1" si="41"/>
        <v>6818</v>
      </c>
      <c r="K1182">
        <f t="shared" ca="1" si="40"/>
        <v>78302.81</v>
      </c>
      <c r="L1182">
        <f t="shared" ca="1" si="37"/>
        <v>124375</v>
      </c>
      <c r="M1182">
        <f t="shared" ca="1" si="32"/>
        <v>-46072.19</v>
      </c>
      <c r="N1182" s="1">
        <f t="shared" ca="1" si="33"/>
        <v>42264</v>
      </c>
      <c r="O1182">
        <f t="shared" ca="1" si="34"/>
        <v>9</v>
      </c>
      <c r="P1182" t="str">
        <f t="shared" ca="1" si="39"/>
        <v>September</v>
      </c>
      <c r="Q1182">
        <f t="shared" ca="1" si="36"/>
        <v>2015</v>
      </c>
    </row>
    <row r="1183" spans="1:17" x14ac:dyDescent="0.3">
      <c r="A1183" t="str">
        <f t="shared" ca="1" si="38"/>
        <v>ORD-2017-Fra-6717</v>
      </c>
      <c r="B1183" t="s">
        <v>23</v>
      </c>
      <c r="C1183" t="s">
        <v>24</v>
      </c>
      <c r="D1183" t="s">
        <v>42</v>
      </c>
      <c r="E1183" t="s">
        <v>47</v>
      </c>
      <c r="F1183">
        <f t="shared" ca="1" si="29"/>
        <v>1493</v>
      </c>
      <c r="G1183">
        <v>260</v>
      </c>
      <c r="H1183">
        <v>7</v>
      </c>
      <c r="I1183">
        <f t="shared" ca="1" si="30"/>
        <v>20005</v>
      </c>
      <c r="J1183">
        <f t="shared" ca="1" si="41"/>
        <v>33252</v>
      </c>
      <c r="K1183">
        <f t="shared" ca="1" si="40"/>
        <v>79795.3</v>
      </c>
      <c r="L1183">
        <f t="shared" ca="1" si="37"/>
        <v>635700</v>
      </c>
      <c r="M1183">
        <f t="shared" ca="1" si="32"/>
        <v>-555904.69999999995</v>
      </c>
      <c r="N1183" s="1">
        <f t="shared" ca="1" si="33"/>
        <v>42805</v>
      </c>
      <c r="O1183">
        <f t="shared" ca="1" si="34"/>
        <v>3</v>
      </c>
      <c r="P1183" t="str">
        <f t="shared" ca="1" si="39"/>
        <v>March</v>
      </c>
      <c r="Q1183">
        <f t="shared" ca="1" si="36"/>
        <v>2017</v>
      </c>
    </row>
    <row r="1184" spans="1:17" x14ac:dyDescent="0.3">
      <c r="A1184" t="str">
        <f t="shared" ca="1" si="38"/>
        <v>ORD-2016-Uni-5323</v>
      </c>
      <c r="B1184" t="s">
        <v>17</v>
      </c>
      <c r="C1184" t="s">
        <v>37</v>
      </c>
      <c r="D1184" t="s">
        <v>44</v>
      </c>
      <c r="E1184" t="s">
        <v>47</v>
      </c>
      <c r="F1184">
        <f t="shared" ca="1" si="29"/>
        <v>1200.5</v>
      </c>
      <c r="G1184">
        <v>260</v>
      </c>
      <c r="H1184">
        <v>7</v>
      </c>
      <c r="I1184">
        <f t="shared" ca="1" si="30"/>
        <v>56393</v>
      </c>
      <c r="J1184">
        <f t="shared" ca="1" si="41"/>
        <v>21272</v>
      </c>
      <c r="K1184">
        <f t="shared" ca="1" si="40"/>
        <v>78479.25</v>
      </c>
      <c r="L1184">
        <f t="shared" ca="1" si="37"/>
        <v>388180</v>
      </c>
      <c r="M1184">
        <f t="shared" ca="1" si="32"/>
        <v>-309700.75</v>
      </c>
      <c r="N1184" s="1">
        <f t="shared" ca="1" si="33"/>
        <v>42683</v>
      </c>
      <c r="O1184">
        <f t="shared" ca="1" si="34"/>
        <v>11</v>
      </c>
      <c r="P1184" t="str">
        <f t="shared" ca="1" si="39"/>
        <v>November</v>
      </c>
      <c r="Q1184">
        <f t="shared" ca="1" si="36"/>
        <v>2016</v>
      </c>
    </row>
    <row r="1185" spans="1:17" x14ac:dyDescent="0.3">
      <c r="A1185" t="str">
        <f t="shared" ca="1" si="38"/>
        <v>ORD-2016-Ger-3400</v>
      </c>
      <c r="B1185" t="s">
        <v>23</v>
      </c>
      <c r="C1185" t="s">
        <v>22</v>
      </c>
      <c r="D1185" t="s">
        <v>44</v>
      </c>
      <c r="E1185" t="s">
        <v>47</v>
      </c>
      <c r="F1185">
        <f t="shared" ca="1" si="29"/>
        <v>2091</v>
      </c>
      <c r="G1185">
        <v>260</v>
      </c>
      <c r="H1185">
        <v>7</v>
      </c>
      <c r="I1185">
        <f t="shared" ca="1" si="30"/>
        <v>8369</v>
      </c>
      <c r="J1185">
        <f t="shared" ca="1" si="41"/>
        <v>18798</v>
      </c>
      <c r="K1185">
        <f t="shared" ca="1" si="40"/>
        <v>79770.720000000001</v>
      </c>
      <c r="L1185">
        <f t="shared" ca="1" si="37"/>
        <v>312130</v>
      </c>
      <c r="M1185">
        <f t="shared" ca="1" si="32"/>
        <v>-232359.28</v>
      </c>
      <c r="N1185" s="1">
        <f t="shared" ca="1" si="33"/>
        <v>42601</v>
      </c>
      <c r="O1185">
        <f t="shared" ca="1" si="34"/>
        <v>8</v>
      </c>
      <c r="P1185" t="str">
        <f t="shared" ca="1" si="39"/>
        <v>August</v>
      </c>
      <c r="Q1185">
        <f t="shared" ca="1" si="36"/>
        <v>2016</v>
      </c>
    </row>
    <row r="1186" spans="1:17" x14ac:dyDescent="0.3">
      <c r="A1186" t="str">
        <f t="shared" ca="1" si="38"/>
        <v>ORD-2016-Ca0-9457</v>
      </c>
      <c r="B1186" t="s">
        <v>17</v>
      </c>
      <c r="C1186" t="s">
        <v>18</v>
      </c>
      <c r="D1186" t="s">
        <v>44</v>
      </c>
      <c r="E1186" t="s">
        <v>48</v>
      </c>
      <c r="F1186">
        <f t="shared" ca="1" si="29"/>
        <v>482</v>
      </c>
      <c r="G1186">
        <v>3</v>
      </c>
      <c r="H1186">
        <v>20</v>
      </c>
      <c r="I1186">
        <f t="shared" ca="1" si="30"/>
        <v>24749</v>
      </c>
      <c r="J1186">
        <f t="shared" ca="1" si="41"/>
        <v>13465</v>
      </c>
      <c r="K1186">
        <f t="shared" ca="1" si="40"/>
        <v>78371.350000000006</v>
      </c>
      <c r="L1186">
        <f t="shared" ca="1" si="37"/>
        <v>543660</v>
      </c>
      <c r="M1186">
        <f t="shared" ca="1" si="32"/>
        <v>-465288.65</v>
      </c>
      <c r="N1186" s="1">
        <f t="shared" ca="1" si="33"/>
        <v>42708</v>
      </c>
      <c r="O1186">
        <f t="shared" ca="1" si="34"/>
        <v>12</v>
      </c>
      <c r="P1186" t="str">
        <f t="shared" ca="1" si="39"/>
        <v>December</v>
      </c>
      <c r="Q1186">
        <f t="shared" ca="1" si="36"/>
        <v>2016</v>
      </c>
    </row>
    <row r="1187" spans="1:17" x14ac:dyDescent="0.3">
      <c r="A1187" t="str">
        <f t="shared" ca="1" si="38"/>
        <v>ORD-2015-Uni-3732</v>
      </c>
      <c r="B1187" t="s">
        <v>17</v>
      </c>
      <c r="C1187" t="s">
        <v>37</v>
      </c>
      <c r="D1187" t="s">
        <v>44</v>
      </c>
      <c r="E1187" t="s">
        <v>48</v>
      </c>
      <c r="F1187">
        <f t="shared" ca="1" si="29"/>
        <v>729</v>
      </c>
      <c r="G1187">
        <v>5</v>
      </c>
      <c r="H1187">
        <v>7</v>
      </c>
      <c r="I1187">
        <f t="shared" ca="1" si="30"/>
        <v>13935</v>
      </c>
      <c r="J1187">
        <f t="shared" ca="1" si="41"/>
        <v>13504</v>
      </c>
      <c r="K1187">
        <f t="shared" ca="1" si="40"/>
        <v>79414.27</v>
      </c>
      <c r="L1187">
        <f t="shared" ca="1" si="37"/>
        <v>1446</v>
      </c>
      <c r="M1187">
        <f t="shared" ca="1" si="32"/>
        <v>77968.27</v>
      </c>
      <c r="N1187" s="1">
        <f t="shared" ca="1" si="33"/>
        <v>42054</v>
      </c>
      <c r="O1187">
        <f t="shared" ca="1" si="34"/>
        <v>2</v>
      </c>
      <c r="P1187" t="str">
        <f t="shared" ca="1" si="39"/>
        <v>February</v>
      </c>
      <c r="Q1187">
        <f t="shared" ca="1" si="36"/>
        <v>2015</v>
      </c>
    </row>
    <row r="1188" spans="1:17" x14ac:dyDescent="0.3">
      <c r="A1188" t="str">
        <f t="shared" ca="1" si="38"/>
        <v>ORD-2016-Fra-2480</v>
      </c>
      <c r="B1188" t="s">
        <v>17</v>
      </c>
      <c r="C1188" t="s">
        <v>24</v>
      </c>
      <c r="D1188" t="s">
        <v>44</v>
      </c>
      <c r="E1188" t="s">
        <v>48</v>
      </c>
      <c r="F1188">
        <f t="shared" ca="1" si="29"/>
        <v>1700</v>
      </c>
      <c r="G1188">
        <v>10</v>
      </c>
      <c r="H1188">
        <v>7</v>
      </c>
      <c r="I1188">
        <f t="shared" ca="1" si="30"/>
        <v>28949</v>
      </c>
      <c r="J1188">
        <f t="shared" ca="1" si="41"/>
        <v>33136</v>
      </c>
      <c r="K1188">
        <f t="shared" ca="1" si="40"/>
        <v>78390.47</v>
      </c>
      <c r="L1188">
        <f t="shared" ca="1" si="37"/>
        <v>3645</v>
      </c>
      <c r="M1188">
        <f t="shared" ca="1" si="32"/>
        <v>74745.47</v>
      </c>
      <c r="N1188" s="1">
        <f t="shared" ca="1" si="33"/>
        <v>42681</v>
      </c>
      <c r="O1188">
        <f t="shared" ca="1" si="34"/>
        <v>11</v>
      </c>
      <c r="P1188" t="str">
        <f t="shared" ca="1" si="39"/>
        <v>November</v>
      </c>
      <c r="Q1188">
        <f t="shared" ca="1" si="36"/>
        <v>2016</v>
      </c>
    </row>
    <row r="1189" spans="1:17" x14ac:dyDescent="0.3">
      <c r="A1189" t="str">
        <f t="shared" ca="1" si="38"/>
        <v>ORD-2016-Ger-2548</v>
      </c>
      <c r="B1189" t="s">
        <v>30</v>
      </c>
      <c r="C1189" t="s">
        <v>22</v>
      </c>
      <c r="D1189" t="s">
        <v>44</v>
      </c>
      <c r="E1189" t="s">
        <v>48</v>
      </c>
      <c r="F1189">
        <f t="shared" ca="1" si="29"/>
        <v>1460</v>
      </c>
      <c r="G1189">
        <v>250</v>
      </c>
      <c r="H1189">
        <v>7</v>
      </c>
      <c r="I1189">
        <f t="shared" ca="1" si="30"/>
        <v>49034</v>
      </c>
      <c r="J1189">
        <f t="shared" ca="1" si="41"/>
        <v>8865</v>
      </c>
      <c r="K1189">
        <f t="shared" ca="1" si="40"/>
        <v>80234.95</v>
      </c>
      <c r="L1189">
        <f t="shared" ca="1" si="37"/>
        <v>17000</v>
      </c>
      <c r="M1189">
        <f t="shared" ca="1" si="32"/>
        <v>63234.95</v>
      </c>
      <c r="N1189" s="1">
        <f t="shared" ca="1" si="33"/>
        <v>42499</v>
      </c>
      <c r="O1189">
        <f t="shared" ca="1" si="34"/>
        <v>5</v>
      </c>
      <c r="P1189" t="str">
        <f t="shared" ca="1" si="39"/>
        <v>May</v>
      </c>
      <c r="Q1189">
        <f t="shared" ca="1" si="36"/>
        <v>2016</v>
      </c>
    </row>
    <row r="1190" spans="1:17" x14ac:dyDescent="0.3">
      <c r="A1190" t="str">
        <f t="shared" ca="1" si="38"/>
        <v>ORD-2016-Fra-9809</v>
      </c>
      <c r="B1190" t="s">
        <v>23</v>
      </c>
      <c r="C1190" t="s">
        <v>24</v>
      </c>
      <c r="D1190" t="s">
        <v>44</v>
      </c>
      <c r="E1190" t="s">
        <v>48</v>
      </c>
      <c r="F1190">
        <f t="shared" ca="1" si="29"/>
        <v>2028</v>
      </c>
      <c r="G1190">
        <v>250</v>
      </c>
      <c r="H1190">
        <v>7</v>
      </c>
      <c r="I1190">
        <f t="shared" ca="1" si="30"/>
        <v>6770</v>
      </c>
      <c r="J1190">
        <f t="shared" ca="1" si="41"/>
        <v>24111</v>
      </c>
      <c r="K1190">
        <f t="shared" ca="1" si="40"/>
        <v>79183.87</v>
      </c>
      <c r="L1190">
        <f t="shared" ca="1" si="37"/>
        <v>365000</v>
      </c>
      <c r="M1190">
        <f t="shared" ca="1" si="32"/>
        <v>-285816.13</v>
      </c>
      <c r="N1190" s="1">
        <f t="shared" ca="1" si="33"/>
        <v>42499</v>
      </c>
      <c r="O1190">
        <f t="shared" ca="1" si="34"/>
        <v>5</v>
      </c>
      <c r="P1190" t="str">
        <f t="shared" ca="1" si="39"/>
        <v>May</v>
      </c>
      <c r="Q1190">
        <f t="shared" ca="1" si="36"/>
        <v>2016</v>
      </c>
    </row>
    <row r="1191" spans="1:17" x14ac:dyDescent="0.3">
      <c r="A1191" t="str">
        <f t="shared" ca="1" si="38"/>
        <v>ORD-2017-Uni-4861</v>
      </c>
      <c r="B1191" t="s">
        <v>17</v>
      </c>
      <c r="C1191" t="s">
        <v>37</v>
      </c>
      <c r="D1191" t="s">
        <v>44</v>
      </c>
      <c r="E1191" t="s">
        <v>48</v>
      </c>
      <c r="F1191">
        <f t="shared" ca="1" si="29"/>
        <v>2221.5</v>
      </c>
      <c r="G1191">
        <v>260</v>
      </c>
      <c r="H1191">
        <v>15</v>
      </c>
      <c r="I1191">
        <f t="shared" ca="1" si="30"/>
        <v>41122</v>
      </c>
      <c r="J1191">
        <f t="shared" ca="1" si="41"/>
        <v>28492</v>
      </c>
      <c r="K1191">
        <f t="shared" ca="1" si="40"/>
        <v>80056.570000000007</v>
      </c>
      <c r="L1191">
        <f t="shared" ca="1" si="37"/>
        <v>507000</v>
      </c>
      <c r="M1191">
        <f t="shared" ca="1" si="32"/>
        <v>-426943.43</v>
      </c>
      <c r="N1191" s="1">
        <f t="shared" ca="1" si="33"/>
        <v>42950</v>
      </c>
      <c r="O1191">
        <f t="shared" ca="1" si="34"/>
        <v>8</v>
      </c>
      <c r="P1191" t="str">
        <f t="shared" ca="1" si="39"/>
        <v>August</v>
      </c>
      <c r="Q1191">
        <f t="shared" ca="1" si="36"/>
        <v>2017</v>
      </c>
    </row>
    <row r="1192" spans="1:17" x14ac:dyDescent="0.3">
      <c r="A1192" t="str">
        <f t="shared" ca="1" si="38"/>
        <v>ORD-2015-Mex-9032</v>
      </c>
      <c r="B1192" t="s">
        <v>17</v>
      </c>
      <c r="C1192" t="s">
        <v>26</v>
      </c>
      <c r="D1192" t="s">
        <v>19</v>
      </c>
      <c r="E1192" t="s">
        <v>48</v>
      </c>
      <c r="F1192">
        <f t="shared" ca="1" si="29"/>
        <v>1912</v>
      </c>
      <c r="G1192">
        <v>3</v>
      </c>
      <c r="H1192">
        <v>20</v>
      </c>
      <c r="I1192">
        <f t="shared" ca="1" si="30"/>
        <v>18394</v>
      </c>
      <c r="J1192">
        <f ca="1">ROUND(RAND()*4500+31000,2)</f>
        <v>33480.980000000003</v>
      </c>
      <c r="K1192">
        <f t="shared" ca="1" si="40"/>
        <v>78977.81</v>
      </c>
      <c r="L1192">
        <f t="shared" ca="1" si="37"/>
        <v>577590</v>
      </c>
      <c r="M1192">
        <f t="shared" ca="1" si="32"/>
        <v>-498612.19</v>
      </c>
      <c r="N1192" s="1">
        <f t="shared" ca="1" si="33"/>
        <v>42277</v>
      </c>
      <c r="O1192">
        <f t="shared" ca="1" si="34"/>
        <v>9</v>
      </c>
      <c r="P1192" t="str">
        <f t="shared" ca="1" si="39"/>
        <v>September</v>
      </c>
      <c r="Q1192">
        <f t="shared" ca="1" si="36"/>
        <v>2015</v>
      </c>
    </row>
    <row r="1193" spans="1:17" x14ac:dyDescent="0.3">
      <c r="A1193" t="str">
        <f t="shared" ca="1" si="38"/>
        <v>ORD-2016-Fra-3380</v>
      </c>
      <c r="B1193" t="s">
        <v>30</v>
      </c>
      <c r="C1193" t="s">
        <v>24</v>
      </c>
      <c r="D1193" t="s">
        <v>19</v>
      </c>
      <c r="E1193" t="s">
        <v>45</v>
      </c>
      <c r="F1193">
        <f t="shared" ca="1" si="29"/>
        <v>1298</v>
      </c>
      <c r="G1193">
        <v>250</v>
      </c>
      <c r="H1193">
        <v>15</v>
      </c>
      <c r="I1193">
        <f t="shared" ca="1" si="30"/>
        <v>34751</v>
      </c>
      <c r="J1193">
        <f t="shared" ref="J1193:J1219" ca="1" si="42">ROUND(RAND()*4500+31000,2)</f>
        <v>31688.89</v>
      </c>
      <c r="K1193">
        <f t="shared" ca="1" si="40"/>
        <v>79318.94</v>
      </c>
      <c r="L1193">
        <f t="shared" ca="1" si="37"/>
        <v>5736</v>
      </c>
      <c r="M1193">
        <f t="shared" ca="1" si="32"/>
        <v>73582.94</v>
      </c>
      <c r="N1193" s="1">
        <f t="shared" ca="1" si="33"/>
        <v>42568</v>
      </c>
      <c r="O1193">
        <f t="shared" ca="1" si="34"/>
        <v>7</v>
      </c>
      <c r="P1193" t="str">
        <f t="shared" ca="1" si="39"/>
        <v>July</v>
      </c>
      <c r="Q1193">
        <f t="shared" ca="1" si="36"/>
        <v>2016</v>
      </c>
    </row>
    <row r="1194" spans="1:17" x14ac:dyDescent="0.3">
      <c r="A1194" t="str">
        <f t="shared" ca="1" si="38"/>
        <v>ORD-2016-Ca0-3559</v>
      </c>
      <c r="B1194" t="s">
        <v>23</v>
      </c>
      <c r="C1194" t="s">
        <v>18</v>
      </c>
      <c r="D1194" t="s">
        <v>19</v>
      </c>
      <c r="E1194" t="s">
        <v>45</v>
      </c>
      <c r="F1194">
        <f t="shared" ca="1" si="29"/>
        <v>1472</v>
      </c>
      <c r="G1194">
        <v>3</v>
      </c>
      <c r="H1194">
        <v>12</v>
      </c>
      <c r="I1194">
        <f t="shared" ca="1" si="30"/>
        <v>55935</v>
      </c>
      <c r="J1194">
        <f t="shared" ca="1" si="42"/>
        <v>33093.69</v>
      </c>
      <c r="K1194">
        <f t="shared" ca="1" si="40"/>
        <v>79127.63</v>
      </c>
      <c r="L1194">
        <f t="shared" ca="1" si="37"/>
        <v>324500</v>
      </c>
      <c r="M1194">
        <f t="shared" ca="1" si="32"/>
        <v>-245372.37</v>
      </c>
      <c r="N1194" s="1">
        <f t="shared" ca="1" si="33"/>
        <v>42728</v>
      </c>
      <c r="O1194">
        <f t="shared" ca="1" si="34"/>
        <v>12</v>
      </c>
      <c r="P1194" t="str">
        <f t="shared" ca="1" si="39"/>
        <v>December</v>
      </c>
      <c r="Q1194">
        <f t="shared" ca="1" si="36"/>
        <v>2016</v>
      </c>
    </row>
    <row r="1195" spans="1:17" x14ac:dyDescent="0.3">
      <c r="A1195" t="str">
        <f t="shared" ca="1" si="38"/>
        <v>ORD-2016-Uni-5272</v>
      </c>
      <c r="B1195" t="s">
        <v>17</v>
      </c>
      <c r="C1195" t="s">
        <v>37</v>
      </c>
      <c r="D1195" t="s">
        <v>28</v>
      </c>
      <c r="E1195" t="s">
        <v>45</v>
      </c>
      <c r="F1195">
        <f t="shared" ca="1" si="29"/>
        <v>918</v>
      </c>
      <c r="G1195">
        <v>3</v>
      </c>
      <c r="H1195">
        <v>7</v>
      </c>
      <c r="I1195">
        <f t="shared" ca="1" si="30"/>
        <v>56645</v>
      </c>
      <c r="J1195">
        <f t="shared" ca="1" si="42"/>
        <v>32649</v>
      </c>
      <c r="K1195">
        <f t="shared" ca="1" si="40"/>
        <v>78733.22</v>
      </c>
      <c r="L1195">
        <f t="shared" ca="1" si="37"/>
        <v>4416</v>
      </c>
      <c r="M1195">
        <f t="shared" ca="1" si="32"/>
        <v>74317.22</v>
      </c>
      <c r="N1195" s="1">
        <f t="shared" ca="1" si="33"/>
        <v>42473</v>
      </c>
      <c r="O1195">
        <f t="shared" ca="1" si="34"/>
        <v>4</v>
      </c>
      <c r="P1195" t="str">
        <f t="shared" ca="1" si="39"/>
        <v>April</v>
      </c>
      <c r="Q1195">
        <f t="shared" ca="1" si="36"/>
        <v>2016</v>
      </c>
    </row>
    <row r="1196" spans="1:17" x14ac:dyDescent="0.3">
      <c r="A1196" t="str">
        <f t="shared" ca="1" si="38"/>
        <v>ORD-2015-Ger-3993</v>
      </c>
      <c r="B1196" t="s">
        <v>17</v>
      </c>
      <c r="C1196" t="s">
        <v>22</v>
      </c>
      <c r="D1196" t="s">
        <v>41</v>
      </c>
      <c r="E1196" t="s">
        <v>47</v>
      </c>
      <c r="F1196">
        <f t="shared" ca="1" si="29"/>
        <v>2774.5</v>
      </c>
      <c r="G1196">
        <v>250</v>
      </c>
      <c r="H1196">
        <v>12</v>
      </c>
      <c r="I1196">
        <f t="shared" ca="1" si="30"/>
        <v>26553</v>
      </c>
      <c r="J1196">
        <f t="shared" ca="1" si="42"/>
        <v>32478.93</v>
      </c>
      <c r="K1196">
        <f t="shared" ca="1" si="40"/>
        <v>78565.67</v>
      </c>
      <c r="L1196">
        <f t="shared" ca="1" si="37"/>
        <v>2754</v>
      </c>
      <c r="M1196">
        <f t="shared" ca="1" si="32"/>
        <v>75811.67</v>
      </c>
      <c r="N1196" s="1">
        <f t="shared" ca="1" si="33"/>
        <v>42309</v>
      </c>
      <c r="O1196">
        <f t="shared" ca="1" si="34"/>
        <v>11</v>
      </c>
      <c r="P1196" t="str">
        <f t="shared" ca="1" si="39"/>
        <v>November</v>
      </c>
      <c r="Q1196">
        <f t="shared" ca="1" si="36"/>
        <v>2015</v>
      </c>
    </row>
    <row r="1197" spans="1:17" x14ac:dyDescent="0.3">
      <c r="A1197" t="str">
        <f t="shared" ca="1" si="38"/>
        <v>ORD-2017-Ca0-8056</v>
      </c>
      <c r="B1197" t="s">
        <v>17</v>
      </c>
      <c r="C1197" t="s">
        <v>18</v>
      </c>
      <c r="D1197" t="s">
        <v>41</v>
      </c>
      <c r="E1197" t="s">
        <v>47</v>
      </c>
      <c r="F1197">
        <f t="shared" ca="1" si="29"/>
        <v>1431</v>
      </c>
      <c r="G1197">
        <v>250</v>
      </c>
      <c r="H1197">
        <v>12</v>
      </c>
      <c r="I1197">
        <f t="shared" ca="1" si="30"/>
        <v>27396</v>
      </c>
      <c r="J1197">
        <f t="shared" ca="1" si="42"/>
        <v>31103.73</v>
      </c>
      <c r="K1197">
        <f t="shared" ca="1" si="40"/>
        <v>80444.2</v>
      </c>
      <c r="L1197">
        <f t="shared" ca="1" si="37"/>
        <v>693625</v>
      </c>
      <c r="M1197">
        <f t="shared" ca="1" si="32"/>
        <v>-613180.80000000005</v>
      </c>
      <c r="N1197" s="1">
        <f t="shared" ca="1" si="33"/>
        <v>42875</v>
      </c>
      <c r="O1197">
        <f t="shared" ca="1" si="34"/>
        <v>5</v>
      </c>
      <c r="P1197" t="str">
        <f t="shared" ca="1" si="39"/>
        <v>May</v>
      </c>
      <c r="Q1197">
        <f t="shared" ca="1" si="36"/>
        <v>2017</v>
      </c>
    </row>
    <row r="1198" spans="1:17" x14ac:dyDescent="0.3">
      <c r="A1198" t="str">
        <f t="shared" ca="1" si="38"/>
        <v>ORD-2015-Mex-5959</v>
      </c>
      <c r="B1198" t="s">
        <v>31</v>
      </c>
      <c r="C1198" t="s">
        <v>26</v>
      </c>
      <c r="D1198" t="s">
        <v>41</v>
      </c>
      <c r="E1198" t="s">
        <v>47</v>
      </c>
      <c r="F1198">
        <f t="shared" ca="1" si="29"/>
        <v>2529</v>
      </c>
      <c r="G1198">
        <v>250</v>
      </c>
      <c r="H1198">
        <v>300</v>
      </c>
      <c r="I1198">
        <f t="shared" ca="1" si="30"/>
        <v>12806</v>
      </c>
      <c r="J1198">
        <f t="shared" ca="1" si="42"/>
        <v>32570.38</v>
      </c>
      <c r="K1198">
        <f t="shared" ca="1" si="40"/>
        <v>78170.509999999995</v>
      </c>
      <c r="L1198">
        <f t="shared" ca="1" si="37"/>
        <v>357750</v>
      </c>
      <c r="M1198">
        <f t="shared" ca="1" si="32"/>
        <v>-279579.49</v>
      </c>
      <c r="N1198" s="1">
        <f t="shared" ca="1" si="33"/>
        <v>42115</v>
      </c>
      <c r="O1198">
        <f t="shared" ca="1" si="34"/>
        <v>4</v>
      </c>
      <c r="P1198" t="str">
        <f t="shared" ca="1" si="39"/>
        <v>April</v>
      </c>
      <c r="Q1198">
        <f t="shared" ca="1" si="36"/>
        <v>2015</v>
      </c>
    </row>
    <row r="1199" spans="1:17" x14ac:dyDescent="0.3">
      <c r="A1199" t="str">
        <f t="shared" ca="1" si="38"/>
        <v>ORD-2016-Ca0-1285</v>
      </c>
      <c r="B1199" t="s">
        <v>30</v>
      </c>
      <c r="C1199" t="s">
        <v>18</v>
      </c>
      <c r="D1199" t="s">
        <v>41</v>
      </c>
      <c r="E1199" t="s">
        <v>48</v>
      </c>
      <c r="F1199">
        <f t="shared" ca="1" si="29"/>
        <v>2877</v>
      </c>
      <c r="G1199">
        <v>260</v>
      </c>
      <c r="H1199">
        <v>125</v>
      </c>
      <c r="I1199">
        <f t="shared" ca="1" si="30"/>
        <v>56620</v>
      </c>
      <c r="J1199">
        <f t="shared" ca="1" si="42"/>
        <v>31860.13</v>
      </c>
      <c r="K1199">
        <f t="shared" ca="1" si="40"/>
        <v>78544.41</v>
      </c>
      <c r="L1199">
        <f t="shared" ca="1" si="37"/>
        <v>632250</v>
      </c>
      <c r="M1199">
        <f t="shared" ca="1" si="32"/>
        <v>-553705.59</v>
      </c>
      <c r="N1199" s="1">
        <f t="shared" ca="1" si="33"/>
        <v>42380</v>
      </c>
      <c r="O1199">
        <f t="shared" ca="1" si="34"/>
        <v>1</v>
      </c>
      <c r="P1199" t="str">
        <f t="shared" ca="1" si="39"/>
        <v>January</v>
      </c>
      <c r="Q1199">
        <f t="shared" ca="1" si="36"/>
        <v>2016</v>
      </c>
    </row>
    <row r="1200" spans="1:17" x14ac:dyDescent="0.3">
      <c r="A1200" t="str">
        <f t="shared" ca="1" si="38"/>
        <v>ORD-2016-Ger-1821</v>
      </c>
      <c r="B1200" t="s">
        <v>17</v>
      </c>
      <c r="C1200" t="s">
        <v>22</v>
      </c>
      <c r="D1200" t="s">
        <v>42</v>
      </c>
      <c r="E1200" t="s">
        <v>48</v>
      </c>
      <c r="F1200">
        <f t="shared" ca="1" si="29"/>
        <v>1361</v>
      </c>
      <c r="G1200">
        <v>260</v>
      </c>
      <c r="H1200">
        <v>300</v>
      </c>
      <c r="I1200">
        <f t="shared" ca="1" si="30"/>
        <v>49197</v>
      </c>
      <c r="J1200">
        <f t="shared" ca="1" si="42"/>
        <v>31521.08</v>
      </c>
      <c r="K1200">
        <f t="shared" ca="1" si="40"/>
        <v>78315.7</v>
      </c>
      <c r="L1200">
        <f t="shared" ca="1" si="37"/>
        <v>748020</v>
      </c>
      <c r="M1200">
        <f t="shared" ca="1" si="32"/>
        <v>-669704.30000000005</v>
      </c>
      <c r="N1200" s="1">
        <f t="shared" ca="1" si="33"/>
        <v>42603</v>
      </c>
      <c r="O1200">
        <f t="shared" ca="1" si="34"/>
        <v>8</v>
      </c>
      <c r="P1200" t="str">
        <f t="shared" ca="1" si="39"/>
        <v>August</v>
      </c>
      <c r="Q1200">
        <f t="shared" ca="1" si="36"/>
        <v>2016</v>
      </c>
    </row>
    <row r="1201" spans="1:17" x14ac:dyDescent="0.3">
      <c r="A1201" t="str">
        <f t="shared" ca="1" si="38"/>
        <v>ORD-2017-Ca0-9265</v>
      </c>
      <c r="B1201" t="s">
        <v>30</v>
      </c>
      <c r="C1201" t="s">
        <v>18</v>
      </c>
      <c r="D1201" t="s">
        <v>42</v>
      </c>
      <c r="E1201" t="s">
        <v>48</v>
      </c>
      <c r="F1201">
        <f t="shared" ca="1" si="29"/>
        <v>2175.5</v>
      </c>
      <c r="G1201">
        <v>260</v>
      </c>
      <c r="H1201">
        <v>300</v>
      </c>
      <c r="I1201">
        <f t="shared" ca="1" si="30"/>
        <v>9086</v>
      </c>
      <c r="J1201">
        <f t="shared" ca="1" si="42"/>
        <v>33168.199999999997</v>
      </c>
      <c r="K1201">
        <f t="shared" ca="1" si="40"/>
        <v>79250.38</v>
      </c>
      <c r="L1201">
        <f t="shared" ca="1" si="37"/>
        <v>353860</v>
      </c>
      <c r="M1201">
        <f t="shared" ca="1" si="32"/>
        <v>-274609.62</v>
      </c>
      <c r="N1201" s="1">
        <f t="shared" ca="1" si="33"/>
        <v>42986</v>
      </c>
      <c r="O1201">
        <f t="shared" ca="1" si="34"/>
        <v>9</v>
      </c>
      <c r="P1201" t="str">
        <f t="shared" ca="1" si="39"/>
        <v>September</v>
      </c>
      <c r="Q1201">
        <f t="shared" ca="1" si="36"/>
        <v>2017</v>
      </c>
    </row>
    <row r="1202" spans="1:17" x14ac:dyDescent="0.3">
      <c r="A1202" t="str">
        <f t="shared" ca="1" si="38"/>
        <v>ORD-2016-Ca0-7029</v>
      </c>
      <c r="B1202" t="s">
        <v>17</v>
      </c>
      <c r="C1202" t="s">
        <v>18</v>
      </c>
      <c r="D1202" t="s">
        <v>42</v>
      </c>
      <c r="E1202" t="s">
        <v>48</v>
      </c>
      <c r="F1202">
        <f t="shared" ca="1" si="29"/>
        <v>2836</v>
      </c>
      <c r="G1202">
        <v>260</v>
      </c>
      <c r="H1202">
        <v>15</v>
      </c>
      <c r="I1202">
        <f t="shared" ca="1" si="30"/>
        <v>52273</v>
      </c>
      <c r="J1202">
        <f t="shared" ca="1" si="42"/>
        <v>31588.1</v>
      </c>
      <c r="K1202">
        <f t="shared" ca="1" si="40"/>
        <v>80428.160000000003</v>
      </c>
      <c r="L1202">
        <f t="shared" ca="1" si="37"/>
        <v>565630</v>
      </c>
      <c r="M1202">
        <f t="shared" ca="1" si="32"/>
        <v>-485201.83999999997</v>
      </c>
      <c r="N1202" s="1">
        <f t="shared" ca="1" si="33"/>
        <v>42521</v>
      </c>
      <c r="O1202">
        <f t="shared" ca="1" si="34"/>
        <v>5</v>
      </c>
      <c r="P1202" t="str">
        <f t="shared" ca="1" si="39"/>
        <v>May</v>
      </c>
      <c r="Q1202">
        <f t="shared" ca="1" si="36"/>
        <v>2016</v>
      </c>
    </row>
    <row r="1203" spans="1:17" x14ac:dyDescent="0.3">
      <c r="A1203" t="str">
        <f t="shared" ca="1" si="38"/>
        <v>ORD-2016-Mex-2509</v>
      </c>
      <c r="B1203" t="s">
        <v>17</v>
      </c>
      <c r="C1203" t="s">
        <v>26</v>
      </c>
      <c r="D1203" t="s">
        <v>42</v>
      </c>
      <c r="E1203" t="s">
        <v>48</v>
      </c>
      <c r="F1203">
        <f t="shared" ca="1" si="29"/>
        <v>565</v>
      </c>
      <c r="G1203">
        <v>260</v>
      </c>
      <c r="H1203">
        <v>15</v>
      </c>
      <c r="I1203">
        <f t="shared" ca="1" si="30"/>
        <v>14976</v>
      </c>
      <c r="J1203">
        <f t="shared" ca="1" si="42"/>
        <v>33304.9</v>
      </c>
      <c r="K1203">
        <f t="shared" ca="1" si="40"/>
        <v>79159</v>
      </c>
      <c r="L1203">
        <f t="shared" ca="1" si="37"/>
        <v>737360</v>
      </c>
      <c r="M1203">
        <f t="shared" ca="1" si="32"/>
        <v>-658201</v>
      </c>
      <c r="N1203" s="1">
        <f t="shared" ca="1" si="33"/>
        <v>42671</v>
      </c>
      <c r="O1203">
        <f t="shared" ca="1" si="34"/>
        <v>10</v>
      </c>
      <c r="P1203" t="str">
        <f t="shared" ca="1" si="39"/>
        <v>October</v>
      </c>
      <c r="Q1203">
        <f t="shared" ca="1" si="36"/>
        <v>2016</v>
      </c>
    </row>
    <row r="1204" spans="1:17" x14ac:dyDescent="0.3">
      <c r="A1204" t="str">
        <f t="shared" ca="1" si="38"/>
        <v>ORD-2017-Ca0-7112</v>
      </c>
      <c r="B1204" t="s">
        <v>17</v>
      </c>
      <c r="C1204" t="s">
        <v>18</v>
      </c>
      <c r="D1204" t="s">
        <v>42</v>
      </c>
      <c r="E1204" t="s">
        <v>48</v>
      </c>
      <c r="F1204">
        <f t="shared" ca="1" si="29"/>
        <v>2229</v>
      </c>
      <c r="G1204">
        <v>10</v>
      </c>
      <c r="H1204">
        <v>125</v>
      </c>
      <c r="I1204">
        <f t="shared" ca="1" si="30"/>
        <v>39664</v>
      </c>
      <c r="J1204">
        <f t="shared" ca="1" si="42"/>
        <v>33512.120000000003</v>
      </c>
      <c r="K1204">
        <f ca="1">RANDBETWEEN(2000,10000)</f>
        <v>5954</v>
      </c>
      <c r="L1204">
        <f t="shared" ca="1" si="37"/>
        <v>146900</v>
      </c>
      <c r="M1204">
        <f t="shared" ca="1" si="32"/>
        <v>-140946</v>
      </c>
      <c r="N1204" s="1">
        <f t="shared" ca="1" si="33"/>
        <v>42919</v>
      </c>
      <c r="O1204">
        <f t="shared" ca="1" si="34"/>
        <v>7</v>
      </c>
      <c r="P1204" t="str">
        <f t="shared" ca="1" si="39"/>
        <v>July</v>
      </c>
      <c r="Q1204">
        <f t="shared" ca="1" si="36"/>
        <v>2017</v>
      </c>
    </row>
    <row r="1205" spans="1:17" x14ac:dyDescent="0.3">
      <c r="A1205" t="str">
        <f t="shared" ca="1" si="38"/>
        <v>ORD-2017-Mex-1747</v>
      </c>
      <c r="B1205" t="s">
        <v>17</v>
      </c>
      <c r="C1205" t="s">
        <v>26</v>
      </c>
      <c r="D1205" t="s">
        <v>42</v>
      </c>
      <c r="E1205" t="s">
        <v>48</v>
      </c>
      <c r="F1205">
        <f t="shared" ca="1" si="29"/>
        <v>1762</v>
      </c>
      <c r="G1205">
        <v>10</v>
      </c>
      <c r="H1205">
        <v>350</v>
      </c>
      <c r="I1205">
        <f t="shared" ca="1" si="30"/>
        <v>14823</v>
      </c>
      <c r="J1205">
        <f t="shared" ca="1" si="42"/>
        <v>34602.129999999997</v>
      </c>
      <c r="K1205">
        <f t="shared" ref="K1205:K1207" ca="1" si="43">RANDBETWEEN(2000,10000)</f>
        <v>6276</v>
      </c>
      <c r="L1205">
        <f t="shared" ca="1" si="37"/>
        <v>22290</v>
      </c>
      <c r="M1205">
        <f t="shared" ca="1" si="32"/>
        <v>-16014</v>
      </c>
      <c r="N1205" s="1">
        <f t="shared" ca="1" si="33"/>
        <v>42848</v>
      </c>
      <c r="O1205">
        <f t="shared" ca="1" si="34"/>
        <v>4</v>
      </c>
      <c r="P1205" t="str">
        <f t="shared" ca="1" si="39"/>
        <v>April</v>
      </c>
      <c r="Q1205">
        <f t="shared" ca="1" si="36"/>
        <v>2017</v>
      </c>
    </row>
    <row r="1206" spans="1:17" x14ac:dyDescent="0.3">
      <c r="A1206" t="str">
        <f t="shared" ca="1" si="38"/>
        <v>ORD-2015-Ca0-2174</v>
      </c>
      <c r="B1206" t="s">
        <v>17</v>
      </c>
      <c r="C1206" t="s">
        <v>18</v>
      </c>
      <c r="D1206" t="s">
        <v>44</v>
      </c>
      <c r="E1206" t="s">
        <v>48</v>
      </c>
      <c r="F1206">
        <f t="shared" ca="1" si="29"/>
        <v>1309</v>
      </c>
      <c r="G1206">
        <v>10</v>
      </c>
      <c r="H1206">
        <v>350</v>
      </c>
      <c r="I1206">
        <f t="shared" ca="1" si="30"/>
        <v>17288</v>
      </c>
      <c r="J1206">
        <f t="shared" ca="1" si="42"/>
        <v>35356.69</v>
      </c>
      <c r="K1206">
        <f t="shared" ca="1" si="43"/>
        <v>3855</v>
      </c>
      <c r="L1206">
        <f t="shared" ca="1" si="37"/>
        <v>17620</v>
      </c>
      <c r="M1206">
        <f t="shared" ca="1" si="32"/>
        <v>-13765</v>
      </c>
      <c r="N1206" s="1">
        <f t="shared" ca="1" si="33"/>
        <v>42174</v>
      </c>
      <c r="O1206">
        <f t="shared" ca="1" si="34"/>
        <v>6</v>
      </c>
      <c r="P1206" t="str">
        <f t="shared" ca="1" si="39"/>
        <v>June</v>
      </c>
      <c r="Q1206">
        <f t="shared" ca="1" si="36"/>
        <v>2015</v>
      </c>
    </row>
    <row r="1207" spans="1:17" x14ac:dyDescent="0.3">
      <c r="A1207" t="str">
        <f t="shared" ca="1" si="38"/>
        <v>ORD-2016-Ca0-7023</v>
      </c>
      <c r="B1207" t="s">
        <v>17</v>
      </c>
      <c r="C1207" t="s">
        <v>18</v>
      </c>
      <c r="D1207" t="s">
        <v>19</v>
      </c>
      <c r="E1207" t="s">
        <v>48</v>
      </c>
      <c r="F1207">
        <f t="shared" ca="1" si="29"/>
        <v>2005.5</v>
      </c>
      <c r="G1207">
        <v>120</v>
      </c>
      <c r="H1207">
        <v>350</v>
      </c>
      <c r="I1207">
        <f t="shared" ca="1" si="30"/>
        <v>33689</v>
      </c>
      <c r="J1207">
        <f t="shared" ca="1" si="42"/>
        <v>35285.83</v>
      </c>
      <c r="K1207">
        <f t="shared" ca="1" si="43"/>
        <v>4355</v>
      </c>
      <c r="L1207">
        <f t="shared" ca="1" si="37"/>
        <v>13090</v>
      </c>
      <c r="M1207">
        <f t="shared" ca="1" si="32"/>
        <v>-8735</v>
      </c>
      <c r="N1207" s="1">
        <f t="shared" ca="1" si="33"/>
        <v>42713</v>
      </c>
      <c r="O1207">
        <f t="shared" ca="1" si="34"/>
        <v>12</v>
      </c>
      <c r="P1207" t="str">
        <f t="shared" ca="1" si="39"/>
        <v>December</v>
      </c>
      <c r="Q1207">
        <f t="shared" ca="1" si="36"/>
        <v>2016</v>
      </c>
    </row>
    <row r="1208" spans="1:17" x14ac:dyDescent="0.3">
      <c r="A1208" t="str">
        <f t="shared" ca="1" si="38"/>
        <v>ORD-2016-Uni-2313</v>
      </c>
      <c r="B1208" t="s">
        <v>17</v>
      </c>
      <c r="C1208" t="s">
        <v>37</v>
      </c>
      <c r="D1208" t="s">
        <v>19</v>
      </c>
      <c r="E1208" t="s">
        <v>48</v>
      </c>
      <c r="F1208">
        <f t="shared" ca="1" si="29"/>
        <v>2827</v>
      </c>
      <c r="G1208">
        <v>120</v>
      </c>
      <c r="H1208">
        <v>7</v>
      </c>
      <c r="I1208">
        <f t="shared" ca="1" si="30"/>
        <v>31596</v>
      </c>
      <c r="J1208">
        <f t="shared" ca="1" si="42"/>
        <v>34811.300000000003</v>
      </c>
      <c r="K1208">
        <f ca="1">ROUND(RAND()*1000+5600,2)</f>
        <v>6577.26</v>
      </c>
      <c r="L1208">
        <f t="shared" ca="1" si="37"/>
        <v>240660</v>
      </c>
      <c r="M1208">
        <f t="shared" ca="1" si="32"/>
        <v>-234082.74</v>
      </c>
      <c r="N1208" s="1">
        <f t="shared" ca="1" si="33"/>
        <v>42700</v>
      </c>
      <c r="O1208">
        <f t="shared" ca="1" si="34"/>
        <v>11</v>
      </c>
      <c r="P1208" t="str">
        <f t="shared" ca="1" si="39"/>
        <v>November</v>
      </c>
      <c r="Q1208">
        <f t="shared" ca="1" si="36"/>
        <v>2016</v>
      </c>
    </row>
    <row r="1209" spans="1:17" x14ac:dyDescent="0.3">
      <c r="A1209" t="str">
        <f t="shared" ca="1" si="38"/>
        <v>ORD-2015-Fra-1075</v>
      </c>
      <c r="B1209" t="s">
        <v>17</v>
      </c>
      <c r="C1209" t="s">
        <v>24</v>
      </c>
      <c r="D1209" t="s">
        <v>19</v>
      </c>
      <c r="E1209" t="s">
        <v>48</v>
      </c>
      <c r="F1209">
        <f t="shared" ca="1" si="29"/>
        <v>2861</v>
      </c>
      <c r="G1209">
        <v>250</v>
      </c>
      <c r="H1209">
        <v>7</v>
      </c>
      <c r="I1209">
        <f t="shared" ca="1" si="30"/>
        <v>37912</v>
      </c>
      <c r="J1209">
        <f t="shared" ca="1" si="42"/>
        <v>31138.85</v>
      </c>
      <c r="K1209">
        <f t="shared" ref="K1209:K1213" ca="1" si="44">ROUND(RAND()*1000+5600,2)</f>
        <v>6548.11</v>
      </c>
      <c r="L1209">
        <f t="shared" ca="1" si="37"/>
        <v>339240</v>
      </c>
      <c r="M1209">
        <f t="shared" ca="1" si="32"/>
        <v>-332691.89</v>
      </c>
      <c r="N1209" s="1">
        <f t="shared" ca="1" si="33"/>
        <v>42290</v>
      </c>
      <c r="O1209">
        <f t="shared" ca="1" si="34"/>
        <v>10</v>
      </c>
      <c r="P1209" t="str">
        <f t="shared" ca="1" si="39"/>
        <v>October</v>
      </c>
      <c r="Q1209">
        <f t="shared" ca="1" si="36"/>
        <v>2015</v>
      </c>
    </row>
    <row r="1210" spans="1:17" x14ac:dyDescent="0.3">
      <c r="A1210" t="str">
        <f t="shared" ca="1" si="38"/>
        <v>ORD-2015-Ca0-8457</v>
      </c>
      <c r="B1210" t="s">
        <v>23</v>
      </c>
      <c r="C1210" t="s">
        <v>18</v>
      </c>
      <c r="D1210" t="s">
        <v>19</v>
      </c>
      <c r="E1210" t="s">
        <v>48</v>
      </c>
      <c r="F1210">
        <f t="shared" ca="1" si="29"/>
        <v>1331</v>
      </c>
      <c r="G1210">
        <v>250</v>
      </c>
      <c r="H1210">
        <v>15</v>
      </c>
      <c r="I1210">
        <f t="shared" ca="1" si="30"/>
        <v>6367</v>
      </c>
      <c r="J1210">
        <f t="shared" ca="1" si="42"/>
        <v>33916.28</v>
      </c>
      <c r="K1210">
        <f t="shared" ca="1" si="44"/>
        <v>5833.68</v>
      </c>
      <c r="L1210">
        <f t="shared" ca="1" si="37"/>
        <v>715250</v>
      </c>
      <c r="M1210">
        <f t="shared" ca="1" si="32"/>
        <v>-709416.32</v>
      </c>
      <c r="N1210" s="1">
        <f t="shared" ca="1" si="33"/>
        <v>42029</v>
      </c>
      <c r="O1210">
        <f t="shared" ca="1" si="34"/>
        <v>1</v>
      </c>
      <c r="P1210" t="str">
        <f t="shared" ca="1" si="39"/>
        <v>January</v>
      </c>
      <c r="Q1210">
        <f t="shared" ca="1" si="36"/>
        <v>2015</v>
      </c>
    </row>
    <row r="1211" spans="1:17" x14ac:dyDescent="0.3">
      <c r="A1211" t="str">
        <f t="shared" ca="1" si="38"/>
        <v>ORD-2017-Ca0-2820</v>
      </c>
      <c r="B1211" t="s">
        <v>17</v>
      </c>
      <c r="C1211" t="s">
        <v>18</v>
      </c>
      <c r="D1211" t="s">
        <v>28</v>
      </c>
      <c r="E1211" t="s">
        <v>48</v>
      </c>
      <c r="F1211">
        <f t="shared" ca="1" si="29"/>
        <v>2907</v>
      </c>
      <c r="G1211">
        <v>250</v>
      </c>
      <c r="H1211">
        <v>20</v>
      </c>
      <c r="I1211">
        <f t="shared" ca="1" si="30"/>
        <v>34544</v>
      </c>
      <c r="J1211">
        <f t="shared" ca="1" si="42"/>
        <v>33551.74</v>
      </c>
      <c r="K1211">
        <f t="shared" ca="1" si="44"/>
        <v>5915.77</v>
      </c>
      <c r="L1211">
        <f t="shared" ca="1" si="37"/>
        <v>332750</v>
      </c>
      <c r="M1211">
        <f t="shared" ca="1" si="32"/>
        <v>-326834.23</v>
      </c>
      <c r="N1211" s="1">
        <f t="shared" ca="1" si="33"/>
        <v>42933</v>
      </c>
      <c r="O1211">
        <f t="shared" ca="1" si="34"/>
        <v>7</v>
      </c>
      <c r="P1211" t="str">
        <f t="shared" ca="1" si="39"/>
        <v>July</v>
      </c>
      <c r="Q1211">
        <f t="shared" ca="1" si="36"/>
        <v>2017</v>
      </c>
    </row>
    <row r="1212" spans="1:17" x14ac:dyDescent="0.3">
      <c r="A1212" t="str">
        <f t="shared" ca="1" si="38"/>
        <v>ORD-2015-Uni-7193</v>
      </c>
      <c r="B1212" t="s">
        <v>23</v>
      </c>
      <c r="C1212" t="s">
        <v>37</v>
      </c>
      <c r="D1212" t="s">
        <v>28</v>
      </c>
      <c r="E1212" t="s">
        <v>48</v>
      </c>
      <c r="F1212">
        <f t="shared" ref="F1212:F1220" ca="1" si="45">ROUND(RANDBETWEEN(200,3000) + IF(RAND()&gt;0.7,0.5),1)</f>
        <v>2195</v>
      </c>
      <c r="G1212">
        <v>10</v>
      </c>
      <c r="H1212">
        <v>15</v>
      </c>
      <c r="I1212">
        <f t="shared" ref="I1212:I1220" ca="1" si="46">RANDBETWEEN(5000,58000)</f>
        <v>42828</v>
      </c>
      <c r="J1212">
        <f t="shared" ca="1" si="42"/>
        <v>32782.71</v>
      </c>
      <c r="K1212">
        <f t="shared" ca="1" si="44"/>
        <v>5649.02</v>
      </c>
      <c r="L1212">
        <f t="shared" ca="1" si="37"/>
        <v>726750</v>
      </c>
      <c r="M1212">
        <f t="shared" ref="M1212:M1220" ca="1" si="47">K1212-L1212</f>
        <v>-721100.98</v>
      </c>
      <c r="N1212" s="1">
        <f t="shared" ref="N1212:N1220" ca="1" si="48">RANDBETWEEN(DATE(2014,12,31),DATE(2016,21,31))</f>
        <v>42174</v>
      </c>
      <c r="O1212">
        <f t="shared" ref="O1212:O1220" ca="1" si="49">MONTH(N1212)</f>
        <v>6</v>
      </c>
      <c r="P1212" t="str">
        <f t="shared" ca="1" si="39"/>
        <v>June</v>
      </c>
      <c r="Q1212">
        <f t="shared" ref="Q1212:Q1220" ca="1" si="50">YEAR(N1212)</f>
        <v>2015</v>
      </c>
    </row>
    <row r="1213" spans="1:17" x14ac:dyDescent="0.3">
      <c r="A1213" t="str">
        <f t="shared" ca="1" si="38"/>
        <v>ORD-2015-Fra-4168</v>
      </c>
      <c r="B1213" t="s">
        <v>30</v>
      </c>
      <c r="C1213" t="s">
        <v>24</v>
      </c>
      <c r="D1213" t="s">
        <v>28</v>
      </c>
      <c r="E1213" t="s">
        <v>48</v>
      </c>
      <c r="F1213">
        <f t="shared" ca="1" si="45"/>
        <v>540</v>
      </c>
      <c r="G1213">
        <v>10</v>
      </c>
      <c r="H1213">
        <v>15</v>
      </c>
      <c r="I1213">
        <f t="shared" ca="1" si="46"/>
        <v>29871</v>
      </c>
      <c r="J1213">
        <f t="shared" ca="1" si="42"/>
        <v>34678.31</v>
      </c>
      <c r="K1213">
        <f t="shared" ca="1" si="44"/>
        <v>6074.66</v>
      </c>
      <c r="L1213">
        <f t="shared" ref="L1213:L1220" ca="1" si="51">F1212*G1212</f>
        <v>21950</v>
      </c>
      <c r="M1213">
        <f t="shared" ca="1" si="47"/>
        <v>-15875.34</v>
      </c>
      <c r="N1213" s="1">
        <f t="shared" ca="1" si="48"/>
        <v>42187</v>
      </c>
      <c r="O1213">
        <f t="shared" ca="1" si="49"/>
        <v>7</v>
      </c>
      <c r="P1213" t="str">
        <f t="shared" ca="1" si="39"/>
        <v>July</v>
      </c>
      <c r="Q1213">
        <f t="shared" ca="1" si="50"/>
        <v>2015</v>
      </c>
    </row>
    <row r="1214" spans="1:17" x14ac:dyDescent="0.3">
      <c r="A1214" t="str">
        <f t="shared" ca="1" si="38"/>
        <v>ORD-2016-Mex-1640</v>
      </c>
      <c r="B1214" t="s">
        <v>17</v>
      </c>
      <c r="C1214" t="s">
        <v>26</v>
      </c>
      <c r="D1214" t="s">
        <v>28</v>
      </c>
      <c r="E1214" t="s">
        <v>48</v>
      </c>
      <c r="F1214">
        <f t="shared" ca="1" si="45"/>
        <v>1325.5</v>
      </c>
      <c r="G1214">
        <v>10</v>
      </c>
      <c r="H1214">
        <v>12</v>
      </c>
      <c r="I1214">
        <f t="shared" ca="1" si="46"/>
        <v>13276</v>
      </c>
      <c r="J1214">
        <f t="shared" ca="1" si="42"/>
        <v>34994.33</v>
      </c>
      <c r="K1214">
        <f ca="1">RANDBETWEEN(1000,2500)</f>
        <v>1847</v>
      </c>
      <c r="L1214">
        <f t="shared" ca="1" si="51"/>
        <v>5400</v>
      </c>
      <c r="M1214">
        <f t="shared" ca="1" si="47"/>
        <v>-3553</v>
      </c>
      <c r="N1214" s="1">
        <f t="shared" ca="1" si="48"/>
        <v>42567</v>
      </c>
      <c r="O1214">
        <f t="shared" ca="1" si="49"/>
        <v>7</v>
      </c>
      <c r="P1214" t="str">
        <f t="shared" ca="1" si="39"/>
        <v>July</v>
      </c>
      <c r="Q1214">
        <f t="shared" ca="1" si="50"/>
        <v>2016</v>
      </c>
    </row>
    <row r="1215" spans="1:17" x14ac:dyDescent="0.3">
      <c r="A1215" t="str">
        <f t="shared" ca="1" si="38"/>
        <v>ORD-2017-Uni-8049</v>
      </c>
      <c r="B1215" t="s">
        <v>30</v>
      </c>
      <c r="C1215" t="s">
        <v>37</v>
      </c>
      <c r="D1215" t="s">
        <v>28</v>
      </c>
      <c r="E1215" t="s">
        <v>48</v>
      </c>
      <c r="F1215">
        <f t="shared" ca="1" si="45"/>
        <v>664</v>
      </c>
      <c r="G1215">
        <v>10</v>
      </c>
      <c r="H1215">
        <v>7</v>
      </c>
      <c r="I1215">
        <f t="shared" ca="1" si="46"/>
        <v>15376</v>
      </c>
      <c r="J1215">
        <f t="shared" ca="1" si="42"/>
        <v>32143.95</v>
      </c>
      <c r="K1215">
        <f t="shared" ref="K1215:K1216" ca="1" si="52">RANDBETWEEN(1000,2500)</f>
        <v>1173</v>
      </c>
      <c r="L1215">
        <f t="shared" ca="1" si="51"/>
        <v>13255</v>
      </c>
      <c r="M1215">
        <f t="shared" ca="1" si="47"/>
        <v>-12082</v>
      </c>
      <c r="N1215" s="1">
        <f t="shared" ca="1" si="48"/>
        <v>42863</v>
      </c>
      <c r="O1215">
        <f t="shared" ca="1" si="49"/>
        <v>5</v>
      </c>
      <c r="P1215" t="str">
        <f t="shared" ca="1" si="39"/>
        <v>May</v>
      </c>
      <c r="Q1215">
        <f t="shared" ca="1" si="50"/>
        <v>2017</v>
      </c>
    </row>
    <row r="1216" spans="1:17" x14ac:dyDescent="0.3">
      <c r="A1216" t="str">
        <f t="shared" ca="1" si="38"/>
        <v>ORD-2015-Uni-4601</v>
      </c>
      <c r="B1216" t="s">
        <v>30</v>
      </c>
      <c r="C1216" t="s">
        <v>37</v>
      </c>
      <c r="D1216" t="s">
        <v>28</v>
      </c>
      <c r="E1216" t="s">
        <v>48</v>
      </c>
      <c r="F1216">
        <f t="shared" ca="1" si="45"/>
        <v>1622</v>
      </c>
      <c r="G1216">
        <v>10</v>
      </c>
      <c r="H1216">
        <v>350</v>
      </c>
      <c r="I1216">
        <f t="shared" ca="1" si="46"/>
        <v>20285</v>
      </c>
      <c r="J1216">
        <f t="shared" ca="1" si="42"/>
        <v>32664.25</v>
      </c>
      <c r="K1216">
        <f t="shared" ca="1" si="52"/>
        <v>2107</v>
      </c>
      <c r="L1216">
        <f t="shared" ca="1" si="51"/>
        <v>6640</v>
      </c>
      <c r="M1216">
        <f t="shared" ca="1" si="47"/>
        <v>-4533</v>
      </c>
      <c r="N1216" s="1">
        <f t="shared" ca="1" si="48"/>
        <v>42262</v>
      </c>
      <c r="O1216">
        <f t="shared" ca="1" si="49"/>
        <v>9</v>
      </c>
      <c r="P1216" t="str">
        <f t="shared" ca="1" si="39"/>
        <v>September</v>
      </c>
      <c r="Q1216">
        <f t="shared" ca="1" si="50"/>
        <v>2015</v>
      </c>
    </row>
    <row r="1217" spans="1:17" x14ac:dyDescent="0.3">
      <c r="A1217" t="str">
        <f t="shared" ca="1" si="38"/>
        <v>ORD-2015-Ca0-5840</v>
      </c>
      <c r="B1217" t="s">
        <v>33</v>
      </c>
      <c r="C1217" t="s">
        <v>18</v>
      </c>
      <c r="D1217" t="s">
        <v>28</v>
      </c>
      <c r="E1217" t="s">
        <v>48</v>
      </c>
      <c r="F1217">
        <f t="shared" ca="1" si="45"/>
        <v>989</v>
      </c>
      <c r="G1217">
        <v>10</v>
      </c>
      <c r="H1217">
        <v>12</v>
      </c>
      <c r="I1217">
        <f t="shared" ca="1" si="46"/>
        <v>7919</v>
      </c>
      <c r="J1217">
        <f t="shared" ca="1" si="42"/>
        <v>34208.06</v>
      </c>
      <c r="K1217">
        <f ca="1">ROUND(RAND()*7000+10000,2)</f>
        <v>15228.37</v>
      </c>
      <c r="L1217">
        <f t="shared" ca="1" si="51"/>
        <v>16220</v>
      </c>
      <c r="M1217">
        <f t="shared" ca="1" si="47"/>
        <v>-991.6299999999992</v>
      </c>
      <c r="N1217" s="1">
        <f t="shared" ca="1" si="48"/>
        <v>42027</v>
      </c>
      <c r="O1217">
        <f t="shared" ca="1" si="49"/>
        <v>1</v>
      </c>
      <c r="P1217" t="str">
        <f t="shared" ca="1" si="39"/>
        <v>January</v>
      </c>
      <c r="Q1217">
        <f t="shared" ca="1" si="50"/>
        <v>2015</v>
      </c>
    </row>
    <row r="1218" spans="1:17" x14ac:dyDescent="0.3">
      <c r="A1218" t="str">
        <f t="shared" ca="1" si="38"/>
        <v>ORD-2016-Ger-9039</v>
      </c>
      <c r="B1218" t="s">
        <v>31</v>
      </c>
      <c r="C1218" t="s">
        <v>22</v>
      </c>
      <c r="D1218" t="s">
        <v>28</v>
      </c>
      <c r="E1218" t="s">
        <v>48</v>
      </c>
      <c r="F1218">
        <f t="shared" ca="1" si="45"/>
        <v>543.5</v>
      </c>
      <c r="G1218">
        <v>10</v>
      </c>
      <c r="H1218">
        <v>350</v>
      </c>
      <c r="I1218">
        <f t="shared" ca="1" si="46"/>
        <v>22017</v>
      </c>
      <c r="J1218">
        <f t="shared" ca="1" si="42"/>
        <v>33829.449999999997</v>
      </c>
      <c r="K1218">
        <f ca="1">ROUND(RAND()*7000+10000,2)</f>
        <v>13687.8</v>
      </c>
      <c r="L1218">
        <f t="shared" ca="1" si="51"/>
        <v>9890</v>
      </c>
      <c r="M1218">
        <f t="shared" ca="1" si="47"/>
        <v>3797.7999999999993</v>
      </c>
      <c r="N1218" s="1">
        <f t="shared" ca="1" si="48"/>
        <v>42691</v>
      </c>
      <c r="O1218">
        <f t="shared" ca="1" si="49"/>
        <v>11</v>
      </c>
      <c r="P1218" t="str">
        <f t="shared" ca="1" si="39"/>
        <v>November</v>
      </c>
      <c r="Q1218">
        <f t="shared" ca="1" si="50"/>
        <v>2016</v>
      </c>
    </row>
    <row r="1219" spans="1:17" x14ac:dyDescent="0.3">
      <c r="A1219" t="str">
        <f t="shared" ref="A1219:A1220" ca="1" si="53">"ORD-" &amp; YEAR(N1219) &amp; "-"  &amp; LEFT(C1219,3) &amp; "-" &amp; RANDBETWEEN(1000,9999)</f>
        <v>ORD-2016-Mex-4146</v>
      </c>
      <c r="B1219" t="s">
        <v>33</v>
      </c>
      <c r="C1219" t="s">
        <v>26</v>
      </c>
      <c r="D1219" t="s">
        <v>28</v>
      </c>
      <c r="E1219" t="s">
        <v>48</v>
      </c>
      <c r="F1219">
        <f t="shared" ca="1" si="45"/>
        <v>2407</v>
      </c>
      <c r="G1219">
        <v>120</v>
      </c>
      <c r="H1219">
        <v>350</v>
      </c>
      <c r="I1219">
        <f t="shared" ca="1" si="46"/>
        <v>18183</v>
      </c>
      <c r="J1219">
        <f t="shared" ca="1" si="42"/>
        <v>34411.11</v>
      </c>
      <c r="K1219">
        <f t="shared" ref="K1219:K1220" ca="1" si="54">ROUND(RAND()*7000+10000,2)</f>
        <v>15869.92</v>
      </c>
      <c r="L1219">
        <f t="shared" ca="1" si="51"/>
        <v>5435</v>
      </c>
      <c r="M1219">
        <f t="shared" ca="1" si="47"/>
        <v>10434.92</v>
      </c>
      <c r="N1219" s="1">
        <f t="shared" ca="1" si="48"/>
        <v>42564</v>
      </c>
      <c r="O1219">
        <f t="shared" ca="1" si="49"/>
        <v>7</v>
      </c>
      <c r="P1219" t="str">
        <f t="shared" ca="1" si="39"/>
        <v>July</v>
      </c>
      <c r="Q1219">
        <f t="shared" ca="1" si="50"/>
        <v>2016</v>
      </c>
    </row>
    <row r="1220" spans="1:17" x14ac:dyDescent="0.3">
      <c r="A1220" t="str">
        <f t="shared" ca="1" si="53"/>
        <v>ORD-2016-Ca0-6308</v>
      </c>
      <c r="B1220" t="s">
        <v>23</v>
      </c>
      <c r="C1220" t="s">
        <v>18</v>
      </c>
      <c r="D1220" t="s">
        <v>28</v>
      </c>
      <c r="E1220" t="s">
        <v>48</v>
      </c>
      <c r="F1220">
        <f t="shared" ca="1" si="45"/>
        <v>336</v>
      </c>
      <c r="G1220">
        <v>10</v>
      </c>
      <c r="H1220">
        <v>125</v>
      </c>
      <c r="I1220">
        <f t="shared" ca="1" si="46"/>
        <v>39857</v>
      </c>
      <c r="J1220">
        <f ca="1">RANDBETWEEN(4500,32000)</f>
        <v>13472</v>
      </c>
      <c r="K1220">
        <f t="shared" ca="1" si="54"/>
        <v>12820.3</v>
      </c>
      <c r="L1220">
        <f t="shared" ca="1" si="51"/>
        <v>288840</v>
      </c>
      <c r="M1220">
        <f t="shared" ca="1" si="47"/>
        <v>-276019.7</v>
      </c>
      <c r="N1220" s="1">
        <f t="shared" ca="1" si="48"/>
        <v>42504</v>
      </c>
      <c r="O1220">
        <f t="shared" ca="1" si="49"/>
        <v>5</v>
      </c>
      <c r="P1220" t="str">
        <f t="shared" ca="1" si="39"/>
        <v>May</v>
      </c>
      <c r="Q1220">
        <f t="shared" ca="1" si="50"/>
        <v>2016</v>
      </c>
    </row>
  </sheetData>
  <conditionalFormatting sqref="M1:M1048576">
    <cfRule type="containsText" dxfId="3" priority="2" operator="containsText" text="NA">
      <formula>NOT(ISERROR(SEARCH("NA",M1)))</formula>
    </cfRule>
    <cfRule type="containsText" dxfId="2" priority="3" operator="containsText" text="NA">
      <formula>NOT(ISERROR(SEARCH("NA",M1)))</formula>
    </cfRule>
  </conditionalFormatting>
  <conditionalFormatting sqref="J1:J1048576">
    <cfRule type="containsText" priority="1" operator="containsText" text="0">
      <formula>NOT(ISERROR(SEARCH("0",J1)))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5804A-D0B1-41F5-8161-B6EF59C08D76}">
  <dimension ref="A1:C1220"/>
  <sheetViews>
    <sheetView workbookViewId="0">
      <selection activeCell="D1" sqref="D1:D1048576"/>
    </sheetView>
  </sheetViews>
  <sheetFormatPr defaultRowHeight="14.4" x14ac:dyDescent="0.3"/>
  <cols>
    <col min="1" max="1" width="10" bestFit="1" customWidth="1"/>
    <col min="2" max="2" width="8.5546875" bestFit="1" customWidth="1"/>
    <col min="3" max="3" width="10" bestFit="1" customWidth="1"/>
    <col min="4" max="4" width="10.109375" bestFit="1" customWidth="1"/>
  </cols>
  <sheetData>
    <row r="1" spans="1:3" x14ac:dyDescent="0.3">
      <c r="A1" t="s">
        <v>10</v>
      </c>
      <c r="B1" t="s">
        <v>11</v>
      </c>
      <c r="C1" t="s">
        <v>12</v>
      </c>
    </row>
    <row r="2" spans="1:3" x14ac:dyDescent="0.3">
      <c r="A2">
        <v>32370</v>
      </c>
      <c r="B2">
        <v>16185</v>
      </c>
      <c r="C2">
        <v>16185</v>
      </c>
    </row>
    <row r="3" spans="1:3" x14ac:dyDescent="0.3">
      <c r="A3">
        <v>26420</v>
      </c>
      <c r="B3">
        <v>13210</v>
      </c>
      <c r="C3">
        <v>13210</v>
      </c>
    </row>
    <row r="4" spans="1:3" x14ac:dyDescent="0.3">
      <c r="A4">
        <v>32670</v>
      </c>
      <c r="B4">
        <v>21780</v>
      </c>
      <c r="C4">
        <v>10890</v>
      </c>
    </row>
    <row r="5" spans="1:3" x14ac:dyDescent="0.3">
      <c r="A5">
        <v>13320</v>
      </c>
      <c r="B5">
        <v>8880</v>
      </c>
      <c r="C5">
        <v>4440</v>
      </c>
    </row>
    <row r="6" spans="1:3" x14ac:dyDescent="0.3">
      <c r="A6">
        <v>37050</v>
      </c>
      <c r="B6">
        <v>24700</v>
      </c>
      <c r="C6">
        <v>12350</v>
      </c>
    </row>
    <row r="7" spans="1:3" x14ac:dyDescent="0.3">
      <c r="A7">
        <v>529550</v>
      </c>
      <c r="B7">
        <v>393380</v>
      </c>
      <c r="C7">
        <v>136170</v>
      </c>
    </row>
    <row r="8" spans="1:3" x14ac:dyDescent="0.3">
      <c r="A8">
        <v>13815</v>
      </c>
      <c r="B8">
        <v>9210</v>
      </c>
      <c r="C8">
        <v>4605</v>
      </c>
    </row>
    <row r="9" spans="1:3" x14ac:dyDescent="0.3">
      <c r="A9">
        <v>30216</v>
      </c>
      <c r="B9">
        <v>7554</v>
      </c>
      <c r="C9">
        <v>22662</v>
      </c>
    </row>
    <row r="10" spans="1:3" x14ac:dyDescent="0.3">
      <c r="A10">
        <v>37980</v>
      </c>
      <c r="B10">
        <v>18990</v>
      </c>
      <c r="C10">
        <v>18990</v>
      </c>
    </row>
    <row r="11" spans="1:3" x14ac:dyDescent="0.3">
      <c r="A11">
        <v>18540</v>
      </c>
      <c r="B11">
        <v>4635</v>
      </c>
      <c r="C11">
        <v>13905</v>
      </c>
    </row>
    <row r="12" spans="1:3" x14ac:dyDescent="0.3">
      <c r="A12">
        <v>37050</v>
      </c>
      <c r="B12">
        <v>24700</v>
      </c>
      <c r="C12">
        <v>12350</v>
      </c>
    </row>
    <row r="13" spans="1:3" x14ac:dyDescent="0.3">
      <c r="A13">
        <v>333187.5</v>
      </c>
      <c r="B13">
        <v>319860</v>
      </c>
      <c r="C13">
        <v>13327.5</v>
      </c>
    </row>
    <row r="14" spans="1:3" x14ac:dyDescent="0.3">
      <c r="A14">
        <v>287400</v>
      </c>
      <c r="B14">
        <v>239500</v>
      </c>
      <c r="C14">
        <v>47900</v>
      </c>
    </row>
    <row r="15" spans="1:3" x14ac:dyDescent="0.3">
      <c r="A15">
        <v>15022</v>
      </c>
      <c r="B15">
        <v>10730</v>
      </c>
      <c r="C15">
        <v>4292</v>
      </c>
    </row>
    <row r="16" spans="1:3" x14ac:dyDescent="0.3">
      <c r="A16">
        <v>43125</v>
      </c>
      <c r="B16">
        <v>41400</v>
      </c>
      <c r="C16">
        <v>1725</v>
      </c>
    </row>
    <row r="17" spans="1:3" x14ac:dyDescent="0.3">
      <c r="A17">
        <v>9225</v>
      </c>
      <c r="B17">
        <v>6150</v>
      </c>
      <c r="C17">
        <v>3075</v>
      </c>
    </row>
    <row r="18" spans="1:3" x14ac:dyDescent="0.3">
      <c r="A18">
        <v>5840</v>
      </c>
      <c r="B18">
        <v>2920</v>
      </c>
      <c r="C18">
        <v>2920</v>
      </c>
    </row>
    <row r="19" spans="1:3" x14ac:dyDescent="0.3">
      <c r="A19">
        <v>14610</v>
      </c>
      <c r="B19">
        <v>9740</v>
      </c>
      <c r="C19">
        <v>4870</v>
      </c>
    </row>
    <row r="20" spans="1:3" x14ac:dyDescent="0.3">
      <c r="A20">
        <v>30216</v>
      </c>
      <c r="B20">
        <v>7554</v>
      </c>
      <c r="C20">
        <v>22662</v>
      </c>
    </row>
    <row r="21" spans="1:3" x14ac:dyDescent="0.3">
      <c r="A21">
        <v>352100</v>
      </c>
      <c r="B21">
        <v>261560</v>
      </c>
      <c r="C21">
        <v>90540</v>
      </c>
    </row>
    <row r="22" spans="1:3" x14ac:dyDescent="0.3">
      <c r="A22">
        <v>4404</v>
      </c>
      <c r="B22">
        <v>1101</v>
      </c>
      <c r="C22">
        <v>3303</v>
      </c>
    </row>
    <row r="23" spans="1:3" x14ac:dyDescent="0.3">
      <c r="A23">
        <v>6181</v>
      </c>
      <c r="B23">
        <v>4415</v>
      </c>
      <c r="C23">
        <v>1766</v>
      </c>
    </row>
    <row r="24" spans="1:3" x14ac:dyDescent="0.3">
      <c r="A24">
        <v>8235</v>
      </c>
      <c r="B24">
        <v>5490</v>
      </c>
      <c r="C24">
        <v>2745</v>
      </c>
    </row>
    <row r="25" spans="1:3" x14ac:dyDescent="0.3">
      <c r="A25">
        <v>236400</v>
      </c>
      <c r="B25">
        <v>197000</v>
      </c>
      <c r="C25">
        <v>39400</v>
      </c>
    </row>
    <row r="26" spans="1:3" x14ac:dyDescent="0.3">
      <c r="A26">
        <v>37080</v>
      </c>
      <c r="B26">
        <v>24720</v>
      </c>
      <c r="C26">
        <v>12360</v>
      </c>
    </row>
    <row r="27" spans="1:3" x14ac:dyDescent="0.3">
      <c r="A27">
        <v>8001</v>
      </c>
      <c r="B27">
        <v>5715</v>
      </c>
      <c r="C27">
        <v>2286</v>
      </c>
    </row>
    <row r="28" spans="1:3" x14ac:dyDescent="0.3">
      <c r="A28">
        <v>603750</v>
      </c>
      <c r="B28">
        <v>448500</v>
      </c>
      <c r="C28">
        <v>155250</v>
      </c>
    </row>
    <row r="29" spans="1:3" x14ac:dyDescent="0.3">
      <c r="A29">
        <v>10944</v>
      </c>
      <c r="B29">
        <v>2736</v>
      </c>
      <c r="C29">
        <v>8208</v>
      </c>
    </row>
    <row r="30" spans="1:3" x14ac:dyDescent="0.3">
      <c r="A30">
        <v>32280</v>
      </c>
      <c r="B30">
        <v>21520</v>
      </c>
      <c r="C30">
        <v>10760</v>
      </c>
    </row>
    <row r="31" spans="1:3" x14ac:dyDescent="0.3">
      <c r="A31">
        <v>36340</v>
      </c>
      <c r="B31">
        <v>18170</v>
      </c>
      <c r="C31">
        <v>18170</v>
      </c>
    </row>
    <row r="32" spans="1:3" x14ac:dyDescent="0.3">
      <c r="A32">
        <v>529550</v>
      </c>
      <c r="B32">
        <v>393380</v>
      </c>
      <c r="C32">
        <v>136170</v>
      </c>
    </row>
    <row r="33" spans="1:3" x14ac:dyDescent="0.3">
      <c r="A33">
        <v>10451</v>
      </c>
      <c r="B33">
        <v>7465</v>
      </c>
      <c r="C33">
        <v>2986</v>
      </c>
    </row>
    <row r="34" spans="1:3" x14ac:dyDescent="0.3">
      <c r="A34">
        <v>225500</v>
      </c>
      <c r="B34">
        <v>216480</v>
      </c>
      <c r="C34">
        <v>9020</v>
      </c>
    </row>
    <row r="35" spans="1:3" x14ac:dyDescent="0.3">
      <c r="A35">
        <v>25932</v>
      </c>
      <c r="B35">
        <v>6483</v>
      </c>
      <c r="C35">
        <v>19449</v>
      </c>
    </row>
    <row r="36" spans="1:3" x14ac:dyDescent="0.3">
      <c r="A36">
        <v>352100</v>
      </c>
      <c r="B36">
        <v>261560</v>
      </c>
      <c r="C36">
        <v>90540</v>
      </c>
    </row>
    <row r="37" spans="1:3" x14ac:dyDescent="0.3">
      <c r="A37">
        <v>18540</v>
      </c>
      <c r="B37">
        <v>4635</v>
      </c>
      <c r="C37">
        <v>13905</v>
      </c>
    </row>
    <row r="38" spans="1:3" x14ac:dyDescent="0.3">
      <c r="A38">
        <v>352625</v>
      </c>
      <c r="B38">
        <v>338520</v>
      </c>
      <c r="C38">
        <v>14105</v>
      </c>
    </row>
    <row r="39" spans="1:3" x14ac:dyDescent="0.3">
      <c r="A39">
        <v>43125</v>
      </c>
      <c r="B39">
        <v>41400</v>
      </c>
      <c r="C39">
        <v>1725</v>
      </c>
    </row>
    <row r="40" spans="1:3" x14ac:dyDescent="0.3">
      <c r="A40">
        <v>600300</v>
      </c>
      <c r="B40">
        <v>500250</v>
      </c>
      <c r="C40">
        <v>100050</v>
      </c>
    </row>
    <row r="41" spans="1:3" x14ac:dyDescent="0.3">
      <c r="A41">
        <v>34056</v>
      </c>
      <c r="B41">
        <v>8514</v>
      </c>
      <c r="C41">
        <v>25542</v>
      </c>
    </row>
    <row r="42" spans="1:3" x14ac:dyDescent="0.3">
      <c r="A42">
        <v>32670</v>
      </c>
      <c r="B42">
        <v>21780</v>
      </c>
      <c r="C42">
        <v>10890</v>
      </c>
    </row>
    <row r="43" spans="1:3" x14ac:dyDescent="0.3">
      <c r="A43">
        <v>13320</v>
      </c>
      <c r="B43">
        <v>8880</v>
      </c>
      <c r="C43">
        <v>4440</v>
      </c>
    </row>
    <row r="44" spans="1:3" x14ac:dyDescent="0.3">
      <c r="A44">
        <v>534450</v>
      </c>
      <c r="B44">
        <v>397020</v>
      </c>
      <c r="C44">
        <v>137430</v>
      </c>
    </row>
    <row r="45" spans="1:3" x14ac:dyDescent="0.3">
      <c r="A45">
        <v>645300</v>
      </c>
      <c r="B45">
        <v>537750</v>
      </c>
      <c r="C45">
        <v>107550</v>
      </c>
    </row>
    <row r="46" spans="1:3" x14ac:dyDescent="0.3">
      <c r="A46">
        <v>36340</v>
      </c>
      <c r="B46">
        <v>18170</v>
      </c>
      <c r="C46">
        <v>18170</v>
      </c>
    </row>
    <row r="47" spans="1:3" x14ac:dyDescent="0.3">
      <c r="A47">
        <v>962500</v>
      </c>
      <c r="B47">
        <v>715000</v>
      </c>
      <c r="C47">
        <v>247500</v>
      </c>
    </row>
    <row r="48" spans="1:3" x14ac:dyDescent="0.3">
      <c r="A48">
        <v>23436</v>
      </c>
      <c r="B48">
        <v>5859</v>
      </c>
      <c r="C48">
        <v>17577</v>
      </c>
    </row>
    <row r="49" spans="1:3" x14ac:dyDescent="0.3">
      <c r="A49">
        <v>527437.5</v>
      </c>
      <c r="B49">
        <v>506340</v>
      </c>
      <c r="C49">
        <v>21097.5</v>
      </c>
    </row>
    <row r="50" spans="1:3" x14ac:dyDescent="0.3">
      <c r="A50">
        <v>37980</v>
      </c>
      <c r="B50">
        <v>18990</v>
      </c>
      <c r="C50">
        <v>18990</v>
      </c>
    </row>
    <row r="51" spans="1:3" x14ac:dyDescent="0.3">
      <c r="A51">
        <v>11802</v>
      </c>
      <c r="B51">
        <v>8430</v>
      </c>
      <c r="C51">
        <v>3372</v>
      </c>
    </row>
    <row r="52" spans="1:3" x14ac:dyDescent="0.3">
      <c r="A52">
        <v>25692</v>
      </c>
      <c r="B52">
        <v>6423</v>
      </c>
      <c r="C52">
        <v>19269</v>
      </c>
    </row>
    <row r="53" spans="1:3" x14ac:dyDescent="0.3">
      <c r="A53">
        <v>8001</v>
      </c>
      <c r="B53">
        <v>5715</v>
      </c>
      <c r="C53">
        <v>2286</v>
      </c>
    </row>
    <row r="54" spans="1:3" x14ac:dyDescent="0.3">
      <c r="A54">
        <v>9225</v>
      </c>
      <c r="B54">
        <v>6150</v>
      </c>
      <c r="C54">
        <v>3075</v>
      </c>
    </row>
    <row r="55" spans="1:3" x14ac:dyDescent="0.3">
      <c r="A55">
        <v>27338.85</v>
      </c>
      <c r="B55">
        <v>19725</v>
      </c>
      <c r="C55">
        <v>7613.85</v>
      </c>
    </row>
    <row r="56" spans="1:3" x14ac:dyDescent="0.3">
      <c r="A56">
        <v>34095.599999999999</v>
      </c>
      <c r="B56">
        <v>22960</v>
      </c>
      <c r="C56">
        <v>11135.6</v>
      </c>
    </row>
    <row r="57" spans="1:3" x14ac:dyDescent="0.3">
      <c r="A57">
        <v>7137.9</v>
      </c>
      <c r="B57">
        <v>5150</v>
      </c>
      <c r="C57">
        <v>1987.9</v>
      </c>
    </row>
    <row r="58" spans="1:3" x14ac:dyDescent="0.3">
      <c r="A58">
        <v>4428.2700000000004</v>
      </c>
      <c r="B58">
        <v>3195</v>
      </c>
      <c r="C58">
        <v>1233.27</v>
      </c>
    </row>
    <row r="59" spans="1:3" x14ac:dyDescent="0.3">
      <c r="A59">
        <v>9189.18</v>
      </c>
      <c r="B59">
        <v>6630</v>
      </c>
      <c r="C59">
        <v>2559.1799999999998</v>
      </c>
    </row>
    <row r="60" spans="1:3" x14ac:dyDescent="0.3">
      <c r="A60">
        <v>22073.040000000001</v>
      </c>
      <c r="B60">
        <v>5574</v>
      </c>
      <c r="C60">
        <v>16499.04</v>
      </c>
    </row>
    <row r="61" spans="1:3" x14ac:dyDescent="0.3">
      <c r="A61">
        <v>419265</v>
      </c>
      <c r="B61">
        <v>314600</v>
      </c>
      <c r="C61">
        <v>104665</v>
      </c>
    </row>
    <row r="62" spans="1:3" x14ac:dyDescent="0.3">
      <c r="A62">
        <v>17525.97</v>
      </c>
      <c r="B62">
        <v>12645</v>
      </c>
      <c r="C62">
        <v>4880.97</v>
      </c>
    </row>
    <row r="63" spans="1:3" x14ac:dyDescent="0.3">
      <c r="A63">
        <v>17166.599999999999</v>
      </c>
      <c r="B63">
        <v>4335</v>
      </c>
      <c r="C63">
        <v>12831.6</v>
      </c>
    </row>
    <row r="64" spans="1:3" x14ac:dyDescent="0.3">
      <c r="A64">
        <v>40837.5</v>
      </c>
      <c r="B64">
        <v>39600</v>
      </c>
      <c r="C64">
        <v>1237.5</v>
      </c>
    </row>
    <row r="65" spans="1:3" x14ac:dyDescent="0.3">
      <c r="A65">
        <v>31731.48</v>
      </c>
      <c r="B65">
        <v>8013</v>
      </c>
      <c r="C65">
        <v>23718.48</v>
      </c>
    </row>
    <row r="66" spans="1:3" x14ac:dyDescent="0.3">
      <c r="A66">
        <v>9100.08</v>
      </c>
      <c r="B66">
        <v>2298</v>
      </c>
      <c r="C66">
        <v>6802.08</v>
      </c>
    </row>
    <row r="67" spans="1:3" x14ac:dyDescent="0.3">
      <c r="A67">
        <v>146718</v>
      </c>
      <c r="B67">
        <v>123500</v>
      </c>
      <c r="C67">
        <v>23218</v>
      </c>
    </row>
    <row r="68" spans="1:3" x14ac:dyDescent="0.3">
      <c r="A68">
        <v>484060.5</v>
      </c>
      <c r="B68">
        <v>363220</v>
      </c>
      <c r="C68">
        <v>120840.5</v>
      </c>
    </row>
    <row r="69" spans="1:3" x14ac:dyDescent="0.3">
      <c r="A69">
        <v>746707.5</v>
      </c>
      <c r="B69">
        <v>560300</v>
      </c>
      <c r="C69">
        <v>186407.5</v>
      </c>
    </row>
    <row r="70" spans="1:3" x14ac:dyDescent="0.3">
      <c r="A70">
        <v>32877.9</v>
      </c>
      <c r="B70">
        <v>22140</v>
      </c>
      <c r="C70">
        <v>10737.9</v>
      </c>
    </row>
    <row r="71" spans="1:3" x14ac:dyDescent="0.3">
      <c r="A71">
        <v>683397</v>
      </c>
      <c r="B71">
        <v>575250</v>
      </c>
      <c r="C71">
        <v>108147</v>
      </c>
    </row>
    <row r="72" spans="1:3" x14ac:dyDescent="0.3">
      <c r="A72">
        <v>27234.9</v>
      </c>
      <c r="B72">
        <v>13755</v>
      </c>
      <c r="C72">
        <v>13479.9</v>
      </c>
    </row>
    <row r="73" spans="1:3" x14ac:dyDescent="0.3">
      <c r="A73">
        <v>12681.9</v>
      </c>
      <c r="B73">
        <v>9150</v>
      </c>
      <c r="C73">
        <v>3531.9</v>
      </c>
    </row>
    <row r="74" spans="1:3" x14ac:dyDescent="0.3">
      <c r="A74">
        <v>741906</v>
      </c>
      <c r="B74">
        <v>624500</v>
      </c>
      <c r="C74">
        <v>117406</v>
      </c>
    </row>
    <row r="75" spans="1:3" x14ac:dyDescent="0.3">
      <c r="A75">
        <v>82046.25</v>
      </c>
      <c r="B75">
        <v>79560</v>
      </c>
      <c r="C75">
        <v>2486.25</v>
      </c>
    </row>
    <row r="76" spans="1:3" x14ac:dyDescent="0.3">
      <c r="A76">
        <v>22482.9</v>
      </c>
      <c r="B76">
        <v>15140</v>
      </c>
      <c r="C76">
        <v>7342.9</v>
      </c>
    </row>
    <row r="77" spans="1:3" x14ac:dyDescent="0.3">
      <c r="A77">
        <v>31133.03</v>
      </c>
      <c r="B77">
        <v>22462.5</v>
      </c>
      <c r="C77">
        <v>8670.5300000000007</v>
      </c>
    </row>
    <row r="78" spans="1:3" x14ac:dyDescent="0.3">
      <c r="A78">
        <v>89966.25</v>
      </c>
      <c r="B78">
        <v>87240</v>
      </c>
      <c r="C78">
        <v>2726.25</v>
      </c>
    </row>
    <row r="79" spans="1:3" x14ac:dyDescent="0.3">
      <c r="A79">
        <v>97391.25</v>
      </c>
      <c r="B79">
        <v>94440</v>
      </c>
      <c r="C79">
        <v>2951.25</v>
      </c>
    </row>
    <row r="80" spans="1:3" x14ac:dyDescent="0.3">
      <c r="A80">
        <v>225596.25</v>
      </c>
      <c r="B80">
        <v>218760</v>
      </c>
      <c r="C80">
        <v>6836.25</v>
      </c>
    </row>
    <row r="81" spans="1:3" x14ac:dyDescent="0.3">
      <c r="A81">
        <v>11092.95</v>
      </c>
      <c r="B81">
        <v>7470</v>
      </c>
      <c r="C81">
        <v>3622.95</v>
      </c>
    </row>
    <row r="82" spans="1:3" x14ac:dyDescent="0.3">
      <c r="A82">
        <v>9100.08</v>
      </c>
      <c r="B82">
        <v>2298</v>
      </c>
      <c r="C82">
        <v>6802.08</v>
      </c>
    </row>
    <row r="83" spans="1:3" x14ac:dyDescent="0.3">
      <c r="A83">
        <v>862785</v>
      </c>
      <c r="B83">
        <v>726250</v>
      </c>
      <c r="C83">
        <v>136535</v>
      </c>
    </row>
    <row r="84" spans="1:3" x14ac:dyDescent="0.3">
      <c r="A84">
        <v>746707.5</v>
      </c>
      <c r="B84">
        <v>560300</v>
      </c>
      <c r="C84">
        <v>186407.5</v>
      </c>
    </row>
    <row r="85" spans="1:3" x14ac:dyDescent="0.3">
      <c r="A85">
        <v>76507.199999999997</v>
      </c>
      <c r="B85">
        <v>38640</v>
      </c>
      <c r="C85">
        <v>37867.199999999997</v>
      </c>
    </row>
    <row r="86" spans="1:3" x14ac:dyDescent="0.3">
      <c r="A86">
        <v>2508.66</v>
      </c>
      <c r="B86">
        <v>1810</v>
      </c>
      <c r="C86">
        <v>698.66</v>
      </c>
    </row>
    <row r="87" spans="1:3" x14ac:dyDescent="0.3">
      <c r="A87">
        <v>114221.25</v>
      </c>
      <c r="B87">
        <v>110760</v>
      </c>
      <c r="C87">
        <v>3461.25</v>
      </c>
    </row>
    <row r="88" spans="1:3" x14ac:dyDescent="0.3">
      <c r="A88">
        <v>82046.25</v>
      </c>
      <c r="B88">
        <v>79560</v>
      </c>
      <c r="C88">
        <v>2486.25</v>
      </c>
    </row>
    <row r="89" spans="1:3" x14ac:dyDescent="0.3">
      <c r="A89">
        <v>14497.56</v>
      </c>
      <c r="B89">
        <v>10460</v>
      </c>
      <c r="C89">
        <v>4037.56</v>
      </c>
    </row>
    <row r="90" spans="1:3" x14ac:dyDescent="0.3">
      <c r="A90">
        <v>1822.59</v>
      </c>
      <c r="B90">
        <v>1315</v>
      </c>
      <c r="C90">
        <v>507.59</v>
      </c>
    </row>
    <row r="91" spans="1:3" x14ac:dyDescent="0.3">
      <c r="A91">
        <v>326922.75</v>
      </c>
      <c r="B91">
        <v>245310</v>
      </c>
      <c r="C91">
        <v>81612.75</v>
      </c>
    </row>
    <row r="92" spans="1:3" x14ac:dyDescent="0.3">
      <c r="A92">
        <v>89966.25</v>
      </c>
      <c r="B92">
        <v>87240</v>
      </c>
      <c r="C92">
        <v>2726.25</v>
      </c>
    </row>
    <row r="93" spans="1:3" x14ac:dyDescent="0.3">
      <c r="A93">
        <v>97391.25</v>
      </c>
      <c r="B93">
        <v>94440</v>
      </c>
      <c r="C93">
        <v>2951.25</v>
      </c>
    </row>
    <row r="94" spans="1:3" x14ac:dyDescent="0.3">
      <c r="A94">
        <v>292842</v>
      </c>
      <c r="B94">
        <v>246500</v>
      </c>
      <c r="C94">
        <v>46342</v>
      </c>
    </row>
    <row r="95" spans="1:3" x14ac:dyDescent="0.3">
      <c r="A95">
        <v>146718</v>
      </c>
      <c r="B95">
        <v>123500</v>
      </c>
      <c r="C95">
        <v>23218</v>
      </c>
    </row>
    <row r="96" spans="1:3" x14ac:dyDescent="0.3">
      <c r="A96">
        <v>484060.5</v>
      </c>
      <c r="B96">
        <v>363220</v>
      </c>
      <c r="C96">
        <v>120840.5</v>
      </c>
    </row>
    <row r="97" spans="1:3" x14ac:dyDescent="0.3">
      <c r="A97">
        <v>215820</v>
      </c>
      <c r="B97">
        <v>209280</v>
      </c>
      <c r="C97">
        <v>6540</v>
      </c>
    </row>
    <row r="98" spans="1:3" x14ac:dyDescent="0.3">
      <c r="A98">
        <v>23629.32</v>
      </c>
      <c r="B98">
        <v>5967</v>
      </c>
      <c r="C98">
        <v>17662.32</v>
      </c>
    </row>
    <row r="99" spans="1:3" x14ac:dyDescent="0.3">
      <c r="A99">
        <v>4766.8500000000004</v>
      </c>
      <c r="B99">
        <v>3210</v>
      </c>
      <c r="C99">
        <v>1556.85</v>
      </c>
    </row>
    <row r="100" spans="1:3" x14ac:dyDescent="0.3">
      <c r="A100">
        <v>90956.25</v>
      </c>
      <c r="B100">
        <v>89100</v>
      </c>
      <c r="C100">
        <v>1856.25</v>
      </c>
    </row>
    <row r="101" spans="1:3" x14ac:dyDescent="0.3">
      <c r="A101">
        <v>15229.2</v>
      </c>
      <c r="B101">
        <v>3885</v>
      </c>
      <c r="C101">
        <v>11344.2</v>
      </c>
    </row>
    <row r="102" spans="1:3" x14ac:dyDescent="0.3">
      <c r="A102">
        <v>62916</v>
      </c>
      <c r="B102">
        <v>53500</v>
      </c>
      <c r="C102">
        <v>9416</v>
      </c>
    </row>
    <row r="103" spans="1:3" x14ac:dyDescent="0.3">
      <c r="A103">
        <v>14714.7</v>
      </c>
      <c r="B103">
        <v>10725</v>
      </c>
      <c r="C103">
        <v>3989.7</v>
      </c>
    </row>
    <row r="104" spans="1:3" x14ac:dyDescent="0.3">
      <c r="A104">
        <v>978236</v>
      </c>
      <c r="B104">
        <v>741520</v>
      </c>
      <c r="C104">
        <v>236716</v>
      </c>
    </row>
    <row r="105" spans="1:3" x14ac:dyDescent="0.3">
      <c r="A105">
        <v>13429.92</v>
      </c>
      <c r="B105">
        <v>3426</v>
      </c>
      <c r="C105">
        <v>10003.92</v>
      </c>
    </row>
    <row r="106" spans="1:3" x14ac:dyDescent="0.3">
      <c r="A106">
        <v>30693.599999999999</v>
      </c>
      <c r="B106">
        <v>15660</v>
      </c>
      <c r="C106">
        <v>15033.6</v>
      </c>
    </row>
    <row r="107" spans="1:3" x14ac:dyDescent="0.3">
      <c r="A107">
        <v>8114.4</v>
      </c>
      <c r="B107">
        <v>2070</v>
      </c>
      <c r="C107">
        <v>6044.4</v>
      </c>
    </row>
    <row r="108" spans="1:3" x14ac:dyDescent="0.3">
      <c r="A108">
        <v>203350</v>
      </c>
      <c r="B108">
        <v>199200</v>
      </c>
      <c r="C108">
        <v>4150</v>
      </c>
    </row>
    <row r="109" spans="1:3" x14ac:dyDescent="0.3">
      <c r="A109">
        <v>34736.1</v>
      </c>
      <c r="B109">
        <v>23630</v>
      </c>
      <c r="C109">
        <v>11106.1</v>
      </c>
    </row>
    <row r="110" spans="1:3" x14ac:dyDescent="0.3">
      <c r="A110">
        <v>269892</v>
      </c>
      <c r="B110">
        <v>229500</v>
      </c>
      <c r="C110">
        <v>40392</v>
      </c>
    </row>
    <row r="111" spans="1:3" x14ac:dyDescent="0.3">
      <c r="A111">
        <v>508032</v>
      </c>
      <c r="B111">
        <v>432000</v>
      </c>
      <c r="C111">
        <v>76032</v>
      </c>
    </row>
    <row r="112" spans="1:3" x14ac:dyDescent="0.3">
      <c r="A112">
        <v>13429.92</v>
      </c>
      <c r="B112">
        <v>3426</v>
      </c>
      <c r="C112">
        <v>10003.92</v>
      </c>
    </row>
    <row r="113" spans="1:3" x14ac:dyDescent="0.3">
      <c r="A113">
        <v>81095</v>
      </c>
      <c r="B113">
        <v>79440</v>
      </c>
      <c r="C113">
        <v>1655</v>
      </c>
    </row>
    <row r="114" spans="1:3" x14ac:dyDescent="0.3">
      <c r="A114">
        <v>15229.2</v>
      </c>
      <c r="B114">
        <v>3885</v>
      </c>
      <c r="C114">
        <v>11344.2</v>
      </c>
    </row>
    <row r="115" spans="1:3" x14ac:dyDescent="0.3">
      <c r="A115">
        <v>99102.5</v>
      </c>
      <c r="B115">
        <v>97080</v>
      </c>
      <c r="C115">
        <v>2022.5</v>
      </c>
    </row>
    <row r="116" spans="1:3" x14ac:dyDescent="0.3">
      <c r="A116">
        <v>262762.5</v>
      </c>
      <c r="B116">
        <v>257400</v>
      </c>
      <c r="C116">
        <v>5362.5</v>
      </c>
    </row>
    <row r="117" spans="1:3" x14ac:dyDescent="0.3">
      <c r="A117">
        <v>20991.599999999999</v>
      </c>
      <c r="B117">
        <v>5355</v>
      </c>
      <c r="C117">
        <v>15636.6</v>
      </c>
    </row>
    <row r="118" spans="1:3" x14ac:dyDescent="0.3">
      <c r="A118">
        <v>563304</v>
      </c>
      <c r="B118">
        <v>479000</v>
      </c>
      <c r="C118">
        <v>84304</v>
      </c>
    </row>
    <row r="119" spans="1:3" x14ac:dyDescent="0.3">
      <c r="A119">
        <v>978236</v>
      </c>
      <c r="B119">
        <v>741520</v>
      </c>
      <c r="C119">
        <v>236716</v>
      </c>
    </row>
    <row r="120" spans="1:3" x14ac:dyDescent="0.3">
      <c r="A120">
        <v>334302.5</v>
      </c>
      <c r="B120">
        <v>327480</v>
      </c>
      <c r="C120">
        <v>6822.5</v>
      </c>
    </row>
    <row r="121" spans="1:3" x14ac:dyDescent="0.3">
      <c r="A121">
        <v>28297.5</v>
      </c>
      <c r="B121">
        <v>19250</v>
      </c>
      <c r="C121">
        <v>9047.5</v>
      </c>
    </row>
    <row r="122" spans="1:3" x14ac:dyDescent="0.3">
      <c r="A122">
        <v>13809.18</v>
      </c>
      <c r="B122">
        <v>10065</v>
      </c>
      <c r="C122">
        <v>3744.18</v>
      </c>
    </row>
    <row r="123" spans="1:3" x14ac:dyDescent="0.3">
      <c r="A123">
        <v>12406.8</v>
      </c>
      <c r="B123">
        <v>3165</v>
      </c>
      <c r="C123">
        <v>9241.7999999999993</v>
      </c>
    </row>
    <row r="124" spans="1:3" x14ac:dyDescent="0.3">
      <c r="A124">
        <v>12747.84</v>
      </c>
      <c r="B124">
        <v>3252</v>
      </c>
      <c r="C124">
        <v>9495.84</v>
      </c>
    </row>
    <row r="125" spans="1:3" x14ac:dyDescent="0.3">
      <c r="A125">
        <v>30693.599999999999</v>
      </c>
      <c r="B125">
        <v>15660</v>
      </c>
      <c r="C125">
        <v>15033.6</v>
      </c>
    </row>
    <row r="126" spans="1:3" x14ac:dyDescent="0.3">
      <c r="A126">
        <v>1017338</v>
      </c>
      <c r="B126">
        <v>771160</v>
      </c>
      <c r="C126">
        <v>246178</v>
      </c>
    </row>
    <row r="127" spans="1:3" x14ac:dyDescent="0.3">
      <c r="A127">
        <v>986811</v>
      </c>
      <c r="B127">
        <v>748020</v>
      </c>
      <c r="C127">
        <v>238791</v>
      </c>
    </row>
    <row r="128" spans="1:3" x14ac:dyDescent="0.3">
      <c r="A128">
        <v>99102.5</v>
      </c>
      <c r="B128">
        <v>97080</v>
      </c>
      <c r="C128">
        <v>2022.5</v>
      </c>
    </row>
    <row r="129" spans="1:3" x14ac:dyDescent="0.3">
      <c r="A129">
        <v>262762.5</v>
      </c>
      <c r="B129">
        <v>257400</v>
      </c>
      <c r="C129">
        <v>5362.5</v>
      </c>
    </row>
    <row r="130" spans="1:3" x14ac:dyDescent="0.3">
      <c r="A130">
        <v>12406.8</v>
      </c>
      <c r="B130">
        <v>3165</v>
      </c>
      <c r="C130">
        <v>9241.7999999999993</v>
      </c>
    </row>
    <row r="131" spans="1:3" x14ac:dyDescent="0.3">
      <c r="A131">
        <v>10662.4</v>
      </c>
      <c r="B131">
        <v>5440</v>
      </c>
      <c r="C131">
        <v>5222.3999999999996</v>
      </c>
    </row>
    <row r="132" spans="1:3" x14ac:dyDescent="0.3">
      <c r="A132">
        <v>12747.84</v>
      </c>
      <c r="B132">
        <v>3252</v>
      </c>
      <c r="C132">
        <v>9495.84</v>
      </c>
    </row>
    <row r="133" spans="1:3" x14ac:dyDescent="0.3">
      <c r="A133">
        <v>81095</v>
      </c>
      <c r="B133">
        <v>79440</v>
      </c>
      <c r="C133">
        <v>1655</v>
      </c>
    </row>
    <row r="134" spans="1:3" x14ac:dyDescent="0.3">
      <c r="A134">
        <v>62916</v>
      </c>
      <c r="B134">
        <v>53500</v>
      </c>
      <c r="C134">
        <v>9416</v>
      </c>
    </row>
    <row r="135" spans="1:3" x14ac:dyDescent="0.3">
      <c r="A135">
        <v>986811</v>
      </c>
      <c r="B135">
        <v>748020</v>
      </c>
      <c r="C135">
        <v>238791</v>
      </c>
    </row>
    <row r="136" spans="1:3" x14ac:dyDescent="0.3">
      <c r="A136">
        <v>334302.5</v>
      </c>
      <c r="B136">
        <v>327480</v>
      </c>
      <c r="C136">
        <v>6822.5</v>
      </c>
    </row>
    <row r="137" spans="1:3" x14ac:dyDescent="0.3">
      <c r="A137">
        <v>91238</v>
      </c>
      <c r="B137">
        <v>69160</v>
      </c>
      <c r="C137">
        <v>22078</v>
      </c>
    </row>
    <row r="138" spans="1:3" x14ac:dyDescent="0.3">
      <c r="A138">
        <v>665420</v>
      </c>
      <c r="B138">
        <v>504400</v>
      </c>
      <c r="C138">
        <v>161020</v>
      </c>
    </row>
    <row r="139" spans="1:3" x14ac:dyDescent="0.3">
      <c r="A139">
        <v>76146</v>
      </c>
      <c r="B139">
        <v>64750</v>
      </c>
      <c r="C139">
        <v>11396</v>
      </c>
    </row>
    <row r="140" spans="1:3" x14ac:dyDescent="0.3">
      <c r="A140">
        <v>323694</v>
      </c>
      <c r="B140">
        <v>275250</v>
      </c>
      <c r="C140">
        <v>48444</v>
      </c>
    </row>
    <row r="141" spans="1:3" x14ac:dyDescent="0.3">
      <c r="A141">
        <v>278810</v>
      </c>
      <c r="B141">
        <v>273120</v>
      </c>
      <c r="C141">
        <v>5690</v>
      </c>
    </row>
    <row r="142" spans="1:3" x14ac:dyDescent="0.3">
      <c r="A142">
        <v>1017338</v>
      </c>
      <c r="B142">
        <v>771160</v>
      </c>
      <c r="C142">
        <v>246178</v>
      </c>
    </row>
    <row r="143" spans="1:3" x14ac:dyDescent="0.3">
      <c r="A143">
        <v>24225.599999999999</v>
      </c>
      <c r="B143">
        <v>12360</v>
      </c>
      <c r="C143">
        <v>11865.6</v>
      </c>
    </row>
    <row r="144" spans="1:3" x14ac:dyDescent="0.3">
      <c r="A144">
        <v>18443.599999999999</v>
      </c>
      <c r="B144">
        <v>9410</v>
      </c>
      <c r="C144">
        <v>9033.6</v>
      </c>
    </row>
    <row r="145" spans="1:3" x14ac:dyDescent="0.3">
      <c r="A145">
        <v>563304</v>
      </c>
      <c r="B145">
        <v>479000</v>
      </c>
      <c r="C145">
        <v>84304</v>
      </c>
    </row>
    <row r="146" spans="1:3" x14ac:dyDescent="0.3">
      <c r="A146">
        <v>514524.38</v>
      </c>
      <c r="B146">
        <v>509220</v>
      </c>
      <c r="C146">
        <v>5304.38</v>
      </c>
    </row>
    <row r="147" spans="1:3" x14ac:dyDescent="0.3">
      <c r="A147">
        <v>50052</v>
      </c>
      <c r="B147">
        <v>25800</v>
      </c>
      <c r="C147">
        <v>24252</v>
      </c>
    </row>
    <row r="148" spans="1:3" x14ac:dyDescent="0.3">
      <c r="A148">
        <v>200499</v>
      </c>
      <c r="B148">
        <v>172250</v>
      </c>
      <c r="C148">
        <v>28249</v>
      </c>
    </row>
    <row r="149" spans="1:3" x14ac:dyDescent="0.3">
      <c r="A149">
        <v>22663.08</v>
      </c>
      <c r="B149">
        <v>5841</v>
      </c>
      <c r="C149">
        <v>16822.080000000002</v>
      </c>
    </row>
    <row r="150" spans="1:3" x14ac:dyDescent="0.3">
      <c r="A150">
        <v>10569.12</v>
      </c>
      <c r="B150">
        <v>2724</v>
      </c>
      <c r="C150">
        <v>7845.12</v>
      </c>
    </row>
    <row r="151" spans="1:3" x14ac:dyDescent="0.3">
      <c r="A151">
        <v>13294.82</v>
      </c>
      <c r="B151">
        <v>9790</v>
      </c>
      <c r="C151">
        <v>3504.82</v>
      </c>
    </row>
    <row r="152" spans="1:3" x14ac:dyDescent="0.3">
      <c r="A152">
        <v>22127.64</v>
      </c>
      <c r="B152">
        <v>5703</v>
      </c>
      <c r="C152">
        <v>16424.64</v>
      </c>
    </row>
    <row r="153" spans="1:3" x14ac:dyDescent="0.3">
      <c r="A153">
        <v>3693.76</v>
      </c>
      <c r="B153">
        <v>2720</v>
      </c>
      <c r="C153">
        <v>973.76</v>
      </c>
    </row>
    <row r="154" spans="1:3" x14ac:dyDescent="0.3">
      <c r="A154">
        <v>610081.5</v>
      </c>
      <c r="B154">
        <v>467220</v>
      </c>
      <c r="C154">
        <v>142861.5</v>
      </c>
    </row>
    <row r="155" spans="1:3" x14ac:dyDescent="0.3">
      <c r="A155">
        <v>156048.75</v>
      </c>
      <c r="B155">
        <v>154440</v>
      </c>
      <c r="C155">
        <v>1608.75</v>
      </c>
    </row>
    <row r="156" spans="1:3" x14ac:dyDescent="0.3">
      <c r="A156">
        <v>206852.5</v>
      </c>
      <c r="B156">
        <v>204720</v>
      </c>
      <c r="C156">
        <v>2132.5</v>
      </c>
    </row>
    <row r="157" spans="1:3" x14ac:dyDescent="0.3">
      <c r="A157">
        <v>708439.5</v>
      </c>
      <c r="B157">
        <v>608625</v>
      </c>
      <c r="C157">
        <v>99814.5</v>
      </c>
    </row>
    <row r="158" spans="1:3" x14ac:dyDescent="0.3">
      <c r="A158">
        <v>215097.5</v>
      </c>
      <c r="B158">
        <v>212880</v>
      </c>
      <c r="C158">
        <v>2217.5</v>
      </c>
    </row>
    <row r="159" spans="1:3" x14ac:dyDescent="0.3">
      <c r="A159">
        <v>22127.64</v>
      </c>
      <c r="B159">
        <v>5703</v>
      </c>
      <c r="C159">
        <v>16424.64</v>
      </c>
    </row>
    <row r="160" spans="1:3" x14ac:dyDescent="0.3">
      <c r="A160">
        <v>200499</v>
      </c>
      <c r="B160">
        <v>172250</v>
      </c>
      <c r="C160">
        <v>28249</v>
      </c>
    </row>
    <row r="161" spans="1:3" x14ac:dyDescent="0.3">
      <c r="A161">
        <v>190362.5</v>
      </c>
      <c r="B161">
        <v>188400</v>
      </c>
      <c r="C161">
        <v>1962.5</v>
      </c>
    </row>
    <row r="162" spans="1:3" x14ac:dyDescent="0.3">
      <c r="A162">
        <v>15940.98</v>
      </c>
      <c r="B162">
        <v>4108.5</v>
      </c>
      <c r="C162">
        <v>11832.48</v>
      </c>
    </row>
    <row r="163" spans="1:3" x14ac:dyDescent="0.3">
      <c r="A163">
        <v>243591.25</v>
      </c>
      <c r="B163">
        <v>241080</v>
      </c>
      <c r="C163">
        <v>2511.25</v>
      </c>
    </row>
    <row r="164" spans="1:3" x14ac:dyDescent="0.3">
      <c r="A164">
        <v>28299.75</v>
      </c>
      <c r="B164">
        <v>19450</v>
      </c>
      <c r="C164">
        <v>8849.75</v>
      </c>
    </row>
    <row r="165" spans="1:3" x14ac:dyDescent="0.3">
      <c r="A165">
        <v>156048.75</v>
      </c>
      <c r="B165">
        <v>154440</v>
      </c>
      <c r="C165">
        <v>1608.75</v>
      </c>
    </row>
    <row r="166" spans="1:3" x14ac:dyDescent="0.3">
      <c r="A166">
        <v>206852.5</v>
      </c>
      <c r="B166">
        <v>204720</v>
      </c>
      <c r="C166">
        <v>2132.5</v>
      </c>
    </row>
    <row r="167" spans="1:3" x14ac:dyDescent="0.3">
      <c r="A167">
        <v>243591.25</v>
      </c>
      <c r="B167">
        <v>241080</v>
      </c>
      <c r="C167">
        <v>2511.25</v>
      </c>
    </row>
    <row r="168" spans="1:3" x14ac:dyDescent="0.3">
      <c r="A168">
        <v>827604</v>
      </c>
      <c r="B168">
        <v>711000</v>
      </c>
      <c r="C168">
        <v>116604</v>
      </c>
    </row>
    <row r="169" spans="1:3" x14ac:dyDescent="0.3">
      <c r="A169">
        <v>22302.240000000002</v>
      </c>
      <c r="B169">
        <v>5748</v>
      </c>
      <c r="C169">
        <v>16554.240000000002</v>
      </c>
    </row>
    <row r="170" spans="1:3" x14ac:dyDescent="0.3">
      <c r="A170">
        <v>190362.5</v>
      </c>
      <c r="B170">
        <v>188400</v>
      </c>
      <c r="C170">
        <v>1962.5</v>
      </c>
    </row>
    <row r="171" spans="1:3" x14ac:dyDescent="0.3">
      <c r="A171">
        <v>545334</v>
      </c>
      <c r="B171">
        <v>468500</v>
      </c>
      <c r="C171">
        <v>76834</v>
      </c>
    </row>
    <row r="172" spans="1:3" x14ac:dyDescent="0.3">
      <c r="A172">
        <v>557459</v>
      </c>
      <c r="B172">
        <v>426920</v>
      </c>
      <c r="C172">
        <v>130539</v>
      </c>
    </row>
    <row r="173" spans="1:3" x14ac:dyDescent="0.3">
      <c r="A173">
        <v>28299.75</v>
      </c>
      <c r="B173">
        <v>19450</v>
      </c>
      <c r="C173">
        <v>8849.75</v>
      </c>
    </row>
    <row r="174" spans="1:3" x14ac:dyDescent="0.3">
      <c r="A174">
        <v>16121.4</v>
      </c>
      <c r="B174">
        <v>8310</v>
      </c>
      <c r="C174">
        <v>7811.4</v>
      </c>
    </row>
    <row r="175" spans="1:3" x14ac:dyDescent="0.3">
      <c r="A175">
        <v>11950.4</v>
      </c>
      <c r="B175">
        <v>8800</v>
      </c>
      <c r="C175">
        <v>3150.4</v>
      </c>
    </row>
    <row r="176" spans="1:3" x14ac:dyDescent="0.3">
      <c r="A176">
        <v>74699.7</v>
      </c>
      <c r="B176">
        <v>38505</v>
      </c>
      <c r="C176">
        <v>36194.699999999997</v>
      </c>
    </row>
    <row r="177" spans="1:3" x14ac:dyDescent="0.3">
      <c r="A177">
        <v>28855.56</v>
      </c>
      <c r="B177">
        <v>7437</v>
      </c>
      <c r="C177">
        <v>21418.560000000001</v>
      </c>
    </row>
    <row r="178" spans="1:3" x14ac:dyDescent="0.3">
      <c r="A178">
        <v>29246.400000000001</v>
      </c>
      <c r="B178">
        <v>20310</v>
      </c>
      <c r="C178">
        <v>8936.4</v>
      </c>
    </row>
    <row r="179" spans="1:3" x14ac:dyDescent="0.3">
      <c r="A179">
        <v>29246.400000000001</v>
      </c>
      <c r="B179">
        <v>20310</v>
      </c>
      <c r="C179">
        <v>8936.4</v>
      </c>
    </row>
    <row r="180" spans="1:3" x14ac:dyDescent="0.3">
      <c r="A180">
        <v>32558.400000000001</v>
      </c>
      <c r="B180">
        <v>22610</v>
      </c>
      <c r="C180">
        <v>9948.4</v>
      </c>
    </row>
    <row r="181" spans="1:3" x14ac:dyDescent="0.3">
      <c r="A181">
        <v>14131.2</v>
      </c>
      <c r="B181">
        <v>7360</v>
      </c>
      <c r="C181">
        <v>6771.2</v>
      </c>
    </row>
    <row r="182" spans="1:3" x14ac:dyDescent="0.3">
      <c r="A182">
        <v>19158.72</v>
      </c>
      <c r="B182">
        <v>14255</v>
      </c>
      <c r="C182">
        <v>4903.72</v>
      </c>
    </row>
    <row r="183" spans="1:3" x14ac:dyDescent="0.3">
      <c r="A183">
        <v>582048</v>
      </c>
      <c r="B183">
        <v>505250</v>
      </c>
      <c r="C183">
        <v>76798</v>
      </c>
    </row>
    <row r="184" spans="1:3" x14ac:dyDescent="0.3">
      <c r="A184">
        <v>92064</v>
      </c>
      <c r="B184">
        <v>71240</v>
      </c>
      <c r="C184">
        <v>20824</v>
      </c>
    </row>
    <row r="185" spans="1:3" x14ac:dyDescent="0.3">
      <c r="A185">
        <v>28324.799999999999</v>
      </c>
      <c r="B185">
        <v>19670</v>
      </c>
      <c r="C185">
        <v>8654.7999999999993</v>
      </c>
    </row>
    <row r="186" spans="1:3" x14ac:dyDescent="0.3">
      <c r="A186">
        <v>535392</v>
      </c>
      <c r="B186">
        <v>464750</v>
      </c>
      <c r="C186">
        <v>70642</v>
      </c>
    </row>
    <row r="187" spans="1:3" x14ac:dyDescent="0.3">
      <c r="A187">
        <v>19158.72</v>
      </c>
      <c r="B187">
        <v>14255</v>
      </c>
      <c r="C187">
        <v>4903.72</v>
      </c>
    </row>
    <row r="188" spans="1:3" x14ac:dyDescent="0.3">
      <c r="A188">
        <v>582048</v>
      </c>
      <c r="B188">
        <v>505250</v>
      </c>
      <c r="C188">
        <v>76798</v>
      </c>
    </row>
    <row r="189" spans="1:3" x14ac:dyDescent="0.3">
      <c r="A189">
        <v>136560</v>
      </c>
      <c r="B189">
        <v>136560</v>
      </c>
      <c r="C189">
        <f>A189-B189</f>
        <v>0</v>
      </c>
    </row>
    <row r="190" spans="1:3" x14ac:dyDescent="0.3">
      <c r="A190">
        <v>28566.720000000001</v>
      </c>
      <c r="B190">
        <v>21255</v>
      </c>
      <c r="C190">
        <v>7311.72</v>
      </c>
    </row>
    <row r="191" spans="1:3" x14ac:dyDescent="0.3">
      <c r="A191">
        <v>95400</v>
      </c>
      <c r="B191">
        <v>95400</v>
      </c>
      <c r="C191">
        <f>A191-B191</f>
        <v>0</v>
      </c>
    </row>
    <row r="192" spans="1:3" x14ac:dyDescent="0.3">
      <c r="A192">
        <v>407376</v>
      </c>
      <c r="B192">
        <v>353625</v>
      </c>
      <c r="C192">
        <v>53751</v>
      </c>
    </row>
    <row r="193" spans="1:3" x14ac:dyDescent="0.3">
      <c r="A193">
        <v>840384</v>
      </c>
      <c r="B193">
        <v>729500</v>
      </c>
      <c r="C193">
        <v>110884</v>
      </c>
    </row>
    <row r="194" spans="1:3" x14ac:dyDescent="0.3">
      <c r="A194">
        <v>1159200</v>
      </c>
      <c r="B194">
        <v>897000</v>
      </c>
      <c r="C194">
        <v>262200</v>
      </c>
    </row>
    <row r="195" spans="1:3" x14ac:dyDescent="0.3">
      <c r="A195">
        <v>358560</v>
      </c>
      <c r="B195">
        <v>358560</v>
      </c>
      <c r="C195">
        <f>A195-B195</f>
        <v>0</v>
      </c>
    </row>
    <row r="196" spans="1:3" x14ac:dyDescent="0.3">
      <c r="A196">
        <v>3139.2</v>
      </c>
      <c r="B196">
        <v>2180</v>
      </c>
      <c r="C196">
        <v>959.2</v>
      </c>
    </row>
    <row r="197" spans="1:3" x14ac:dyDescent="0.3">
      <c r="A197">
        <v>39820.800000000003</v>
      </c>
      <c r="B197">
        <v>20740</v>
      </c>
      <c r="C197">
        <v>19080.8</v>
      </c>
    </row>
    <row r="198" spans="1:3" x14ac:dyDescent="0.3">
      <c r="A198">
        <v>20275.2</v>
      </c>
      <c r="B198">
        <v>10560</v>
      </c>
      <c r="C198">
        <v>9715.2000000000007</v>
      </c>
    </row>
    <row r="199" spans="1:3" x14ac:dyDescent="0.3">
      <c r="A199">
        <v>9662.4</v>
      </c>
      <c r="B199">
        <v>6710</v>
      </c>
      <c r="C199">
        <v>2952.4</v>
      </c>
    </row>
    <row r="200" spans="1:3" x14ac:dyDescent="0.3">
      <c r="A200">
        <v>21801.599999999999</v>
      </c>
      <c r="B200">
        <v>15140</v>
      </c>
      <c r="C200">
        <v>6661.6</v>
      </c>
    </row>
    <row r="201" spans="1:3" x14ac:dyDescent="0.3">
      <c r="A201">
        <v>92064</v>
      </c>
      <c r="B201">
        <v>71240</v>
      </c>
      <c r="C201">
        <v>20824</v>
      </c>
    </row>
    <row r="202" spans="1:3" x14ac:dyDescent="0.3">
      <c r="A202">
        <v>136560</v>
      </c>
      <c r="B202">
        <v>136560</v>
      </c>
      <c r="C202">
        <f>A202-B202</f>
        <v>0</v>
      </c>
    </row>
    <row r="203" spans="1:3" x14ac:dyDescent="0.3">
      <c r="A203">
        <v>16876.8</v>
      </c>
      <c r="B203">
        <v>4395</v>
      </c>
      <c r="C203">
        <v>12481.8</v>
      </c>
    </row>
    <row r="204" spans="1:3" x14ac:dyDescent="0.3">
      <c r="A204">
        <v>50803.199999999997</v>
      </c>
      <c r="B204">
        <v>26460</v>
      </c>
      <c r="C204">
        <v>24343.200000000001</v>
      </c>
    </row>
    <row r="205" spans="1:3" x14ac:dyDescent="0.3">
      <c r="A205">
        <v>731472</v>
      </c>
      <c r="B205">
        <v>566020</v>
      </c>
      <c r="C205">
        <v>165452</v>
      </c>
    </row>
    <row r="206" spans="1:3" x14ac:dyDescent="0.3">
      <c r="A206">
        <v>9976.32</v>
      </c>
      <c r="B206">
        <v>2598</v>
      </c>
      <c r="C206">
        <v>7378.32</v>
      </c>
    </row>
    <row r="207" spans="1:3" x14ac:dyDescent="0.3">
      <c r="A207">
        <v>117264</v>
      </c>
      <c r="B207">
        <v>90740</v>
      </c>
      <c r="C207">
        <v>26524</v>
      </c>
    </row>
    <row r="208" spans="1:3" x14ac:dyDescent="0.3">
      <c r="A208">
        <v>731472</v>
      </c>
      <c r="B208">
        <v>566020</v>
      </c>
      <c r="C208">
        <v>165452</v>
      </c>
    </row>
    <row r="209" spans="1:3" x14ac:dyDescent="0.3">
      <c r="A209">
        <v>21801.599999999999</v>
      </c>
      <c r="B209">
        <v>15140</v>
      </c>
      <c r="C209">
        <v>6661.6</v>
      </c>
    </row>
    <row r="210" spans="1:3" x14ac:dyDescent="0.3">
      <c r="A210">
        <v>626640</v>
      </c>
      <c r="B210">
        <v>484900</v>
      </c>
      <c r="C210">
        <v>141740</v>
      </c>
    </row>
    <row r="211" spans="1:3" x14ac:dyDescent="0.3">
      <c r="A211">
        <v>128880</v>
      </c>
      <c r="B211">
        <v>128880</v>
      </c>
      <c r="C211">
        <f>A211-B211</f>
        <v>0</v>
      </c>
    </row>
    <row r="212" spans="1:3" x14ac:dyDescent="0.3">
      <c r="A212">
        <v>640752</v>
      </c>
      <c r="B212">
        <v>495820</v>
      </c>
      <c r="C212">
        <v>144932</v>
      </c>
    </row>
    <row r="213" spans="1:3" x14ac:dyDescent="0.3">
      <c r="A213">
        <v>9662.4</v>
      </c>
      <c r="B213">
        <v>6710</v>
      </c>
      <c r="C213">
        <v>2952.4</v>
      </c>
    </row>
    <row r="214" spans="1:3" x14ac:dyDescent="0.3">
      <c r="A214">
        <v>597408</v>
      </c>
      <c r="B214">
        <v>462280</v>
      </c>
      <c r="C214">
        <v>135128</v>
      </c>
    </row>
    <row r="215" spans="1:3" x14ac:dyDescent="0.3">
      <c r="A215">
        <v>7707.35</v>
      </c>
      <c r="B215">
        <v>5795</v>
      </c>
      <c r="C215">
        <v>1912.35</v>
      </c>
    </row>
    <row r="216" spans="1:3" x14ac:dyDescent="0.3">
      <c r="A216">
        <v>9123.7999999999993</v>
      </c>
      <c r="B216">
        <v>6860</v>
      </c>
      <c r="C216">
        <v>2263.8000000000002</v>
      </c>
    </row>
    <row r="217" spans="1:3" x14ac:dyDescent="0.3">
      <c r="A217">
        <v>15620.85</v>
      </c>
      <c r="B217">
        <v>11745</v>
      </c>
      <c r="C217">
        <v>3875.85</v>
      </c>
    </row>
    <row r="218" spans="1:3" x14ac:dyDescent="0.3">
      <c r="A218">
        <v>17881.849999999999</v>
      </c>
      <c r="B218">
        <v>13445</v>
      </c>
      <c r="C218">
        <v>4436.8500000000004</v>
      </c>
    </row>
    <row r="219" spans="1:3" x14ac:dyDescent="0.3">
      <c r="A219">
        <v>27713.4</v>
      </c>
      <c r="B219">
        <v>7293</v>
      </c>
      <c r="C219">
        <v>20420.400000000001</v>
      </c>
    </row>
    <row r="220" spans="1:3" x14ac:dyDescent="0.3">
      <c r="A220">
        <v>27713.4</v>
      </c>
      <c r="B220">
        <v>7293</v>
      </c>
      <c r="C220">
        <v>20420.400000000001</v>
      </c>
    </row>
    <row r="221" spans="1:3" x14ac:dyDescent="0.3">
      <c r="A221">
        <v>17881.849999999999</v>
      </c>
      <c r="B221">
        <v>13445</v>
      </c>
      <c r="C221">
        <v>4436.8500000000004</v>
      </c>
    </row>
    <row r="222" spans="1:3" x14ac:dyDescent="0.3">
      <c r="A222">
        <v>11191.95</v>
      </c>
      <c r="B222">
        <v>8415</v>
      </c>
      <c r="C222">
        <v>2776.95</v>
      </c>
    </row>
    <row r="223" spans="1:3" x14ac:dyDescent="0.3">
      <c r="A223">
        <v>12802.2</v>
      </c>
      <c r="B223">
        <v>3369</v>
      </c>
      <c r="C223">
        <v>9433.2000000000007</v>
      </c>
    </row>
    <row r="224" spans="1:3" x14ac:dyDescent="0.3">
      <c r="A224">
        <v>7707.35</v>
      </c>
      <c r="B224">
        <v>5795</v>
      </c>
      <c r="C224">
        <v>1912.35</v>
      </c>
    </row>
    <row r="225" spans="1:3" x14ac:dyDescent="0.3">
      <c r="A225">
        <v>21261</v>
      </c>
      <c r="B225">
        <v>5595</v>
      </c>
      <c r="C225">
        <v>15666</v>
      </c>
    </row>
    <row r="226" spans="1:3" x14ac:dyDescent="0.3">
      <c r="A226">
        <v>12722.4</v>
      </c>
      <c r="B226">
        <v>3348</v>
      </c>
      <c r="C226">
        <v>9374.4</v>
      </c>
    </row>
    <row r="227" spans="1:3" x14ac:dyDescent="0.3">
      <c r="A227">
        <v>29697</v>
      </c>
      <c r="B227">
        <v>15630</v>
      </c>
      <c r="C227">
        <v>14067</v>
      </c>
    </row>
    <row r="228" spans="1:3" x14ac:dyDescent="0.3">
      <c r="A228">
        <v>282435</v>
      </c>
      <c r="B228">
        <v>247750</v>
      </c>
      <c r="C228">
        <v>34685</v>
      </c>
    </row>
    <row r="229" spans="1:3" x14ac:dyDescent="0.3">
      <c r="A229">
        <v>6756.4</v>
      </c>
      <c r="B229">
        <v>5080</v>
      </c>
      <c r="C229">
        <v>1676.4</v>
      </c>
    </row>
    <row r="230" spans="1:3" x14ac:dyDescent="0.3">
      <c r="A230">
        <v>39771.75</v>
      </c>
      <c r="B230">
        <v>27910</v>
      </c>
      <c r="C230">
        <v>11861.75</v>
      </c>
    </row>
    <row r="231" spans="1:3" x14ac:dyDescent="0.3">
      <c r="A231">
        <v>3790.5</v>
      </c>
      <c r="B231">
        <v>2850</v>
      </c>
      <c r="C231">
        <v>940.5</v>
      </c>
    </row>
    <row r="232" spans="1:3" x14ac:dyDescent="0.3">
      <c r="A232">
        <v>16538.55</v>
      </c>
      <c r="B232">
        <v>12435</v>
      </c>
      <c r="C232">
        <v>4103.55</v>
      </c>
    </row>
    <row r="233" spans="1:3" x14ac:dyDescent="0.3">
      <c r="A233">
        <v>460346.25</v>
      </c>
      <c r="B233">
        <v>359970</v>
      </c>
      <c r="C233">
        <v>100376.25</v>
      </c>
    </row>
    <row r="234" spans="1:3" x14ac:dyDescent="0.3">
      <c r="A234">
        <v>430706.25</v>
      </c>
      <c r="B234">
        <v>435240</v>
      </c>
      <c r="C234">
        <f>A234-B234</f>
        <v>-4533.75</v>
      </c>
    </row>
    <row r="235" spans="1:3" x14ac:dyDescent="0.3">
      <c r="A235">
        <v>239400</v>
      </c>
      <c r="B235">
        <v>187200</v>
      </c>
      <c r="C235">
        <v>52200</v>
      </c>
    </row>
    <row r="236" spans="1:3" x14ac:dyDescent="0.3">
      <c r="A236">
        <v>26698.799999999999</v>
      </c>
      <c r="B236">
        <v>7026</v>
      </c>
      <c r="C236">
        <v>19672.8</v>
      </c>
    </row>
    <row r="237" spans="1:3" x14ac:dyDescent="0.3">
      <c r="A237">
        <v>313500</v>
      </c>
      <c r="B237">
        <v>275000</v>
      </c>
      <c r="C237">
        <v>38500</v>
      </c>
    </row>
    <row r="238" spans="1:3" x14ac:dyDescent="0.3">
      <c r="A238">
        <v>24757</v>
      </c>
      <c r="B238">
        <v>13030</v>
      </c>
      <c r="C238">
        <v>11727</v>
      </c>
    </row>
    <row r="239" spans="1:3" x14ac:dyDescent="0.3">
      <c r="A239">
        <v>355300</v>
      </c>
      <c r="B239">
        <v>359040</v>
      </c>
      <c r="C239">
        <f>A239-B239</f>
        <v>-3740</v>
      </c>
    </row>
    <row r="240" spans="1:3" x14ac:dyDescent="0.3">
      <c r="A240">
        <v>283218.75</v>
      </c>
      <c r="B240">
        <v>286200</v>
      </c>
      <c r="C240">
        <f>A240-B240</f>
        <v>-2981.25</v>
      </c>
    </row>
    <row r="241" spans="1:3" x14ac:dyDescent="0.3">
      <c r="A241">
        <v>457995</v>
      </c>
      <c r="B241">
        <v>401750</v>
      </c>
      <c r="C241">
        <v>56245</v>
      </c>
    </row>
    <row r="242" spans="1:3" x14ac:dyDescent="0.3">
      <c r="A242">
        <v>15474.55</v>
      </c>
      <c r="B242">
        <v>11635</v>
      </c>
      <c r="C242">
        <v>3839.55</v>
      </c>
    </row>
    <row r="243" spans="1:3" x14ac:dyDescent="0.3">
      <c r="A243">
        <v>282435</v>
      </c>
      <c r="B243">
        <v>247750</v>
      </c>
      <c r="C243">
        <v>34685</v>
      </c>
    </row>
    <row r="244" spans="1:3" x14ac:dyDescent="0.3">
      <c r="A244">
        <v>200165</v>
      </c>
      <c r="B244">
        <v>156520</v>
      </c>
      <c r="C244">
        <v>43645</v>
      </c>
    </row>
    <row r="245" spans="1:3" x14ac:dyDescent="0.3">
      <c r="A245">
        <v>37335</v>
      </c>
      <c r="B245">
        <v>26200</v>
      </c>
      <c r="C245">
        <v>11135</v>
      </c>
    </row>
    <row r="246" spans="1:3" x14ac:dyDescent="0.3">
      <c r="A246">
        <v>408310</v>
      </c>
      <c r="B246">
        <v>319280</v>
      </c>
      <c r="C246">
        <v>89030</v>
      </c>
    </row>
    <row r="247" spans="1:3" x14ac:dyDescent="0.3">
      <c r="A247">
        <v>26391</v>
      </c>
      <c r="B247">
        <v>13890</v>
      </c>
      <c r="C247">
        <v>12501</v>
      </c>
    </row>
    <row r="248" spans="1:3" x14ac:dyDescent="0.3">
      <c r="A248">
        <v>102243.75</v>
      </c>
      <c r="B248">
        <v>103320</v>
      </c>
      <c r="C248">
        <f>A248-B248</f>
        <v>-1076.25</v>
      </c>
    </row>
    <row r="249" spans="1:3" x14ac:dyDescent="0.3">
      <c r="A249">
        <v>83600</v>
      </c>
      <c r="B249">
        <v>84480</v>
      </c>
      <c r="C249">
        <f>A249-B249</f>
        <v>-880</v>
      </c>
    </row>
    <row r="250" spans="1:3" x14ac:dyDescent="0.3">
      <c r="A250">
        <v>34238</v>
      </c>
      <c r="B250">
        <v>18020</v>
      </c>
      <c r="C250">
        <v>16218</v>
      </c>
    </row>
    <row r="251" spans="1:3" x14ac:dyDescent="0.3">
      <c r="A251">
        <v>50597</v>
      </c>
      <c r="B251">
        <v>26630</v>
      </c>
      <c r="C251">
        <v>23967</v>
      </c>
    </row>
    <row r="252" spans="1:3" x14ac:dyDescent="0.3">
      <c r="A252">
        <v>14204.4</v>
      </c>
      <c r="B252">
        <v>10680</v>
      </c>
      <c r="C252">
        <v>3524.4</v>
      </c>
    </row>
    <row r="253" spans="1:3" x14ac:dyDescent="0.3">
      <c r="A253">
        <v>30153</v>
      </c>
      <c r="B253">
        <v>21160</v>
      </c>
      <c r="C253">
        <v>8993</v>
      </c>
    </row>
    <row r="254" spans="1:3" x14ac:dyDescent="0.3">
      <c r="A254">
        <v>7908.75</v>
      </c>
      <c r="B254">
        <v>5550</v>
      </c>
      <c r="C254">
        <v>2358.75</v>
      </c>
    </row>
    <row r="255" spans="1:3" x14ac:dyDescent="0.3">
      <c r="A255">
        <v>40769.25</v>
      </c>
      <c r="B255">
        <v>28610</v>
      </c>
      <c r="C255">
        <v>12159.25</v>
      </c>
    </row>
    <row r="256" spans="1:3" x14ac:dyDescent="0.3">
      <c r="A256">
        <v>95831.25</v>
      </c>
      <c r="B256">
        <v>96840</v>
      </c>
      <c r="C256">
        <f>A256-B256</f>
        <v>-1008.75</v>
      </c>
    </row>
    <row r="257" spans="1:3" x14ac:dyDescent="0.3">
      <c r="A257">
        <v>200165</v>
      </c>
      <c r="B257">
        <v>156520</v>
      </c>
      <c r="C257">
        <v>43645</v>
      </c>
    </row>
    <row r="258" spans="1:3" x14ac:dyDescent="0.3">
      <c r="A258">
        <v>53808</v>
      </c>
      <c r="B258">
        <v>28320</v>
      </c>
      <c r="C258">
        <v>25488</v>
      </c>
    </row>
    <row r="259" spans="1:3" x14ac:dyDescent="0.3">
      <c r="A259">
        <v>30001</v>
      </c>
      <c r="B259">
        <v>15790</v>
      </c>
      <c r="C259">
        <v>14211</v>
      </c>
    </row>
    <row r="260" spans="1:3" x14ac:dyDescent="0.3">
      <c r="A260">
        <v>102243.75</v>
      </c>
      <c r="B260">
        <v>103320</v>
      </c>
      <c r="C260">
        <f>A260-B260</f>
        <v>-1076.25</v>
      </c>
    </row>
    <row r="261" spans="1:3" x14ac:dyDescent="0.3">
      <c r="A261">
        <v>83600</v>
      </c>
      <c r="B261">
        <v>84480</v>
      </c>
      <c r="C261">
        <f>A261-B261</f>
        <v>-880</v>
      </c>
    </row>
    <row r="262" spans="1:3" x14ac:dyDescent="0.3">
      <c r="A262">
        <v>19627</v>
      </c>
      <c r="B262">
        <v>10330</v>
      </c>
      <c r="C262">
        <v>9297</v>
      </c>
    </row>
    <row r="263" spans="1:3" x14ac:dyDescent="0.3">
      <c r="A263">
        <v>356250</v>
      </c>
      <c r="B263">
        <v>312500</v>
      </c>
      <c r="C263">
        <v>43750</v>
      </c>
    </row>
    <row r="264" spans="1:3" x14ac:dyDescent="0.3">
      <c r="A264">
        <v>26391</v>
      </c>
      <c r="B264">
        <v>13890</v>
      </c>
      <c r="C264">
        <v>12501</v>
      </c>
    </row>
    <row r="265" spans="1:3" x14ac:dyDescent="0.3">
      <c r="A265">
        <v>24035</v>
      </c>
      <c r="B265">
        <v>12650</v>
      </c>
      <c r="C265">
        <v>11385</v>
      </c>
    </row>
    <row r="266" spans="1:3" x14ac:dyDescent="0.3">
      <c r="A266">
        <v>43643</v>
      </c>
      <c r="B266">
        <v>22970</v>
      </c>
      <c r="C266">
        <v>20673</v>
      </c>
    </row>
    <row r="267" spans="1:3" x14ac:dyDescent="0.3">
      <c r="A267">
        <v>50597</v>
      </c>
      <c r="B267">
        <v>26630</v>
      </c>
      <c r="C267">
        <v>23967</v>
      </c>
    </row>
    <row r="268" spans="1:3" x14ac:dyDescent="0.3">
      <c r="A268">
        <v>3790.5</v>
      </c>
      <c r="B268">
        <v>2850</v>
      </c>
      <c r="C268">
        <v>940.5</v>
      </c>
    </row>
    <row r="269" spans="1:3" x14ac:dyDescent="0.3">
      <c r="A269">
        <v>16538.55</v>
      </c>
      <c r="B269">
        <v>12435</v>
      </c>
      <c r="C269">
        <v>4103.55</v>
      </c>
    </row>
    <row r="270" spans="1:3" x14ac:dyDescent="0.3">
      <c r="A270">
        <v>448875</v>
      </c>
      <c r="B270">
        <v>351000</v>
      </c>
      <c r="C270">
        <v>97875</v>
      </c>
    </row>
    <row r="271" spans="1:3" x14ac:dyDescent="0.3">
      <c r="A271">
        <v>183540</v>
      </c>
      <c r="B271">
        <v>143520</v>
      </c>
      <c r="C271">
        <v>40020</v>
      </c>
    </row>
    <row r="272" spans="1:3" x14ac:dyDescent="0.3">
      <c r="A272">
        <v>408310</v>
      </c>
      <c r="B272">
        <v>319280</v>
      </c>
      <c r="C272">
        <v>89030</v>
      </c>
    </row>
    <row r="273" spans="1:3" x14ac:dyDescent="0.3">
      <c r="A273">
        <v>356250</v>
      </c>
      <c r="B273">
        <v>312500</v>
      </c>
      <c r="C273">
        <v>43750</v>
      </c>
    </row>
    <row r="274" spans="1:3" x14ac:dyDescent="0.3">
      <c r="A274">
        <v>53594.1</v>
      </c>
      <c r="B274">
        <v>38010</v>
      </c>
      <c r="C274">
        <v>15584.1</v>
      </c>
    </row>
    <row r="275" spans="1:3" x14ac:dyDescent="0.3">
      <c r="A275">
        <v>21009</v>
      </c>
      <c r="B275">
        <v>11175</v>
      </c>
      <c r="C275">
        <v>9834</v>
      </c>
    </row>
    <row r="276" spans="1:3" x14ac:dyDescent="0.3">
      <c r="A276">
        <v>40100.400000000001</v>
      </c>
      <c r="B276">
        <v>28440</v>
      </c>
      <c r="C276">
        <v>11660.4</v>
      </c>
    </row>
    <row r="277" spans="1:3" x14ac:dyDescent="0.3">
      <c r="A277">
        <v>6339.36</v>
      </c>
      <c r="B277">
        <v>1686</v>
      </c>
      <c r="C277">
        <v>4653.3599999999997</v>
      </c>
    </row>
    <row r="278" spans="1:3" x14ac:dyDescent="0.3">
      <c r="A278">
        <v>25932.720000000001</v>
      </c>
      <c r="B278">
        <v>6897</v>
      </c>
      <c r="C278">
        <v>19035.72</v>
      </c>
    </row>
    <row r="279" spans="1:3" x14ac:dyDescent="0.3">
      <c r="A279">
        <v>28623</v>
      </c>
      <c r="B279">
        <v>20300</v>
      </c>
      <c r="C279">
        <v>8323</v>
      </c>
    </row>
    <row r="280" spans="1:3" x14ac:dyDescent="0.3">
      <c r="A280">
        <v>1730.54</v>
      </c>
      <c r="B280">
        <v>1315</v>
      </c>
      <c r="C280">
        <v>415.54</v>
      </c>
    </row>
    <row r="281" spans="1:3" x14ac:dyDescent="0.3">
      <c r="A281">
        <v>104222.5</v>
      </c>
      <c r="B281">
        <v>106440</v>
      </c>
      <c r="C281">
        <f>A281-B281</f>
        <v>-2217.5</v>
      </c>
    </row>
    <row r="282" spans="1:3" x14ac:dyDescent="0.3">
      <c r="A282">
        <v>322420</v>
      </c>
      <c r="B282">
        <v>254800</v>
      </c>
      <c r="C282">
        <v>67620</v>
      </c>
    </row>
    <row r="283" spans="1:3" x14ac:dyDescent="0.3">
      <c r="A283">
        <v>480340</v>
      </c>
      <c r="B283">
        <v>379600</v>
      </c>
      <c r="C283">
        <v>100740</v>
      </c>
    </row>
    <row r="284" spans="1:3" x14ac:dyDescent="0.3">
      <c r="A284">
        <v>9231.74</v>
      </c>
      <c r="B284">
        <v>7015</v>
      </c>
      <c r="C284">
        <v>2216.7399999999998</v>
      </c>
    </row>
    <row r="285" spans="1:3" x14ac:dyDescent="0.3">
      <c r="A285">
        <v>30715.439999999999</v>
      </c>
      <c r="B285">
        <v>8169</v>
      </c>
      <c r="C285">
        <v>22546.44</v>
      </c>
    </row>
    <row r="286" spans="1:3" x14ac:dyDescent="0.3">
      <c r="A286">
        <v>492184</v>
      </c>
      <c r="B286">
        <v>388960</v>
      </c>
      <c r="C286">
        <v>103224</v>
      </c>
    </row>
    <row r="287" spans="1:3" x14ac:dyDescent="0.3">
      <c r="A287">
        <v>25932.720000000001</v>
      </c>
      <c r="B287">
        <v>6897</v>
      </c>
      <c r="C287">
        <v>19035.72</v>
      </c>
    </row>
    <row r="288" spans="1:3" x14ac:dyDescent="0.3">
      <c r="A288">
        <v>239183</v>
      </c>
      <c r="B288">
        <v>189020</v>
      </c>
      <c r="C288">
        <v>50163</v>
      </c>
    </row>
    <row r="289" spans="1:3" x14ac:dyDescent="0.3">
      <c r="A289">
        <v>111860</v>
      </c>
      <c r="B289">
        <v>114240</v>
      </c>
      <c r="C289">
        <f>A289-B289</f>
        <v>-2380</v>
      </c>
    </row>
    <row r="290" spans="1:3" x14ac:dyDescent="0.3">
      <c r="A290">
        <v>323712.5</v>
      </c>
      <c r="B290">
        <v>330600</v>
      </c>
      <c r="C290">
        <f>A290-B290</f>
        <v>-6887.5</v>
      </c>
    </row>
    <row r="291" spans="1:3" x14ac:dyDescent="0.3">
      <c r="A291">
        <v>21573</v>
      </c>
      <c r="B291">
        <v>15300</v>
      </c>
      <c r="C291">
        <v>6273</v>
      </c>
    </row>
    <row r="292" spans="1:3" x14ac:dyDescent="0.3">
      <c r="A292">
        <v>492184</v>
      </c>
      <c r="B292">
        <v>388960</v>
      </c>
      <c r="C292">
        <v>103224</v>
      </c>
    </row>
    <row r="293" spans="1:3" x14ac:dyDescent="0.3">
      <c r="A293">
        <v>9856.84</v>
      </c>
      <c r="B293">
        <v>7490</v>
      </c>
      <c r="C293">
        <v>2366.84</v>
      </c>
    </row>
    <row r="294" spans="1:3" x14ac:dyDescent="0.3">
      <c r="A294">
        <v>344322</v>
      </c>
      <c r="B294">
        <v>305250</v>
      </c>
      <c r="C294">
        <v>39072</v>
      </c>
    </row>
    <row r="295" spans="1:3" x14ac:dyDescent="0.3">
      <c r="A295">
        <v>683004</v>
      </c>
      <c r="B295">
        <v>539760</v>
      </c>
      <c r="C295">
        <v>143244</v>
      </c>
    </row>
    <row r="296" spans="1:3" x14ac:dyDescent="0.3">
      <c r="A296">
        <v>40100.400000000001</v>
      </c>
      <c r="B296">
        <v>28440</v>
      </c>
      <c r="C296">
        <v>11660.4</v>
      </c>
    </row>
    <row r="297" spans="1:3" x14ac:dyDescent="0.3">
      <c r="A297">
        <v>9856.84</v>
      </c>
      <c r="B297">
        <v>7490</v>
      </c>
      <c r="C297">
        <v>2366.84</v>
      </c>
    </row>
    <row r="298" spans="1:3" x14ac:dyDescent="0.3">
      <c r="A298">
        <v>344322</v>
      </c>
      <c r="B298">
        <v>305250</v>
      </c>
      <c r="C298">
        <v>39072</v>
      </c>
    </row>
    <row r="299" spans="1:3" x14ac:dyDescent="0.3">
      <c r="A299">
        <v>21112.400000000001</v>
      </c>
      <c r="B299">
        <v>11230</v>
      </c>
      <c r="C299">
        <v>9882.4</v>
      </c>
    </row>
    <row r="300" spans="1:3" x14ac:dyDescent="0.3">
      <c r="A300">
        <v>686952</v>
      </c>
      <c r="B300">
        <v>609000</v>
      </c>
      <c r="C300">
        <v>77952</v>
      </c>
    </row>
    <row r="301" spans="1:3" x14ac:dyDescent="0.3">
      <c r="A301">
        <v>233531.25</v>
      </c>
      <c r="B301">
        <v>238500</v>
      </c>
      <c r="C301">
        <f>A301-B301</f>
        <v>-4968.75</v>
      </c>
    </row>
    <row r="302" spans="1:3" x14ac:dyDescent="0.3">
      <c r="A302">
        <v>552391</v>
      </c>
      <c r="B302">
        <v>436540</v>
      </c>
      <c r="C302">
        <v>115851</v>
      </c>
    </row>
    <row r="303" spans="1:3" x14ac:dyDescent="0.3">
      <c r="A303">
        <v>239183</v>
      </c>
      <c r="B303">
        <v>189020</v>
      </c>
      <c r="C303">
        <v>50163</v>
      </c>
    </row>
    <row r="304" spans="1:3" x14ac:dyDescent="0.3">
      <c r="A304">
        <v>9231.74</v>
      </c>
      <c r="B304">
        <v>7015</v>
      </c>
      <c r="C304">
        <v>2216.7399999999998</v>
      </c>
    </row>
    <row r="305" spans="1:3" x14ac:dyDescent="0.3">
      <c r="A305">
        <v>683004</v>
      </c>
      <c r="B305">
        <v>539760</v>
      </c>
      <c r="C305">
        <v>143244</v>
      </c>
    </row>
    <row r="306" spans="1:3" x14ac:dyDescent="0.3">
      <c r="A306">
        <v>33031.599999999999</v>
      </c>
      <c r="B306">
        <v>17570</v>
      </c>
      <c r="C306">
        <v>15461.6</v>
      </c>
    </row>
    <row r="307" spans="1:3" x14ac:dyDescent="0.3">
      <c r="A307">
        <v>30991.8</v>
      </c>
      <c r="B307">
        <v>21980</v>
      </c>
      <c r="C307">
        <v>9011.7999999999993</v>
      </c>
    </row>
    <row r="308" spans="1:3" x14ac:dyDescent="0.3">
      <c r="A308">
        <v>24576.3</v>
      </c>
      <c r="B308">
        <v>17430</v>
      </c>
      <c r="C308">
        <v>7146.3</v>
      </c>
    </row>
    <row r="309" spans="1:3" x14ac:dyDescent="0.3">
      <c r="A309">
        <v>16257.3</v>
      </c>
      <c r="B309">
        <v>11530</v>
      </c>
      <c r="C309">
        <v>4727.3</v>
      </c>
    </row>
    <row r="310" spans="1:3" x14ac:dyDescent="0.3">
      <c r="A310">
        <v>33031.599999999999</v>
      </c>
      <c r="B310">
        <v>17570</v>
      </c>
      <c r="C310">
        <v>15461.6</v>
      </c>
    </row>
    <row r="311" spans="1:3" x14ac:dyDescent="0.3">
      <c r="A311">
        <v>18818.8</v>
      </c>
      <c r="B311">
        <v>10010</v>
      </c>
      <c r="C311">
        <v>8808.7999999999993</v>
      </c>
    </row>
    <row r="312" spans="1:3" x14ac:dyDescent="0.3">
      <c r="A312">
        <v>8771.14</v>
      </c>
      <c r="B312">
        <v>6665</v>
      </c>
      <c r="C312">
        <v>2106.14</v>
      </c>
    </row>
    <row r="313" spans="1:3" x14ac:dyDescent="0.3">
      <c r="A313">
        <v>16257.3</v>
      </c>
      <c r="B313">
        <v>11530</v>
      </c>
      <c r="C313">
        <v>4727.3</v>
      </c>
    </row>
    <row r="314" spans="1:3" x14ac:dyDescent="0.3">
      <c r="A314">
        <v>8113.32</v>
      </c>
      <c r="B314">
        <v>2181</v>
      </c>
      <c r="C314">
        <v>5932.32</v>
      </c>
    </row>
    <row r="315" spans="1:3" x14ac:dyDescent="0.3">
      <c r="A315">
        <v>21025.439999999999</v>
      </c>
      <c r="B315">
        <v>5652</v>
      </c>
      <c r="C315">
        <v>15373.44</v>
      </c>
    </row>
    <row r="316" spans="1:3" x14ac:dyDescent="0.3">
      <c r="A316">
        <v>34112.400000000001</v>
      </c>
      <c r="B316">
        <v>18340</v>
      </c>
      <c r="C316">
        <v>15772.4</v>
      </c>
    </row>
    <row r="317" spans="1:3" x14ac:dyDescent="0.3">
      <c r="A317">
        <v>26114.400000000001</v>
      </c>
      <c r="B317">
        <v>7020</v>
      </c>
      <c r="C317">
        <v>19094.400000000001</v>
      </c>
    </row>
    <row r="318" spans="1:3" x14ac:dyDescent="0.3">
      <c r="A318">
        <v>26136.720000000001</v>
      </c>
      <c r="B318">
        <v>7026</v>
      </c>
      <c r="C318">
        <v>19110.72</v>
      </c>
    </row>
    <row r="319" spans="1:3" x14ac:dyDescent="0.3">
      <c r="A319">
        <v>6711.81</v>
      </c>
      <c r="B319">
        <v>5155</v>
      </c>
      <c r="C319">
        <v>1556.81</v>
      </c>
    </row>
    <row r="320" spans="1:3" x14ac:dyDescent="0.3">
      <c r="A320">
        <v>17604.900000000001</v>
      </c>
      <c r="B320">
        <v>12620</v>
      </c>
      <c r="C320">
        <v>4984.8999999999996</v>
      </c>
    </row>
    <row r="321" spans="1:3" x14ac:dyDescent="0.3">
      <c r="A321">
        <v>7388.85</v>
      </c>
      <c r="B321">
        <v>5675</v>
      </c>
      <c r="C321">
        <v>1713.85</v>
      </c>
    </row>
    <row r="322" spans="1:3" x14ac:dyDescent="0.3">
      <c r="A322">
        <v>3560.97</v>
      </c>
      <c r="B322">
        <v>2735</v>
      </c>
      <c r="C322">
        <v>825.97</v>
      </c>
    </row>
    <row r="323" spans="1:3" x14ac:dyDescent="0.3">
      <c r="A323">
        <v>10298.82</v>
      </c>
      <c r="B323">
        <v>7910</v>
      </c>
      <c r="C323">
        <v>2388.8200000000002</v>
      </c>
    </row>
    <row r="324" spans="1:3" x14ac:dyDescent="0.3">
      <c r="A324">
        <v>19401.66</v>
      </c>
      <c r="B324">
        <v>5215.5</v>
      </c>
      <c r="C324">
        <v>14186.16</v>
      </c>
    </row>
    <row r="325" spans="1:3" x14ac:dyDescent="0.3">
      <c r="A325">
        <v>24719.4</v>
      </c>
      <c r="B325">
        <v>6645</v>
      </c>
      <c r="C325">
        <v>18074.400000000001</v>
      </c>
    </row>
    <row r="326" spans="1:3" x14ac:dyDescent="0.3">
      <c r="A326">
        <v>10298.82</v>
      </c>
      <c r="B326">
        <v>7910</v>
      </c>
      <c r="C326">
        <v>2388.8200000000002</v>
      </c>
    </row>
    <row r="327" spans="1:3" x14ac:dyDescent="0.3">
      <c r="A327">
        <v>7388.85</v>
      </c>
      <c r="B327">
        <v>5675</v>
      </c>
      <c r="C327">
        <v>1713.85</v>
      </c>
    </row>
    <row r="328" spans="1:3" x14ac:dyDescent="0.3">
      <c r="A328">
        <v>573205.5</v>
      </c>
      <c r="B328">
        <v>457860</v>
      </c>
      <c r="C328">
        <v>115345.5</v>
      </c>
    </row>
    <row r="329" spans="1:3" x14ac:dyDescent="0.3">
      <c r="A329">
        <v>124992</v>
      </c>
      <c r="B329">
        <v>112000</v>
      </c>
      <c r="C329">
        <v>12992</v>
      </c>
    </row>
    <row r="330" spans="1:3" x14ac:dyDescent="0.3">
      <c r="A330">
        <v>608499</v>
      </c>
      <c r="B330">
        <v>545250</v>
      </c>
      <c r="C330">
        <v>63249</v>
      </c>
    </row>
    <row r="331" spans="1:3" x14ac:dyDescent="0.3">
      <c r="A331">
        <v>36753.599999999999</v>
      </c>
      <c r="B331">
        <v>19760</v>
      </c>
      <c r="C331">
        <v>16993.599999999999</v>
      </c>
    </row>
    <row r="332" spans="1:3" x14ac:dyDescent="0.3">
      <c r="A332">
        <v>608499</v>
      </c>
      <c r="B332">
        <v>545250</v>
      </c>
      <c r="C332">
        <v>63249</v>
      </c>
    </row>
    <row r="333" spans="1:3" x14ac:dyDescent="0.3">
      <c r="A333">
        <v>290625</v>
      </c>
      <c r="B333" s="2">
        <v>300000</v>
      </c>
    </row>
    <row r="334" spans="1:3" x14ac:dyDescent="0.3">
      <c r="A334">
        <v>474858</v>
      </c>
      <c r="B334">
        <v>425500</v>
      </c>
      <c r="C334">
        <v>49358</v>
      </c>
    </row>
    <row r="335" spans="1:3" x14ac:dyDescent="0.3">
      <c r="A335">
        <v>124992</v>
      </c>
      <c r="B335">
        <v>112000</v>
      </c>
      <c r="C335">
        <v>12992</v>
      </c>
    </row>
    <row r="336" spans="1:3" x14ac:dyDescent="0.3">
      <c r="A336">
        <v>408386.25</v>
      </c>
      <c r="B336">
        <v>421560</v>
      </c>
      <c r="C336">
        <f>A336-B336</f>
        <v>-13173.75</v>
      </c>
    </row>
    <row r="337" spans="1:3" x14ac:dyDescent="0.3">
      <c r="A337">
        <v>29308.95</v>
      </c>
      <c r="B337">
        <v>21010</v>
      </c>
      <c r="C337">
        <v>8298.9500000000007</v>
      </c>
    </row>
    <row r="338" spans="1:3" x14ac:dyDescent="0.3">
      <c r="A338">
        <v>40887.449999999997</v>
      </c>
      <c r="B338">
        <v>29310</v>
      </c>
      <c r="C338">
        <v>11577.45</v>
      </c>
    </row>
    <row r="339" spans="1:3" x14ac:dyDescent="0.3">
      <c r="A339">
        <v>28551</v>
      </c>
      <c r="B339">
        <v>15350</v>
      </c>
      <c r="C339">
        <v>13201</v>
      </c>
    </row>
    <row r="340" spans="1:3" x14ac:dyDescent="0.3">
      <c r="A340">
        <v>313317</v>
      </c>
      <c r="B340">
        <v>280750</v>
      </c>
      <c r="C340">
        <v>32567</v>
      </c>
    </row>
    <row r="341" spans="1:3" x14ac:dyDescent="0.3">
      <c r="A341">
        <v>391716</v>
      </c>
      <c r="B341">
        <v>351000</v>
      </c>
      <c r="C341">
        <v>40716</v>
      </c>
    </row>
    <row r="342" spans="1:3" x14ac:dyDescent="0.3">
      <c r="A342">
        <v>30835.08</v>
      </c>
      <c r="B342">
        <v>8289</v>
      </c>
      <c r="C342">
        <v>22546.080000000002</v>
      </c>
    </row>
    <row r="343" spans="1:3" x14ac:dyDescent="0.3">
      <c r="A343">
        <v>13833.75</v>
      </c>
      <c r="B343">
        <v>10625</v>
      </c>
      <c r="C343">
        <v>3208.75</v>
      </c>
    </row>
    <row r="344" spans="1:3" x14ac:dyDescent="0.3">
      <c r="A344">
        <v>462861</v>
      </c>
      <c r="B344">
        <v>414750</v>
      </c>
      <c r="C344">
        <v>48111</v>
      </c>
    </row>
    <row r="345" spans="1:3" x14ac:dyDescent="0.3">
      <c r="A345">
        <v>11327.4</v>
      </c>
      <c r="B345">
        <v>6090</v>
      </c>
      <c r="C345">
        <v>5237.3999999999996</v>
      </c>
    </row>
    <row r="346" spans="1:3" x14ac:dyDescent="0.3">
      <c r="A346">
        <v>242613.75</v>
      </c>
      <c r="B346">
        <v>250440</v>
      </c>
      <c r="C346">
        <f>A346-B346</f>
        <v>-7826.25</v>
      </c>
    </row>
    <row r="347" spans="1:3" x14ac:dyDescent="0.3">
      <c r="A347">
        <v>36753.599999999999</v>
      </c>
      <c r="B347">
        <v>19760</v>
      </c>
      <c r="C347">
        <v>16993.599999999999</v>
      </c>
    </row>
    <row r="348" spans="1:3" x14ac:dyDescent="0.3">
      <c r="A348">
        <v>26430.6</v>
      </c>
      <c r="B348">
        <v>14210</v>
      </c>
      <c r="C348">
        <v>12220.6</v>
      </c>
    </row>
    <row r="349" spans="1:3" x14ac:dyDescent="0.3">
      <c r="A349">
        <v>382788</v>
      </c>
      <c r="B349">
        <v>343000</v>
      </c>
      <c r="C349">
        <v>39788</v>
      </c>
    </row>
    <row r="350" spans="1:3" x14ac:dyDescent="0.3">
      <c r="A350">
        <v>10936.8</v>
      </c>
      <c r="B350">
        <v>5880</v>
      </c>
      <c r="C350">
        <v>5056.8</v>
      </c>
    </row>
    <row r="351" spans="1:3" x14ac:dyDescent="0.3">
      <c r="A351">
        <v>36208.620000000003</v>
      </c>
      <c r="B351">
        <v>9733.5</v>
      </c>
      <c r="C351">
        <v>26475.119999999999</v>
      </c>
    </row>
    <row r="352" spans="1:3" x14ac:dyDescent="0.3">
      <c r="A352">
        <v>267561</v>
      </c>
      <c r="B352">
        <v>239750</v>
      </c>
      <c r="C352">
        <v>27811</v>
      </c>
    </row>
    <row r="353" spans="1:3" x14ac:dyDescent="0.3">
      <c r="A353">
        <v>766413</v>
      </c>
      <c r="B353">
        <v>686750</v>
      </c>
      <c r="C353">
        <v>79663</v>
      </c>
    </row>
    <row r="354" spans="1:3" x14ac:dyDescent="0.3">
      <c r="A354">
        <v>191231.25</v>
      </c>
      <c r="B354">
        <v>197400</v>
      </c>
      <c r="C354">
        <f>A354-B354</f>
        <v>-6168.75</v>
      </c>
    </row>
    <row r="355" spans="1:3" x14ac:dyDescent="0.3">
      <c r="A355">
        <v>936138</v>
      </c>
      <c r="B355">
        <v>747760</v>
      </c>
      <c r="C355">
        <v>188378</v>
      </c>
    </row>
    <row r="356" spans="1:3" x14ac:dyDescent="0.3">
      <c r="A356">
        <v>115552.5</v>
      </c>
      <c r="B356">
        <v>119280</v>
      </c>
      <c r="C356">
        <f>A356-B356</f>
        <v>-3727.5</v>
      </c>
    </row>
    <row r="357" spans="1:3" x14ac:dyDescent="0.3">
      <c r="A357">
        <v>20794.8</v>
      </c>
      <c r="B357">
        <v>11180</v>
      </c>
      <c r="C357">
        <v>9614.7999999999993</v>
      </c>
    </row>
    <row r="358" spans="1:3" x14ac:dyDescent="0.3">
      <c r="A358">
        <v>382788</v>
      </c>
      <c r="B358">
        <v>343000</v>
      </c>
      <c r="C358">
        <v>39788</v>
      </c>
    </row>
    <row r="359" spans="1:3" x14ac:dyDescent="0.3">
      <c r="A359">
        <v>3142.72</v>
      </c>
      <c r="B359">
        <v>2440</v>
      </c>
      <c r="C359">
        <v>702.72</v>
      </c>
    </row>
    <row r="360" spans="1:3" x14ac:dyDescent="0.3">
      <c r="A360">
        <v>23588.799999999999</v>
      </c>
      <c r="B360">
        <v>12820</v>
      </c>
      <c r="C360">
        <v>10768.8</v>
      </c>
    </row>
    <row r="361" spans="1:3" x14ac:dyDescent="0.3">
      <c r="A361">
        <v>1655.08</v>
      </c>
      <c r="B361">
        <v>1285</v>
      </c>
      <c r="C361">
        <v>370.08</v>
      </c>
    </row>
    <row r="362" spans="1:3" x14ac:dyDescent="0.3">
      <c r="A362">
        <v>23588.799999999999</v>
      </c>
      <c r="B362">
        <v>12820</v>
      </c>
      <c r="C362">
        <v>10768.8</v>
      </c>
    </row>
    <row r="363" spans="1:3" x14ac:dyDescent="0.3">
      <c r="A363">
        <v>177100</v>
      </c>
      <c r="B363">
        <v>184800</v>
      </c>
      <c r="C363">
        <f>A363-B363</f>
        <v>-7700</v>
      </c>
    </row>
    <row r="364" spans="1:3" x14ac:dyDescent="0.3">
      <c r="A364">
        <v>6762</v>
      </c>
      <c r="B364">
        <v>4900</v>
      </c>
      <c r="C364">
        <v>1862</v>
      </c>
    </row>
    <row r="365" spans="1:3" x14ac:dyDescent="0.3">
      <c r="A365">
        <v>438564</v>
      </c>
      <c r="B365">
        <v>354120</v>
      </c>
      <c r="C365">
        <v>84444</v>
      </c>
    </row>
    <row r="366" spans="1:3" x14ac:dyDescent="0.3">
      <c r="A366">
        <v>34513.800000000003</v>
      </c>
      <c r="B366">
        <v>25010</v>
      </c>
      <c r="C366">
        <v>9503.7999999999993</v>
      </c>
    </row>
    <row r="367" spans="1:3" x14ac:dyDescent="0.3">
      <c r="A367">
        <v>13027.2</v>
      </c>
      <c r="B367">
        <v>7080</v>
      </c>
      <c r="C367">
        <v>5947.2</v>
      </c>
    </row>
    <row r="368" spans="1:3" x14ac:dyDescent="0.3">
      <c r="A368">
        <v>11868</v>
      </c>
      <c r="B368">
        <v>6450</v>
      </c>
      <c r="C368">
        <v>5418</v>
      </c>
    </row>
    <row r="369" spans="1:3" x14ac:dyDescent="0.3">
      <c r="A369">
        <v>431112</v>
      </c>
      <c r="B369">
        <v>390500</v>
      </c>
      <c r="C369">
        <v>40612</v>
      </c>
    </row>
    <row r="370" spans="1:3" x14ac:dyDescent="0.3">
      <c r="A370">
        <v>354108</v>
      </c>
      <c r="B370">
        <v>320750</v>
      </c>
      <c r="C370">
        <v>33358</v>
      </c>
    </row>
    <row r="371" spans="1:3" x14ac:dyDescent="0.3">
      <c r="A371">
        <v>9811.7999999999993</v>
      </c>
      <c r="B371">
        <v>7110</v>
      </c>
      <c r="C371">
        <v>2701.8</v>
      </c>
    </row>
    <row r="372" spans="1:3" x14ac:dyDescent="0.3">
      <c r="A372">
        <v>128110</v>
      </c>
      <c r="B372">
        <v>133680</v>
      </c>
      <c r="C372">
        <f>A372-B372</f>
        <v>-5570</v>
      </c>
    </row>
    <row r="373" spans="1:3" x14ac:dyDescent="0.3">
      <c r="A373">
        <v>8107.96</v>
      </c>
      <c r="B373">
        <v>6295</v>
      </c>
      <c r="C373">
        <v>1812.96</v>
      </c>
    </row>
    <row r="374" spans="1:3" x14ac:dyDescent="0.3">
      <c r="A374">
        <v>7051.8</v>
      </c>
      <c r="B374">
        <v>5475</v>
      </c>
      <c r="C374">
        <v>1576.8</v>
      </c>
    </row>
    <row r="375" spans="1:3" x14ac:dyDescent="0.3">
      <c r="A375">
        <v>25134.400000000001</v>
      </c>
      <c r="B375">
        <v>13660</v>
      </c>
      <c r="C375">
        <v>11474.4</v>
      </c>
    </row>
    <row r="376" spans="1:3" x14ac:dyDescent="0.3">
      <c r="A376">
        <v>678960</v>
      </c>
      <c r="B376">
        <v>615000</v>
      </c>
      <c r="C376">
        <v>63960</v>
      </c>
    </row>
    <row r="377" spans="1:3" x14ac:dyDescent="0.3">
      <c r="A377">
        <v>4366.32</v>
      </c>
      <c r="B377">
        <v>3390</v>
      </c>
      <c r="C377">
        <v>976.32</v>
      </c>
    </row>
    <row r="378" spans="1:3" x14ac:dyDescent="0.3">
      <c r="A378">
        <v>10291.120000000001</v>
      </c>
      <c r="B378">
        <v>7990</v>
      </c>
      <c r="C378">
        <v>2301.12</v>
      </c>
    </row>
    <row r="379" spans="1:3" x14ac:dyDescent="0.3">
      <c r="A379">
        <v>15513.96</v>
      </c>
      <c r="B379">
        <v>12045</v>
      </c>
      <c r="C379">
        <v>3468.96</v>
      </c>
    </row>
    <row r="380" spans="1:3" x14ac:dyDescent="0.3">
      <c r="A380">
        <v>35585.599999999999</v>
      </c>
      <c r="B380">
        <v>19340</v>
      </c>
      <c r="C380">
        <v>16245.6</v>
      </c>
    </row>
    <row r="381" spans="1:3" x14ac:dyDescent="0.3">
      <c r="A381">
        <v>55071.199999999997</v>
      </c>
      <c r="B381">
        <v>29930</v>
      </c>
      <c r="C381">
        <v>25141.200000000001</v>
      </c>
    </row>
    <row r="382" spans="1:3" x14ac:dyDescent="0.3">
      <c r="A382">
        <v>691012</v>
      </c>
      <c r="B382">
        <v>557960</v>
      </c>
      <c r="C382">
        <v>133052</v>
      </c>
    </row>
    <row r="383" spans="1:3" x14ac:dyDescent="0.3">
      <c r="A383">
        <v>12532.24</v>
      </c>
      <c r="B383">
        <v>9730</v>
      </c>
      <c r="C383">
        <v>2802.24</v>
      </c>
    </row>
    <row r="384" spans="1:3" x14ac:dyDescent="0.3">
      <c r="A384">
        <v>438564</v>
      </c>
      <c r="B384">
        <v>354120</v>
      </c>
      <c r="C384">
        <v>84444</v>
      </c>
    </row>
    <row r="385" spans="1:3" x14ac:dyDescent="0.3">
      <c r="A385">
        <v>6601.92</v>
      </c>
      <c r="B385">
        <v>1794</v>
      </c>
      <c r="C385">
        <v>4807.92</v>
      </c>
    </row>
    <row r="386" spans="1:3" x14ac:dyDescent="0.3">
      <c r="A386">
        <v>18721.080000000002</v>
      </c>
      <c r="B386">
        <v>14535</v>
      </c>
      <c r="C386">
        <v>4186.08</v>
      </c>
    </row>
    <row r="387" spans="1:3" x14ac:dyDescent="0.3">
      <c r="A387">
        <v>15056.72</v>
      </c>
      <c r="B387">
        <v>11690</v>
      </c>
      <c r="C387">
        <v>3366.72</v>
      </c>
    </row>
    <row r="388" spans="1:3" x14ac:dyDescent="0.3">
      <c r="A388">
        <v>106536</v>
      </c>
      <c r="B388">
        <v>96500</v>
      </c>
      <c r="C388">
        <v>10036</v>
      </c>
    </row>
    <row r="389" spans="1:3" x14ac:dyDescent="0.3">
      <c r="A389">
        <v>175260</v>
      </c>
      <c r="B389">
        <v>158750</v>
      </c>
      <c r="C389">
        <v>16510</v>
      </c>
    </row>
    <row r="390" spans="1:3" x14ac:dyDescent="0.3">
      <c r="A390">
        <v>184989</v>
      </c>
      <c r="B390">
        <v>149370</v>
      </c>
      <c r="C390">
        <v>35619</v>
      </c>
    </row>
    <row r="391" spans="1:3" x14ac:dyDescent="0.3">
      <c r="A391">
        <v>15056.72</v>
      </c>
      <c r="B391">
        <v>11690</v>
      </c>
      <c r="C391">
        <v>3366.72</v>
      </c>
    </row>
    <row r="392" spans="1:3" x14ac:dyDescent="0.3">
      <c r="A392">
        <v>122682</v>
      </c>
      <c r="B392">
        <v>99060</v>
      </c>
      <c r="C392">
        <v>23622</v>
      </c>
    </row>
    <row r="393" spans="1:3" x14ac:dyDescent="0.3">
      <c r="A393">
        <v>135884</v>
      </c>
      <c r="B393">
        <v>109720</v>
      </c>
      <c r="C393">
        <v>26164</v>
      </c>
    </row>
    <row r="394" spans="1:3" x14ac:dyDescent="0.3">
      <c r="A394">
        <v>588984</v>
      </c>
      <c r="B394">
        <v>533500</v>
      </c>
      <c r="C394">
        <v>55484</v>
      </c>
    </row>
    <row r="395" spans="1:3" x14ac:dyDescent="0.3">
      <c r="A395">
        <v>223008</v>
      </c>
      <c r="B395">
        <v>202000</v>
      </c>
      <c r="C395">
        <v>21008</v>
      </c>
    </row>
    <row r="396" spans="1:3" x14ac:dyDescent="0.3">
      <c r="A396">
        <v>13027.2</v>
      </c>
      <c r="B396">
        <v>7080</v>
      </c>
      <c r="C396">
        <v>5947.2</v>
      </c>
    </row>
    <row r="397" spans="1:3" x14ac:dyDescent="0.3">
      <c r="A397">
        <v>18721.080000000002</v>
      </c>
      <c r="B397">
        <v>14535</v>
      </c>
      <c r="C397">
        <v>4186.08</v>
      </c>
    </row>
    <row r="398" spans="1:3" x14ac:dyDescent="0.3">
      <c r="A398">
        <v>25134.400000000001</v>
      </c>
      <c r="B398">
        <v>13660</v>
      </c>
      <c r="C398">
        <v>11474.4</v>
      </c>
    </row>
    <row r="399" spans="1:3" x14ac:dyDescent="0.3">
      <c r="A399">
        <v>678960</v>
      </c>
      <c r="B399">
        <v>615000</v>
      </c>
      <c r="C399">
        <v>63960</v>
      </c>
    </row>
    <row r="400" spans="1:3" x14ac:dyDescent="0.3">
      <c r="A400">
        <v>27968</v>
      </c>
      <c r="B400">
        <v>15200</v>
      </c>
      <c r="C400">
        <v>12768</v>
      </c>
    </row>
    <row r="401" spans="1:3" x14ac:dyDescent="0.3">
      <c r="A401">
        <v>9811.7999999999993</v>
      </c>
      <c r="B401">
        <v>7110</v>
      </c>
      <c r="C401">
        <v>2701.8</v>
      </c>
    </row>
    <row r="402" spans="1:3" x14ac:dyDescent="0.3">
      <c r="A402">
        <v>15180</v>
      </c>
      <c r="B402">
        <v>4125</v>
      </c>
      <c r="C402">
        <v>11055</v>
      </c>
    </row>
    <row r="403" spans="1:3" x14ac:dyDescent="0.3">
      <c r="A403">
        <v>175260</v>
      </c>
      <c r="B403">
        <v>158750</v>
      </c>
      <c r="C403">
        <v>16510</v>
      </c>
    </row>
    <row r="404" spans="1:3" x14ac:dyDescent="0.3">
      <c r="A404">
        <v>8031.6</v>
      </c>
      <c r="B404">
        <v>4365</v>
      </c>
      <c r="C404">
        <v>3666.6</v>
      </c>
    </row>
    <row r="405" spans="1:3" x14ac:dyDescent="0.3">
      <c r="A405">
        <v>298662</v>
      </c>
      <c r="B405">
        <v>273500</v>
      </c>
      <c r="C405">
        <v>25162</v>
      </c>
    </row>
    <row r="406" spans="1:3" x14ac:dyDescent="0.3">
      <c r="A406">
        <v>4007.64</v>
      </c>
      <c r="B406">
        <v>1101</v>
      </c>
      <c r="C406">
        <v>2906.64</v>
      </c>
    </row>
    <row r="407" spans="1:3" x14ac:dyDescent="0.3">
      <c r="A407">
        <v>1038082.5</v>
      </c>
      <c r="B407">
        <v>950625</v>
      </c>
      <c r="C407">
        <v>87457.5</v>
      </c>
    </row>
    <row r="408" spans="1:3" x14ac:dyDescent="0.3">
      <c r="A408">
        <v>530621</v>
      </c>
      <c r="B408">
        <v>433160</v>
      </c>
      <c r="C408">
        <v>97461</v>
      </c>
    </row>
    <row r="409" spans="1:3" x14ac:dyDescent="0.3">
      <c r="A409">
        <v>87906</v>
      </c>
      <c r="B409">
        <v>80500</v>
      </c>
      <c r="C409">
        <v>7406</v>
      </c>
    </row>
    <row r="410" spans="1:3" x14ac:dyDescent="0.3">
      <c r="A410">
        <v>25345.32</v>
      </c>
      <c r="B410">
        <v>6963</v>
      </c>
      <c r="C410">
        <v>18382.32</v>
      </c>
    </row>
    <row r="411" spans="1:3" x14ac:dyDescent="0.3">
      <c r="A411">
        <v>211233.75</v>
      </c>
      <c r="B411">
        <v>222840</v>
      </c>
      <c r="C411">
        <f>A411-B411</f>
        <v>-11606.25</v>
      </c>
    </row>
    <row r="412" spans="1:3" x14ac:dyDescent="0.3">
      <c r="A412">
        <v>10262.07</v>
      </c>
      <c r="B412">
        <v>8055</v>
      </c>
      <c r="C412">
        <v>2207.0700000000002</v>
      </c>
    </row>
    <row r="413" spans="1:3" x14ac:dyDescent="0.3">
      <c r="A413">
        <v>318158.75</v>
      </c>
      <c r="B413">
        <v>335640</v>
      </c>
      <c r="C413">
        <f>A413-B413</f>
        <v>-17481.25</v>
      </c>
    </row>
    <row r="414" spans="1:3" x14ac:dyDescent="0.3">
      <c r="A414">
        <v>91182</v>
      </c>
      <c r="B414">
        <v>83500</v>
      </c>
      <c r="C414">
        <v>7682</v>
      </c>
    </row>
    <row r="415" spans="1:3" x14ac:dyDescent="0.3">
      <c r="A415">
        <v>700245</v>
      </c>
      <c r="B415">
        <v>641250</v>
      </c>
      <c r="C415">
        <v>58995</v>
      </c>
    </row>
    <row r="416" spans="1:3" x14ac:dyDescent="0.3">
      <c r="A416">
        <v>769814.5</v>
      </c>
      <c r="B416">
        <v>628420</v>
      </c>
      <c r="C416">
        <v>141394.5</v>
      </c>
    </row>
    <row r="417" spans="1:3" x14ac:dyDescent="0.3">
      <c r="A417">
        <v>50163.75</v>
      </c>
      <c r="B417">
        <v>36750</v>
      </c>
      <c r="C417">
        <v>13413.75</v>
      </c>
    </row>
    <row r="418" spans="1:3" x14ac:dyDescent="0.3">
      <c r="A418">
        <v>298662</v>
      </c>
      <c r="B418">
        <v>273500</v>
      </c>
      <c r="C418">
        <v>25162</v>
      </c>
    </row>
    <row r="419" spans="1:3" x14ac:dyDescent="0.3">
      <c r="A419">
        <v>16748.55</v>
      </c>
      <c r="B419">
        <v>12270</v>
      </c>
      <c r="C419">
        <v>4478.55</v>
      </c>
    </row>
    <row r="420" spans="1:3" x14ac:dyDescent="0.3">
      <c r="A420">
        <v>4007.64</v>
      </c>
      <c r="B420">
        <v>1101</v>
      </c>
      <c r="C420">
        <v>2906.64</v>
      </c>
    </row>
    <row r="421" spans="1:3" x14ac:dyDescent="0.3">
      <c r="A421">
        <v>361452</v>
      </c>
      <c r="B421">
        <v>331000</v>
      </c>
      <c r="C421">
        <v>30452</v>
      </c>
    </row>
    <row r="422" spans="1:3" x14ac:dyDescent="0.3">
      <c r="A422">
        <v>19383</v>
      </c>
      <c r="B422">
        <v>5325</v>
      </c>
      <c r="C422">
        <v>14058</v>
      </c>
    </row>
    <row r="423" spans="1:3" x14ac:dyDescent="0.3">
      <c r="A423">
        <v>318158.75</v>
      </c>
      <c r="B423">
        <v>335640</v>
      </c>
      <c r="C423">
        <f>A423-B423</f>
        <v>-17481.25</v>
      </c>
    </row>
    <row r="424" spans="1:3" x14ac:dyDescent="0.3">
      <c r="A424">
        <v>3344.25</v>
      </c>
      <c r="B424">
        <v>2450</v>
      </c>
      <c r="C424">
        <v>894.25</v>
      </c>
    </row>
    <row r="425" spans="1:3" x14ac:dyDescent="0.3">
      <c r="A425">
        <v>1035625.5</v>
      </c>
      <c r="B425">
        <v>948375</v>
      </c>
      <c r="C425">
        <v>87250.5</v>
      </c>
    </row>
    <row r="426" spans="1:3" x14ac:dyDescent="0.3">
      <c r="A426">
        <v>416279.5</v>
      </c>
      <c r="B426">
        <v>339820</v>
      </c>
      <c r="C426">
        <v>76459.5</v>
      </c>
    </row>
    <row r="427" spans="1:3" x14ac:dyDescent="0.3">
      <c r="A427">
        <v>64496.25</v>
      </c>
      <c r="B427">
        <v>68040</v>
      </c>
      <c r="C427">
        <f>A427-B427</f>
        <v>-3543.75</v>
      </c>
    </row>
    <row r="428" spans="1:3" x14ac:dyDescent="0.3">
      <c r="A428">
        <v>240012.5</v>
      </c>
      <c r="B428">
        <v>253200</v>
      </c>
      <c r="C428">
        <f>A428-B428</f>
        <v>-13187.5</v>
      </c>
    </row>
    <row r="429" spans="1:3" x14ac:dyDescent="0.3">
      <c r="A429">
        <v>404176.5</v>
      </c>
      <c r="B429">
        <v>329940</v>
      </c>
      <c r="C429">
        <v>74236.5</v>
      </c>
    </row>
    <row r="430" spans="1:3" x14ac:dyDescent="0.3">
      <c r="A430">
        <v>21359.52</v>
      </c>
      <c r="B430">
        <v>5868</v>
      </c>
      <c r="C430">
        <v>15491.52</v>
      </c>
    </row>
    <row r="431" spans="1:3" x14ac:dyDescent="0.3">
      <c r="A431">
        <v>725907</v>
      </c>
      <c r="B431">
        <v>664750</v>
      </c>
      <c r="C431">
        <v>61157</v>
      </c>
    </row>
    <row r="432" spans="1:3" x14ac:dyDescent="0.3">
      <c r="A432">
        <v>430452.75</v>
      </c>
      <c r="B432">
        <v>351390</v>
      </c>
      <c r="C432">
        <v>79062.75</v>
      </c>
    </row>
    <row r="433" spans="1:3" x14ac:dyDescent="0.3">
      <c r="A433">
        <v>9609.6</v>
      </c>
      <c r="B433">
        <v>2640</v>
      </c>
      <c r="C433">
        <v>6969.6</v>
      </c>
    </row>
    <row r="434" spans="1:3" x14ac:dyDescent="0.3">
      <c r="A434">
        <v>509691</v>
      </c>
      <c r="B434">
        <v>466750</v>
      </c>
      <c r="C434">
        <v>42941</v>
      </c>
    </row>
    <row r="435" spans="1:3" x14ac:dyDescent="0.3">
      <c r="A435">
        <v>24395.279999999999</v>
      </c>
      <c r="B435">
        <v>6702</v>
      </c>
      <c r="C435">
        <v>17693.28</v>
      </c>
    </row>
    <row r="436" spans="1:3" x14ac:dyDescent="0.3">
      <c r="A436">
        <v>16748.55</v>
      </c>
      <c r="B436">
        <v>12270</v>
      </c>
      <c r="C436">
        <v>4478.55</v>
      </c>
    </row>
    <row r="437" spans="1:3" x14ac:dyDescent="0.3">
      <c r="A437">
        <v>96832.43</v>
      </c>
      <c r="B437">
        <v>67690</v>
      </c>
      <c r="C437">
        <f>A437-B437</f>
        <v>29142.429999999993</v>
      </c>
    </row>
    <row r="438" spans="1:3" x14ac:dyDescent="0.3">
      <c r="A438">
        <v>659613.5</v>
      </c>
      <c r="B438">
        <v>538460</v>
      </c>
      <c r="C438">
        <v>121153.5</v>
      </c>
    </row>
    <row r="439" spans="1:3" x14ac:dyDescent="0.3">
      <c r="A439">
        <v>404176.5</v>
      </c>
      <c r="B439">
        <v>329940</v>
      </c>
      <c r="C439">
        <v>74236.5</v>
      </c>
    </row>
    <row r="440" spans="1:3" x14ac:dyDescent="0.3">
      <c r="A440">
        <v>13240.5</v>
      </c>
      <c r="B440">
        <v>9700</v>
      </c>
      <c r="C440">
        <v>3540.5</v>
      </c>
    </row>
    <row r="441" spans="1:3" x14ac:dyDescent="0.3">
      <c r="A441">
        <v>30830.799999999999</v>
      </c>
      <c r="B441">
        <v>16940</v>
      </c>
      <c r="C441">
        <v>13890.8</v>
      </c>
    </row>
    <row r="442" spans="1:3" x14ac:dyDescent="0.3">
      <c r="A442">
        <v>12066.6</v>
      </c>
      <c r="B442">
        <v>6630</v>
      </c>
      <c r="C442">
        <v>5436.6</v>
      </c>
    </row>
    <row r="443" spans="1:3" x14ac:dyDescent="0.3">
      <c r="A443">
        <v>5217.03</v>
      </c>
      <c r="B443">
        <v>4095</v>
      </c>
      <c r="C443">
        <v>1122.03</v>
      </c>
    </row>
    <row r="444" spans="1:3" x14ac:dyDescent="0.3">
      <c r="A444">
        <v>17253.599999999999</v>
      </c>
      <c r="B444">
        <v>4740</v>
      </c>
      <c r="C444">
        <v>12513.6</v>
      </c>
    </row>
    <row r="445" spans="1:3" x14ac:dyDescent="0.3">
      <c r="A445">
        <v>3318.77</v>
      </c>
      <c r="B445">
        <v>2605</v>
      </c>
      <c r="C445">
        <v>713.77</v>
      </c>
    </row>
    <row r="446" spans="1:3" x14ac:dyDescent="0.3">
      <c r="A446">
        <v>17708.599999999999</v>
      </c>
      <c r="B446">
        <v>9730</v>
      </c>
      <c r="C446">
        <v>7978.6</v>
      </c>
    </row>
    <row r="447" spans="1:3" x14ac:dyDescent="0.3">
      <c r="A447">
        <v>18891.599999999999</v>
      </c>
      <c r="B447">
        <v>10380</v>
      </c>
      <c r="C447">
        <v>8511.6</v>
      </c>
    </row>
    <row r="448" spans="1:3" x14ac:dyDescent="0.3">
      <c r="A448">
        <v>2293.1999999999998</v>
      </c>
      <c r="B448">
        <v>1800</v>
      </c>
      <c r="C448">
        <v>493.2</v>
      </c>
    </row>
    <row r="449" spans="1:3" x14ac:dyDescent="0.3">
      <c r="A449">
        <v>21479.64</v>
      </c>
      <c r="B449">
        <v>5901</v>
      </c>
      <c r="C449">
        <v>15578.64</v>
      </c>
    </row>
    <row r="450" spans="1:3" x14ac:dyDescent="0.3">
      <c r="A450">
        <v>35872.199999999997</v>
      </c>
      <c r="B450">
        <v>26280</v>
      </c>
      <c r="C450">
        <v>9592.2000000000007</v>
      </c>
    </row>
    <row r="451" spans="1:3" x14ac:dyDescent="0.3">
      <c r="A451">
        <v>2293.1999999999998</v>
      </c>
      <c r="B451">
        <v>1800</v>
      </c>
      <c r="C451">
        <v>493.2</v>
      </c>
    </row>
    <row r="452" spans="1:3" x14ac:dyDescent="0.3">
      <c r="A452">
        <v>48812.4</v>
      </c>
      <c r="B452">
        <v>26820</v>
      </c>
      <c r="C452">
        <v>21992.400000000001</v>
      </c>
    </row>
    <row r="453" spans="1:3" x14ac:dyDescent="0.3">
      <c r="A453">
        <v>3318.77</v>
      </c>
      <c r="B453">
        <v>2605</v>
      </c>
      <c r="C453">
        <v>713.77</v>
      </c>
    </row>
    <row r="454" spans="1:3" x14ac:dyDescent="0.3">
      <c r="A454">
        <v>18891.599999999999</v>
      </c>
      <c r="B454">
        <v>10380</v>
      </c>
      <c r="C454">
        <v>8511.6</v>
      </c>
    </row>
    <row r="455" spans="1:3" x14ac:dyDescent="0.3">
      <c r="A455">
        <v>22256.33</v>
      </c>
      <c r="B455">
        <v>16305</v>
      </c>
      <c r="C455">
        <v>5951.33</v>
      </c>
    </row>
    <row r="456" spans="1:3" x14ac:dyDescent="0.3">
      <c r="A456">
        <v>3341.52</v>
      </c>
      <c r="B456">
        <v>918</v>
      </c>
      <c r="C456">
        <v>2423.52</v>
      </c>
    </row>
    <row r="457" spans="1:3" x14ac:dyDescent="0.3">
      <c r="A457">
        <v>4168.8</v>
      </c>
      <c r="B457">
        <v>1158</v>
      </c>
      <c r="C457">
        <v>3010.8</v>
      </c>
    </row>
    <row r="458" spans="1:3" x14ac:dyDescent="0.3">
      <c r="A458">
        <v>14666.4</v>
      </c>
      <c r="B458">
        <v>11640</v>
      </c>
      <c r="C458">
        <v>3026.4</v>
      </c>
    </row>
    <row r="459" spans="1:3" x14ac:dyDescent="0.3">
      <c r="A459">
        <v>4168.8</v>
      </c>
      <c r="B459">
        <v>1158</v>
      </c>
      <c r="C459">
        <v>3010.8</v>
      </c>
    </row>
    <row r="460" spans="1:3" x14ac:dyDescent="0.3">
      <c r="A460">
        <v>387618.75</v>
      </c>
      <c r="B460">
        <v>413460</v>
      </c>
      <c r="C460">
        <f>A460-B460</f>
        <v>-25841.25</v>
      </c>
    </row>
    <row r="461" spans="1:3" x14ac:dyDescent="0.3">
      <c r="A461">
        <v>166725</v>
      </c>
      <c r="B461">
        <v>17784</v>
      </c>
      <c r="C461">
        <f>A461-B461</f>
        <v>148941</v>
      </c>
    </row>
    <row r="462" spans="1:3" x14ac:dyDescent="0.3">
      <c r="A462">
        <v>728595</v>
      </c>
      <c r="B462">
        <v>601380</v>
      </c>
      <c r="C462">
        <v>127215</v>
      </c>
    </row>
    <row r="463" spans="1:3" x14ac:dyDescent="0.3">
      <c r="A463">
        <v>202950</v>
      </c>
      <c r="B463">
        <v>216480</v>
      </c>
      <c r="C463">
        <f>A463-B463</f>
        <v>-13530</v>
      </c>
    </row>
    <row r="464" spans="1:3" x14ac:dyDescent="0.3">
      <c r="A464">
        <v>27972</v>
      </c>
      <c r="B464">
        <v>20720</v>
      </c>
      <c r="C464">
        <v>7252</v>
      </c>
    </row>
    <row r="465" spans="1:3" x14ac:dyDescent="0.3">
      <c r="A465">
        <v>35172</v>
      </c>
      <c r="B465">
        <v>19540</v>
      </c>
      <c r="C465">
        <v>15632</v>
      </c>
    </row>
    <row r="466" spans="1:3" x14ac:dyDescent="0.3">
      <c r="A466">
        <v>159570</v>
      </c>
      <c r="B466">
        <v>147750</v>
      </c>
      <c r="C466">
        <v>11820</v>
      </c>
    </row>
    <row r="467" spans="1:3" x14ac:dyDescent="0.3">
      <c r="A467">
        <v>29254.5</v>
      </c>
      <c r="B467">
        <v>21670</v>
      </c>
      <c r="C467">
        <v>7584.5</v>
      </c>
    </row>
    <row r="468" spans="1:3" x14ac:dyDescent="0.3">
      <c r="A468">
        <v>4338</v>
      </c>
      <c r="B468">
        <v>2410</v>
      </c>
      <c r="C468">
        <v>1928</v>
      </c>
    </row>
    <row r="469" spans="1:3" x14ac:dyDescent="0.3">
      <c r="A469">
        <v>9193.5</v>
      </c>
      <c r="B469">
        <v>6810</v>
      </c>
      <c r="C469">
        <v>2383.5</v>
      </c>
    </row>
    <row r="470" spans="1:3" x14ac:dyDescent="0.3">
      <c r="A470">
        <v>6885</v>
      </c>
      <c r="B470">
        <v>5100</v>
      </c>
      <c r="C470">
        <v>1785</v>
      </c>
    </row>
    <row r="471" spans="1:3" x14ac:dyDescent="0.3">
      <c r="A471">
        <v>10665</v>
      </c>
      <c r="B471">
        <v>7900</v>
      </c>
      <c r="C471">
        <v>2765</v>
      </c>
    </row>
    <row r="472" spans="1:3" x14ac:dyDescent="0.3">
      <c r="A472">
        <v>201285</v>
      </c>
      <c r="B472">
        <v>166140</v>
      </c>
      <c r="C472">
        <v>35145</v>
      </c>
    </row>
    <row r="473" spans="1:3" x14ac:dyDescent="0.3">
      <c r="A473">
        <v>179550</v>
      </c>
      <c r="B473">
        <v>191520</v>
      </c>
      <c r="C473">
        <f>A473-B473</f>
        <v>-11970</v>
      </c>
    </row>
    <row r="474" spans="1:3" x14ac:dyDescent="0.3">
      <c r="A474">
        <v>619380</v>
      </c>
      <c r="B474">
        <v>573500</v>
      </c>
      <c r="C474">
        <v>45880</v>
      </c>
    </row>
    <row r="475" spans="1:3" x14ac:dyDescent="0.3">
      <c r="A475">
        <v>4338</v>
      </c>
      <c r="B475">
        <v>2410</v>
      </c>
      <c r="C475">
        <v>1928</v>
      </c>
    </row>
    <row r="476" spans="1:3" x14ac:dyDescent="0.3">
      <c r="A476">
        <v>16789.5</v>
      </c>
      <c r="B476">
        <v>13325</v>
      </c>
      <c r="C476">
        <v>3464.5</v>
      </c>
    </row>
    <row r="477" spans="1:3" x14ac:dyDescent="0.3">
      <c r="A477">
        <v>215550</v>
      </c>
      <c r="B477">
        <v>229920</v>
      </c>
      <c r="C477">
        <f>A477-B477</f>
        <v>-14370</v>
      </c>
    </row>
    <row r="478" spans="1:3" x14ac:dyDescent="0.3">
      <c r="A478">
        <v>230310</v>
      </c>
      <c r="B478">
        <v>213250</v>
      </c>
      <c r="C478">
        <v>17060</v>
      </c>
    </row>
    <row r="479" spans="1:3" x14ac:dyDescent="0.3">
      <c r="A479">
        <v>38362.5</v>
      </c>
      <c r="B479">
        <v>1020</v>
      </c>
      <c r="C479">
        <f>A479-B479</f>
        <v>37342.5</v>
      </c>
    </row>
    <row r="480" spans="1:3" x14ac:dyDescent="0.3">
      <c r="A480">
        <v>8653.5</v>
      </c>
      <c r="B480">
        <v>6410</v>
      </c>
      <c r="C480">
        <v>2243.5</v>
      </c>
    </row>
    <row r="481" spans="1:3" x14ac:dyDescent="0.3">
      <c r="A481">
        <v>884205</v>
      </c>
      <c r="B481">
        <v>729820</v>
      </c>
      <c r="C481">
        <v>154385</v>
      </c>
    </row>
    <row r="482" spans="1:3" x14ac:dyDescent="0.3">
      <c r="A482">
        <v>116640</v>
      </c>
      <c r="B482">
        <v>108000</v>
      </c>
      <c r="C482">
        <v>8640</v>
      </c>
    </row>
    <row r="483" spans="1:3" x14ac:dyDescent="0.3">
      <c r="A483">
        <v>619380</v>
      </c>
      <c r="B483">
        <v>573500</v>
      </c>
      <c r="C483">
        <v>45880</v>
      </c>
    </row>
    <row r="484" spans="1:3" x14ac:dyDescent="0.3">
      <c r="A484">
        <v>29254.5</v>
      </c>
      <c r="B484">
        <v>21670</v>
      </c>
      <c r="C484">
        <v>7584.5</v>
      </c>
    </row>
    <row r="485" spans="1:3" x14ac:dyDescent="0.3">
      <c r="A485">
        <v>284512.5</v>
      </c>
      <c r="B485">
        <v>303480</v>
      </c>
      <c r="C485">
        <f>A485-B485</f>
        <v>-18967.5</v>
      </c>
    </row>
    <row r="486" spans="1:3" x14ac:dyDescent="0.3">
      <c r="A486">
        <v>589050</v>
      </c>
      <c r="B486">
        <v>486200</v>
      </c>
      <c r="C486">
        <v>102850</v>
      </c>
    </row>
    <row r="487" spans="1:3" x14ac:dyDescent="0.3">
      <c r="A487">
        <v>65137.5</v>
      </c>
      <c r="B487">
        <v>640</v>
      </c>
      <c r="C487">
        <f>A487-B487</f>
        <v>64497.5</v>
      </c>
    </row>
    <row r="488" spans="1:3" x14ac:dyDescent="0.3">
      <c r="A488">
        <v>705600</v>
      </c>
      <c r="B488">
        <v>582400</v>
      </c>
      <c r="C488">
        <v>123200</v>
      </c>
    </row>
    <row r="489" spans="1:3" x14ac:dyDescent="0.3">
      <c r="A489">
        <v>808110</v>
      </c>
      <c r="B489">
        <v>748250</v>
      </c>
      <c r="C489">
        <v>59860</v>
      </c>
    </row>
    <row r="490" spans="1:3" x14ac:dyDescent="0.3">
      <c r="A490">
        <v>38021.4</v>
      </c>
      <c r="B490">
        <v>10561.5</v>
      </c>
      <c r="C490">
        <v>27459.9</v>
      </c>
    </row>
    <row r="491" spans="1:3" x14ac:dyDescent="0.3">
      <c r="A491">
        <v>36702</v>
      </c>
      <c r="B491">
        <v>20390</v>
      </c>
      <c r="C491">
        <v>16312</v>
      </c>
    </row>
    <row r="492" spans="1:3" x14ac:dyDescent="0.3">
      <c r="A492">
        <v>27799.200000000001</v>
      </c>
      <c r="B492">
        <v>7722</v>
      </c>
      <c r="C492">
        <v>20077.2</v>
      </c>
    </row>
    <row r="493" spans="1:3" x14ac:dyDescent="0.3">
      <c r="A493">
        <v>222705</v>
      </c>
      <c r="B493">
        <v>183820</v>
      </c>
      <c r="C493">
        <v>38885</v>
      </c>
    </row>
    <row r="494" spans="1:3" x14ac:dyDescent="0.3">
      <c r="A494">
        <v>27972</v>
      </c>
      <c r="B494">
        <v>20720</v>
      </c>
      <c r="C494">
        <v>7252</v>
      </c>
    </row>
    <row r="495" spans="1:3" x14ac:dyDescent="0.3">
      <c r="A495">
        <v>230310</v>
      </c>
      <c r="B495">
        <v>213250</v>
      </c>
      <c r="C495">
        <v>17060</v>
      </c>
    </row>
    <row r="496" spans="1:3" x14ac:dyDescent="0.3">
      <c r="A496">
        <v>12794.64</v>
      </c>
      <c r="B496">
        <v>3594</v>
      </c>
      <c r="C496">
        <v>9200.64</v>
      </c>
    </row>
    <row r="497" spans="1:3" x14ac:dyDescent="0.3">
      <c r="A497">
        <v>15774.36</v>
      </c>
      <c r="B497">
        <v>12660</v>
      </c>
      <c r="C497">
        <v>3114.36</v>
      </c>
    </row>
    <row r="498" spans="1:3" x14ac:dyDescent="0.3">
      <c r="A498">
        <v>12794.64</v>
      </c>
      <c r="B498">
        <v>3594</v>
      </c>
      <c r="C498">
        <v>9200.64</v>
      </c>
    </row>
    <row r="499" spans="1:3" x14ac:dyDescent="0.3">
      <c r="A499">
        <v>5126.3999999999996</v>
      </c>
      <c r="B499">
        <v>3840</v>
      </c>
      <c r="C499">
        <v>1286.4000000000001</v>
      </c>
    </row>
    <row r="500" spans="1:3" x14ac:dyDescent="0.3">
      <c r="A500">
        <v>5040.96</v>
      </c>
      <c r="B500">
        <v>1416</v>
      </c>
      <c r="C500">
        <v>3624.96</v>
      </c>
    </row>
    <row r="501" spans="1:3" x14ac:dyDescent="0.3">
      <c r="A501">
        <v>9837.17</v>
      </c>
      <c r="B501">
        <v>7895</v>
      </c>
      <c r="C501">
        <v>1942.17</v>
      </c>
    </row>
    <row r="502" spans="1:3" x14ac:dyDescent="0.3">
      <c r="A502">
        <v>10733.4</v>
      </c>
      <c r="B502">
        <v>3015</v>
      </c>
      <c r="C502">
        <v>7718.4</v>
      </c>
    </row>
    <row r="503" spans="1:3" x14ac:dyDescent="0.3">
      <c r="A503">
        <v>42713.33</v>
      </c>
      <c r="B503">
        <v>31995</v>
      </c>
      <c r="C503">
        <v>10718.33</v>
      </c>
    </row>
    <row r="504" spans="1:3" x14ac:dyDescent="0.3">
      <c r="A504">
        <v>5040.96</v>
      </c>
      <c r="B504">
        <v>1416</v>
      </c>
      <c r="C504">
        <v>3624.96</v>
      </c>
    </row>
    <row r="505" spans="1:3" x14ac:dyDescent="0.3">
      <c r="A505">
        <v>20687.16</v>
      </c>
      <c r="B505">
        <v>5811</v>
      </c>
      <c r="C505">
        <v>14876.16</v>
      </c>
    </row>
    <row r="506" spans="1:3" x14ac:dyDescent="0.3">
      <c r="A506">
        <v>246708</v>
      </c>
      <c r="B506">
        <v>205920</v>
      </c>
      <c r="C506">
        <v>40788</v>
      </c>
    </row>
    <row r="507" spans="1:3" x14ac:dyDescent="0.3">
      <c r="A507">
        <v>750537</v>
      </c>
      <c r="B507">
        <v>702750</v>
      </c>
      <c r="C507">
        <v>47787</v>
      </c>
    </row>
    <row r="508" spans="1:3" x14ac:dyDescent="0.3">
      <c r="A508">
        <v>271561.25</v>
      </c>
      <c r="B508">
        <v>292920</v>
      </c>
      <c r="C508">
        <f>A508-B508</f>
        <v>-21358.75</v>
      </c>
    </row>
    <row r="509" spans="1:3" x14ac:dyDescent="0.3">
      <c r="A509">
        <v>20826</v>
      </c>
      <c r="B509">
        <v>15600</v>
      </c>
      <c r="C509">
        <v>5226</v>
      </c>
    </row>
    <row r="510" spans="1:3" x14ac:dyDescent="0.3">
      <c r="A510">
        <v>16858.38</v>
      </c>
      <c r="B510">
        <v>13530</v>
      </c>
      <c r="C510">
        <v>3328.38</v>
      </c>
    </row>
    <row r="511" spans="1:3" x14ac:dyDescent="0.3">
      <c r="A511">
        <v>238609</v>
      </c>
      <c r="B511">
        <v>199160</v>
      </c>
      <c r="C511">
        <v>39449</v>
      </c>
    </row>
    <row r="512" spans="1:3" x14ac:dyDescent="0.3">
      <c r="A512">
        <v>53257.599999999999</v>
      </c>
      <c r="B512">
        <v>29920</v>
      </c>
      <c r="C512">
        <v>23337.599999999999</v>
      </c>
    </row>
    <row r="513" spans="1:3" x14ac:dyDescent="0.3">
      <c r="A513">
        <v>28795.95</v>
      </c>
      <c r="B513">
        <v>21570</v>
      </c>
      <c r="C513">
        <v>7225.95</v>
      </c>
    </row>
    <row r="514" spans="1:3" x14ac:dyDescent="0.3">
      <c r="A514">
        <v>233091</v>
      </c>
      <c r="B514">
        <v>218250</v>
      </c>
      <c r="C514">
        <v>14841</v>
      </c>
    </row>
    <row r="515" spans="1:3" x14ac:dyDescent="0.3">
      <c r="A515">
        <v>19971.599999999999</v>
      </c>
      <c r="B515">
        <v>11220</v>
      </c>
      <c r="C515">
        <v>8751.6</v>
      </c>
    </row>
    <row r="516" spans="1:3" x14ac:dyDescent="0.3">
      <c r="A516">
        <v>655551.75</v>
      </c>
      <c r="B516">
        <v>547170</v>
      </c>
      <c r="C516">
        <v>108381.75</v>
      </c>
    </row>
    <row r="517" spans="1:3" x14ac:dyDescent="0.3">
      <c r="A517">
        <v>42997.68</v>
      </c>
      <c r="B517">
        <v>12078</v>
      </c>
      <c r="C517">
        <v>30919.68</v>
      </c>
    </row>
    <row r="518" spans="1:3" x14ac:dyDescent="0.3">
      <c r="A518">
        <v>25904.34</v>
      </c>
      <c r="B518">
        <v>7276.5</v>
      </c>
      <c r="C518">
        <v>18627.84</v>
      </c>
    </row>
    <row r="519" spans="1:3" x14ac:dyDescent="0.3">
      <c r="A519">
        <v>42613.2</v>
      </c>
      <c r="B519">
        <v>23940</v>
      </c>
      <c r="C519">
        <v>18673.2</v>
      </c>
    </row>
    <row r="520" spans="1:3" x14ac:dyDescent="0.3">
      <c r="A520">
        <v>26486.400000000001</v>
      </c>
      <c r="B520">
        <v>19840</v>
      </c>
      <c r="C520">
        <v>6646.4</v>
      </c>
    </row>
    <row r="521" spans="1:3" x14ac:dyDescent="0.3">
      <c r="A521">
        <v>271561.25</v>
      </c>
      <c r="B521">
        <v>292920</v>
      </c>
      <c r="C521">
        <f>A521-B521</f>
        <v>-21358.75</v>
      </c>
    </row>
    <row r="522" spans="1:3" x14ac:dyDescent="0.3">
      <c r="A522">
        <v>53257.599999999999</v>
      </c>
      <c r="B522">
        <v>29920</v>
      </c>
      <c r="C522">
        <v>23337.599999999999</v>
      </c>
    </row>
    <row r="523" spans="1:3" x14ac:dyDescent="0.3">
      <c r="A523">
        <v>364722</v>
      </c>
      <c r="B523">
        <v>341500</v>
      </c>
      <c r="C523">
        <v>23222</v>
      </c>
    </row>
    <row r="524" spans="1:3" x14ac:dyDescent="0.3">
      <c r="A524">
        <v>49929</v>
      </c>
      <c r="B524">
        <v>28050</v>
      </c>
      <c r="C524">
        <v>21879</v>
      </c>
    </row>
    <row r="525" spans="1:3" x14ac:dyDescent="0.3">
      <c r="A525">
        <v>8744.25</v>
      </c>
      <c r="B525">
        <v>6550</v>
      </c>
      <c r="C525">
        <v>2194.25</v>
      </c>
    </row>
    <row r="526" spans="1:3" x14ac:dyDescent="0.3">
      <c r="A526">
        <v>107156</v>
      </c>
      <c r="B526">
        <v>89440</v>
      </c>
      <c r="C526">
        <v>17716</v>
      </c>
    </row>
    <row r="527" spans="1:3" x14ac:dyDescent="0.3">
      <c r="A527">
        <v>11263.84</v>
      </c>
      <c r="B527">
        <v>9040</v>
      </c>
      <c r="C527">
        <v>2223.84</v>
      </c>
    </row>
    <row r="528" spans="1:3" x14ac:dyDescent="0.3">
      <c r="A528">
        <v>18519.12</v>
      </c>
      <c r="B528">
        <v>5202</v>
      </c>
      <c r="C528">
        <v>13317.12</v>
      </c>
    </row>
    <row r="529" spans="1:3" x14ac:dyDescent="0.3">
      <c r="A529">
        <v>61632.5</v>
      </c>
      <c r="B529">
        <v>66480</v>
      </c>
      <c r="C529">
        <f>A529-B529</f>
        <v>-4847.5</v>
      </c>
    </row>
    <row r="530" spans="1:3" x14ac:dyDescent="0.3">
      <c r="A530">
        <v>52243</v>
      </c>
      <c r="B530">
        <v>29350</v>
      </c>
      <c r="C530">
        <v>22893</v>
      </c>
    </row>
    <row r="531" spans="1:3" x14ac:dyDescent="0.3">
      <c r="A531">
        <v>352106.25</v>
      </c>
      <c r="B531">
        <v>37980</v>
      </c>
      <c r="C531">
        <f>A531-B531</f>
        <v>314126.25</v>
      </c>
    </row>
    <row r="532" spans="1:3" x14ac:dyDescent="0.3">
      <c r="A532">
        <v>46796.2</v>
      </c>
      <c r="B532">
        <v>26290</v>
      </c>
      <c r="C532">
        <v>20506.2</v>
      </c>
    </row>
    <row r="533" spans="1:3" x14ac:dyDescent="0.3">
      <c r="A533">
        <v>159421.25</v>
      </c>
      <c r="B533">
        <v>17190</v>
      </c>
      <c r="C533">
        <f>A533-B533</f>
        <v>142231.25</v>
      </c>
    </row>
    <row r="534" spans="1:3" x14ac:dyDescent="0.3">
      <c r="A534">
        <v>105353.75</v>
      </c>
      <c r="B534">
        <v>113640</v>
      </c>
      <c r="C534">
        <f>A534-B534</f>
        <v>-8286.25</v>
      </c>
    </row>
    <row r="535" spans="1:3" x14ac:dyDescent="0.3">
      <c r="A535">
        <v>107156</v>
      </c>
      <c r="B535">
        <v>89440</v>
      </c>
      <c r="C535">
        <v>17716</v>
      </c>
    </row>
    <row r="536" spans="1:3" x14ac:dyDescent="0.3">
      <c r="A536">
        <v>28795.95</v>
      </c>
      <c r="B536">
        <v>21570</v>
      </c>
      <c r="C536">
        <v>7225.95</v>
      </c>
    </row>
    <row r="537" spans="1:3" x14ac:dyDescent="0.3">
      <c r="A537">
        <v>2367.4</v>
      </c>
      <c r="B537">
        <v>1900</v>
      </c>
      <c r="C537">
        <v>467.4</v>
      </c>
    </row>
    <row r="538" spans="1:3" x14ac:dyDescent="0.3">
      <c r="A538">
        <v>272888</v>
      </c>
      <c r="B538">
        <v>230360</v>
      </c>
      <c r="C538">
        <v>42528</v>
      </c>
    </row>
    <row r="539" spans="1:3" x14ac:dyDescent="0.3">
      <c r="A539">
        <v>265760</v>
      </c>
      <c r="B539">
        <v>289920</v>
      </c>
      <c r="C539">
        <f>A539-B539</f>
        <v>-24160</v>
      </c>
    </row>
    <row r="540" spans="1:3" x14ac:dyDescent="0.3">
      <c r="A540">
        <v>237160</v>
      </c>
      <c r="B540">
        <v>258720</v>
      </c>
      <c r="C540">
        <f>A540-B540</f>
        <v>-21560</v>
      </c>
    </row>
    <row r="541" spans="1:3" x14ac:dyDescent="0.3">
      <c r="A541">
        <v>35494.800000000003</v>
      </c>
      <c r="B541">
        <v>26890</v>
      </c>
      <c r="C541">
        <v>8604.7999999999993</v>
      </c>
    </row>
    <row r="542" spans="1:3" x14ac:dyDescent="0.3">
      <c r="A542">
        <v>8936.4</v>
      </c>
      <c r="B542">
        <v>6770</v>
      </c>
      <c r="C542">
        <v>2166.4</v>
      </c>
    </row>
    <row r="543" spans="1:3" x14ac:dyDescent="0.3">
      <c r="A543">
        <v>468072</v>
      </c>
      <c r="B543">
        <v>443250</v>
      </c>
      <c r="C543">
        <v>24822</v>
      </c>
    </row>
    <row r="544" spans="1:3" x14ac:dyDescent="0.3">
      <c r="A544">
        <v>14907.2</v>
      </c>
      <c r="B544">
        <v>12100</v>
      </c>
      <c r="C544">
        <v>2807.2</v>
      </c>
    </row>
    <row r="545" spans="1:3" x14ac:dyDescent="0.3">
      <c r="A545">
        <v>16841.439999999999</v>
      </c>
      <c r="B545">
        <v>13670</v>
      </c>
      <c r="C545">
        <v>3171.44</v>
      </c>
    </row>
    <row r="546" spans="1:3" x14ac:dyDescent="0.3">
      <c r="A546">
        <v>30184</v>
      </c>
      <c r="B546">
        <v>17150</v>
      </c>
      <c r="C546">
        <v>13034</v>
      </c>
    </row>
    <row r="547" spans="1:3" x14ac:dyDescent="0.3">
      <c r="A547">
        <v>313104</v>
      </c>
      <c r="B547">
        <v>296500</v>
      </c>
      <c r="C547">
        <v>16604</v>
      </c>
    </row>
    <row r="548" spans="1:3" x14ac:dyDescent="0.3">
      <c r="A548">
        <v>922680</v>
      </c>
      <c r="B548">
        <v>873750</v>
      </c>
      <c r="C548">
        <v>48930</v>
      </c>
    </row>
    <row r="549" spans="1:3" x14ac:dyDescent="0.3">
      <c r="A549">
        <v>272888</v>
      </c>
      <c r="B549">
        <v>230360</v>
      </c>
      <c r="C549">
        <v>42528</v>
      </c>
    </row>
    <row r="550" spans="1:3" x14ac:dyDescent="0.3">
      <c r="A550">
        <v>237160</v>
      </c>
      <c r="B550">
        <v>258720</v>
      </c>
      <c r="C550">
        <f>A550-B550</f>
        <v>-21560</v>
      </c>
    </row>
    <row r="551" spans="1:3" x14ac:dyDescent="0.3">
      <c r="A551">
        <v>15928</v>
      </c>
      <c r="B551">
        <v>9050</v>
      </c>
      <c r="C551">
        <v>6878</v>
      </c>
    </row>
    <row r="552" spans="1:3" x14ac:dyDescent="0.3">
      <c r="A552">
        <v>30184</v>
      </c>
      <c r="B552">
        <v>17150</v>
      </c>
      <c r="C552">
        <v>13034</v>
      </c>
    </row>
    <row r="553" spans="1:3" x14ac:dyDescent="0.3">
      <c r="A553">
        <v>490952</v>
      </c>
      <c r="B553">
        <v>414440</v>
      </c>
      <c r="C553">
        <v>76512</v>
      </c>
    </row>
    <row r="554" spans="1:3" x14ac:dyDescent="0.3">
      <c r="A554">
        <v>358776</v>
      </c>
      <c r="B554">
        <v>339750</v>
      </c>
      <c r="C554">
        <v>19026</v>
      </c>
    </row>
    <row r="555" spans="1:3" x14ac:dyDescent="0.3">
      <c r="A555">
        <v>567600</v>
      </c>
      <c r="B555">
        <v>537500</v>
      </c>
      <c r="C555">
        <v>30100</v>
      </c>
    </row>
    <row r="556" spans="1:3" x14ac:dyDescent="0.3">
      <c r="A556">
        <v>368676</v>
      </c>
      <c r="B556">
        <v>311220</v>
      </c>
      <c r="C556">
        <v>57456</v>
      </c>
    </row>
    <row r="557" spans="1:3" x14ac:dyDescent="0.3">
      <c r="A557">
        <v>5016</v>
      </c>
      <c r="B557">
        <v>3800</v>
      </c>
      <c r="C557">
        <v>1216</v>
      </c>
    </row>
    <row r="558" spans="1:3" x14ac:dyDescent="0.3">
      <c r="A558">
        <v>21700.799999999999</v>
      </c>
      <c r="B558">
        <v>12330</v>
      </c>
      <c r="C558">
        <v>9370.7999999999993</v>
      </c>
    </row>
    <row r="559" spans="1:3" x14ac:dyDescent="0.3">
      <c r="A559">
        <v>429660</v>
      </c>
      <c r="B559">
        <v>362700</v>
      </c>
      <c r="C559">
        <v>66960</v>
      </c>
    </row>
    <row r="560" spans="1:3" x14ac:dyDescent="0.3">
      <c r="A560">
        <v>303688</v>
      </c>
      <c r="B560">
        <v>256360</v>
      </c>
      <c r="C560">
        <v>47328</v>
      </c>
    </row>
    <row r="561" spans="1:3" x14ac:dyDescent="0.3">
      <c r="A561">
        <v>15928</v>
      </c>
      <c r="B561">
        <v>9050</v>
      </c>
      <c r="C561">
        <v>6878</v>
      </c>
    </row>
    <row r="562" spans="1:3" x14ac:dyDescent="0.3">
      <c r="A562">
        <v>22271.040000000001</v>
      </c>
      <c r="B562">
        <v>6327</v>
      </c>
      <c r="C562">
        <v>15944.04</v>
      </c>
    </row>
    <row r="563" spans="1:3" x14ac:dyDescent="0.3">
      <c r="A563">
        <v>51143.4</v>
      </c>
      <c r="B563">
        <v>38745</v>
      </c>
      <c r="C563">
        <v>12398.4</v>
      </c>
    </row>
    <row r="564" spans="1:3" x14ac:dyDescent="0.3">
      <c r="A564">
        <v>191884</v>
      </c>
      <c r="B564">
        <v>161980</v>
      </c>
      <c r="C564">
        <v>29904</v>
      </c>
    </row>
    <row r="565" spans="1:3" x14ac:dyDescent="0.3">
      <c r="A565">
        <v>303688</v>
      </c>
      <c r="B565">
        <v>256360</v>
      </c>
      <c r="C565">
        <v>47328</v>
      </c>
    </row>
    <row r="566" spans="1:3" x14ac:dyDescent="0.3">
      <c r="A566">
        <v>262570</v>
      </c>
      <c r="B566">
        <v>286440</v>
      </c>
      <c r="C566">
        <f>A566-B566</f>
        <v>-23870</v>
      </c>
    </row>
    <row r="567" spans="1:3" x14ac:dyDescent="0.3">
      <c r="A567">
        <v>21700.799999999999</v>
      </c>
      <c r="B567">
        <v>12330</v>
      </c>
      <c r="C567">
        <v>9370.7999999999993</v>
      </c>
    </row>
    <row r="568" spans="1:3" x14ac:dyDescent="0.3">
      <c r="A568">
        <v>83160</v>
      </c>
      <c r="B568">
        <v>70200</v>
      </c>
      <c r="C568">
        <v>12960</v>
      </c>
    </row>
    <row r="569" spans="1:3" x14ac:dyDescent="0.3">
      <c r="A569">
        <v>21076.44</v>
      </c>
      <c r="B569">
        <v>17107.5</v>
      </c>
      <c r="C569">
        <v>3968.94</v>
      </c>
    </row>
    <row r="570" spans="1:3" x14ac:dyDescent="0.3">
      <c r="A570">
        <v>16841.439999999999</v>
      </c>
      <c r="B570">
        <v>13670</v>
      </c>
      <c r="C570">
        <v>3171.44</v>
      </c>
    </row>
    <row r="571" spans="1:3" x14ac:dyDescent="0.3">
      <c r="A571">
        <v>33633.599999999999</v>
      </c>
      <c r="B571">
        <v>25480</v>
      </c>
      <c r="C571">
        <v>8153.6</v>
      </c>
    </row>
    <row r="572" spans="1:3" x14ac:dyDescent="0.3">
      <c r="A572">
        <v>44378.400000000001</v>
      </c>
      <c r="B572">
        <v>25215</v>
      </c>
      <c r="C572">
        <v>19163.400000000001</v>
      </c>
    </row>
    <row r="573" spans="1:3" x14ac:dyDescent="0.3">
      <c r="A573">
        <v>28100.16</v>
      </c>
      <c r="B573">
        <v>7983</v>
      </c>
      <c r="C573">
        <v>20117.16</v>
      </c>
    </row>
    <row r="574" spans="1:3" x14ac:dyDescent="0.3">
      <c r="A574">
        <v>26945.599999999999</v>
      </c>
      <c r="B574">
        <v>15310</v>
      </c>
      <c r="C574">
        <v>11635.6</v>
      </c>
    </row>
    <row r="575" spans="1:3" x14ac:dyDescent="0.3">
      <c r="A575">
        <v>9184.56</v>
      </c>
      <c r="B575">
        <v>7455</v>
      </c>
      <c r="C575">
        <v>1729.56</v>
      </c>
    </row>
    <row r="576" spans="1:3" x14ac:dyDescent="0.3">
      <c r="A576">
        <v>26945.599999999999</v>
      </c>
      <c r="B576">
        <v>15310</v>
      </c>
      <c r="C576">
        <v>11635.6</v>
      </c>
    </row>
    <row r="577" spans="1:3" x14ac:dyDescent="0.3">
      <c r="A577">
        <v>29156.16</v>
      </c>
      <c r="B577">
        <v>8283</v>
      </c>
      <c r="C577">
        <v>20873.16</v>
      </c>
    </row>
    <row r="578" spans="1:3" x14ac:dyDescent="0.3">
      <c r="A578">
        <v>33499.35</v>
      </c>
      <c r="B578">
        <v>25670</v>
      </c>
      <c r="C578">
        <v>7829.35</v>
      </c>
    </row>
    <row r="579" spans="1:3" x14ac:dyDescent="0.3">
      <c r="A579">
        <v>33499.35</v>
      </c>
      <c r="B579">
        <v>25670</v>
      </c>
      <c r="C579">
        <v>7829.35</v>
      </c>
    </row>
    <row r="580" spans="1:3" x14ac:dyDescent="0.3">
      <c r="A580">
        <v>281053.5</v>
      </c>
      <c r="B580">
        <v>239980</v>
      </c>
      <c r="C580">
        <v>41073.5</v>
      </c>
    </row>
    <row r="581" spans="1:3" x14ac:dyDescent="0.3">
      <c r="A581">
        <v>545055</v>
      </c>
      <c r="B581">
        <v>465400</v>
      </c>
      <c r="C581">
        <v>79655</v>
      </c>
    </row>
    <row r="582" spans="1:3" x14ac:dyDescent="0.3">
      <c r="A582">
        <v>7690.8</v>
      </c>
      <c r="B582">
        <v>4420</v>
      </c>
      <c r="C582">
        <v>3270.8</v>
      </c>
    </row>
    <row r="583" spans="1:3" x14ac:dyDescent="0.3">
      <c r="A583">
        <v>299171.25</v>
      </c>
      <c r="B583">
        <v>255450</v>
      </c>
      <c r="C583">
        <v>43721.25</v>
      </c>
    </row>
    <row r="584" spans="1:3" x14ac:dyDescent="0.3">
      <c r="A584">
        <v>7904.82</v>
      </c>
      <c r="B584">
        <v>6490</v>
      </c>
      <c r="C584">
        <v>1414.82</v>
      </c>
    </row>
    <row r="585" spans="1:3" x14ac:dyDescent="0.3">
      <c r="A585">
        <v>6305.76</v>
      </c>
      <c r="B585">
        <v>1812</v>
      </c>
      <c r="C585">
        <v>4493.76</v>
      </c>
    </row>
    <row r="586" spans="1:3" x14ac:dyDescent="0.3">
      <c r="A586">
        <v>39237</v>
      </c>
      <c r="B586">
        <v>22550</v>
      </c>
      <c r="C586">
        <v>16687</v>
      </c>
    </row>
    <row r="587" spans="1:3" x14ac:dyDescent="0.3">
      <c r="A587">
        <v>21732.6</v>
      </c>
      <c r="B587">
        <v>12490</v>
      </c>
      <c r="C587">
        <v>9242.6</v>
      </c>
    </row>
    <row r="588" spans="1:3" x14ac:dyDescent="0.3">
      <c r="A588">
        <v>8760.4699999999993</v>
      </c>
      <c r="B588">
        <v>7192.5</v>
      </c>
      <c r="C588">
        <v>1567.97</v>
      </c>
    </row>
    <row r="589" spans="1:3" x14ac:dyDescent="0.3">
      <c r="A589">
        <v>210627</v>
      </c>
      <c r="B589">
        <v>201750</v>
      </c>
      <c r="C589">
        <v>8877</v>
      </c>
    </row>
    <row r="590" spans="1:3" x14ac:dyDescent="0.3">
      <c r="A590">
        <v>45953.4</v>
      </c>
      <c r="B590">
        <v>26410</v>
      </c>
      <c r="C590">
        <v>19543.400000000001</v>
      </c>
    </row>
    <row r="591" spans="1:3" x14ac:dyDescent="0.3">
      <c r="A591">
        <v>47119.199999999997</v>
      </c>
      <c r="B591">
        <v>27080</v>
      </c>
      <c r="C591">
        <v>20039.2</v>
      </c>
    </row>
    <row r="592" spans="1:3" x14ac:dyDescent="0.3">
      <c r="A592">
        <v>801444</v>
      </c>
      <c r="B592">
        <v>684320</v>
      </c>
      <c r="C592">
        <v>117124</v>
      </c>
    </row>
    <row r="593" spans="1:3" x14ac:dyDescent="0.3">
      <c r="A593">
        <v>172151.25</v>
      </c>
      <c r="B593">
        <v>189960</v>
      </c>
      <c r="C593">
        <f>A593-B593</f>
        <v>-17808.75</v>
      </c>
    </row>
    <row r="594" spans="1:3" x14ac:dyDescent="0.3">
      <c r="A594">
        <v>5961.24</v>
      </c>
      <c r="B594">
        <v>1713</v>
      </c>
      <c r="C594">
        <v>4248.24</v>
      </c>
    </row>
    <row r="595" spans="1:3" x14ac:dyDescent="0.3">
      <c r="A595">
        <v>16418.64</v>
      </c>
      <c r="B595">
        <v>13480</v>
      </c>
      <c r="C595">
        <v>2938.64</v>
      </c>
    </row>
    <row r="596" spans="1:3" x14ac:dyDescent="0.3">
      <c r="A596">
        <v>20423.25</v>
      </c>
      <c r="B596">
        <v>15650</v>
      </c>
      <c r="C596">
        <v>4773.25</v>
      </c>
    </row>
    <row r="597" spans="1:3" x14ac:dyDescent="0.3">
      <c r="A597">
        <v>21732.6</v>
      </c>
      <c r="B597">
        <v>12490</v>
      </c>
      <c r="C597">
        <v>9242.6</v>
      </c>
    </row>
    <row r="598" spans="1:3" x14ac:dyDescent="0.3">
      <c r="A598">
        <v>108706.5</v>
      </c>
      <c r="B598">
        <v>92820</v>
      </c>
      <c r="C598">
        <v>15886.5</v>
      </c>
    </row>
    <row r="599" spans="1:3" x14ac:dyDescent="0.3">
      <c r="A599">
        <v>10575.72</v>
      </c>
      <c r="B599">
        <v>3039</v>
      </c>
      <c r="C599">
        <v>7536.72</v>
      </c>
    </row>
    <row r="600" spans="1:3" x14ac:dyDescent="0.3">
      <c r="A600">
        <v>52167.38</v>
      </c>
      <c r="B600">
        <v>39975</v>
      </c>
      <c r="C600">
        <v>12192.38</v>
      </c>
    </row>
    <row r="601" spans="1:3" x14ac:dyDescent="0.3">
      <c r="A601">
        <v>801444</v>
      </c>
      <c r="B601">
        <v>684320</v>
      </c>
      <c r="C601">
        <v>117124</v>
      </c>
    </row>
    <row r="602" spans="1:3" x14ac:dyDescent="0.3">
      <c r="A602">
        <v>7247.1</v>
      </c>
      <c r="B602">
        <v>5950</v>
      </c>
      <c r="C602">
        <v>1297.0999999999999</v>
      </c>
    </row>
    <row r="603" spans="1:3" x14ac:dyDescent="0.3">
      <c r="A603">
        <v>6305.76</v>
      </c>
      <c r="B603">
        <v>1812</v>
      </c>
      <c r="C603">
        <v>4493.76</v>
      </c>
    </row>
    <row r="604" spans="1:3" x14ac:dyDescent="0.3">
      <c r="A604">
        <v>8613</v>
      </c>
      <c r="B604">
        <v>6600</v>
      </c>
      <c r="C604">
        <v>2013</v>
      </c>
    </row>
    <row r="605" spans="1:3" x14ac:dyDescent="0.3">
      <c r="A605">
        <v>4280.3999999999996</v>
      </c>
      <c r="B605">
        <v>1230</v>
      </c>
      <c r="C605">
        <v>3050.4</v>
      </c>
    </row>
    <row r="606" spans="1:3" x14ac:dyDescent="0.3">
      <c r="A606">
        <v>679905</v>
      </c>
      <c r="B606">
        <v>651250</v>
      </c>
      <c r="C606">
        <v>28655</v>
      </c>
    </row>
    <row r="607" spans="1:3" x14ac:dyDescent="0.3">
      <c r="A607">
        <v>10575.72</v>
      </c>
      <c r="B607">
        <v>3039</v>
      </c>
      <c r="C607">
        <v>7536.72</v>
      </c>
    </row>
    <row r="608" spans="1:3" x14ac:dyDescent="0.3">
      <c r="A608">
        <v>172151.25</v>
      </c>
      <c r="B608">
        <v>189960</v>
      </c>
      <c r="C608">
        <f>A608-B608</f>
        <v>-17808.75</v>
      </c>
    </row>
    <row r="609" spans="1:3" x14ac:dyDescent="0.3">
      <c r="A609">
        <v>20423.25</v>
      </c>
      <c r="B609">
        <v>15650</v>
      </c>
      <c r="C609">
        <v>4773.25</v>
      </c>
    </row>
    <row r="610" spans="1:3" x14ac:dyDescent="0.3">
      <c r="A610">
        <v>180416.25</v>
      </c>
      <c r="B610">
        <v>199080</v>
      </c>
      <c r="C610">
        <f>A610-B610</f>
        <v>-18663.75</v>
      </c>
    </row>
    <row r="611" spans="1:3" x14ac:dyDescent="0.3">
      <c r="A611">
        <v>7247.1</v>
      </c>
      <c r="B611">
        <v>5950</v>
      </c>
      <c r="C611">
        <v>1297.0999999999999</v>
      </c>
    </row>
    <row r="612" spans="1:3" x14ac:dyDescent="0.3">
      <c r="A612">
        <v>4280.3999999999996</v>
      </c>
      <c r="B612">
        <v>1230</v>
      </c>
      <c r="C612">
        <v>3050.4</v>
      </c>
    </row>
    <row r="613" spans="1:3" x14ac:dyDescent="0.3">
      <c r="A613">
        <v>18478.8</v>
      </c>
      <c r="B613">
        <v>5310</v>
      </c>
      <c r="C613">
        <v>13168.8</v>
      </c>
    </row>
    <row r="614" spans="1:3" x14ac:dyDescent="0.3">
      <c r="A614">
        <v>44358.8</v>
      </c>
      <c r="B614">
        <v>25790</v>
      </c>
      <c r="C614">
        <v>18568.8</v>
      </c>
    </row>
    <row r="615" spans="1:3" x14ac:dyDescent="0.3">
      <c r="A615">
        <v>29979.599999999999</v>
      </c>
      <c r="B615">
        <v>17430</v>
      </c>
      <c r="C615">
        <v>12549.6</v>
      </c>
    </row>
    <row r="616" spans="1:3" x14ac:dyDescent="0.3">
      <c r="A616">
        <v>18035.919999999998</v>
      </c>
      <c r="B616">
        <v>14980</v>
      </c>
      <c r="C616">
        <v>3055.92</v>
      </c>
    </row>
    <row r="617" spans="1:3" x14ac:dyDescent="0.3">
      <c r="A617">
        <v>1685.6</v>
      </c>
      <c r="B617">
        <v>1400</v>
      </c>
      <c r="C617">
        <v>285.60000000000002</v>
      </c>
    </row>
    <row r="618" spans="1:3" x14ac:dyDescent="0.3">
      <c r="A618">
        <v>1763.86</v>
      </c>
      <c r="B618">
        <v>1465</v>
      </c>
      <c r="C618">
        <v>298.86</v>
      </c>
    </row>
    <row r="619" spans="1:3" x14ac:dyDescent="0.3">
      <c r="A619">
        <v>18035.919999999998</v>
      </c>
      <c r="B619">
        <v>14980</v>
      </c>
      <c r="C619">
        <v>3055.92</v>
      </c>
    </row>
    <row r="620" spans="1:3" x14ac:dyDescent="0.3">
      <c r="A620">
        <v>3586.2</v>
      </c>
      <c r="B620">
        <v>2780</v>
      </c>
      <c r="C620">
        <v>806.2</v>
      </c>
    </row>
    <row r="621" spans="1:3" x14ac:dyDescent="0.3">
      <c r="A621">
        <v>41761.599999999999</v>
      </c>
      <c r="B621">
        <v>24280</v>
      </c>
      <c r="C621">
        <v>17481.599999999999</v>
      </c>
    </row>
    <row r="622" spans="1:3" x14ac:dyDescent="0.3">
      <c r="A622">
        <v>22794.3</v>
      </c>
      <c r="B622">
        <v>17670</v>
      </c>
      <c r="C622">
        <v>5124.3</v>
      </c>
    </row>
    <row r="623" spans="1:3" x14ac:dyDescent="0.3">
      <c r="A623">
        <v>14375.76</v>
      </c>
      <c r="B623">
        <v>4179</v>
      </c>
      <c r="C623">
        <v>10196.76</v>
      </c>
    </row>
    <row r="624" spans="1:3" x14ac:dyDescent="0.3">
      <c r="A624">
        <v>1685.6</v>
      </c>
      <c r="B624">
        <v>1400</v>
      </c>
      <c r="C624">
        <v>285.60000000000002</v>
      </c>
    </row>
    <row r="625" spans="1:3" x14ac:dyDescent="0.3">
      <c r="A625">
        <v>14375.76</v>
      </c>
      <c r="B625">
        <v>4179</v>
      </c>
      <c r="C625">
        <v>10196.76</v>
      </c>
    </row>
    <row r="626" spans="1:3" x14ac:dyDescent="0.3">
      <c r="A626">
        <v>20794.8</v>
      </c>
      <c r="B626">
        <v>6045</v>
      </c>
      <c r="C626">
        <v>14749.8</v>
      </c>
    </row>
    <row r="627" spans="1:3" x14ac:dyDescent="0.3">
      <c r="A627">
        <v>206658</v>
      </c>
      <c r="B627">
        <v>200250</v>
      </c>
      <c r="C627">
        <v>6408</v>
      </c>
    </row>
    <row r="628" spans="1:3" x14ac:dyDescent="0.3">
      <c r="A628">
        <v>109972.5</v>
      </c>
      <c r="B628">
        <v>122760</v>
      </c>
      <c r="C628">
        <f>A628-B628</f>
        <v>-12787.5</v>
      </c>
    </row>
    <row r="629" spans="1:3" x14ac:dyDescent="0.3">
      <c r="A629">
        <v>385968</v>
      </c>
      <c r="B629">
        <v>374000</v>
      </c>
      <c r="C629">
        <v>11968</v>
      </c>
    </row>
    <row r="630" spans="1:3" x14ac:dyDescent="0.3">
      <c r="A630">
        <v>260580</v>
      </c>
      <c r="B630">
        <v>252500</v>
      </c>
      <c r="C630">
        <v>8080</v>
      </c>
    </row>
    <row r="631" spans="1:3" x14ac:dyDescent="0.3">
      <c r="A631">
        <v>19517.7</v>
      </c>
      <c r="B631">
        <v>15130</v>
      </c>
      <c r="C631">
        <v>4387.7</v>
      </c>
    </row>
    <row r="632" spans="1:3" x14ac:dyDescent="0.3">
      <c r="A632">
        <v>29670</v>
      </c>
      <c r="B632">
        <v>23000</v>
      </c>
      <c r="C632">
        <v>6670</v>
      </c>
    </row>
    <row r="633" spans="1:3" x14ac:dyDescent="0.3">
      <c r="A633">
        <v>303257.5</v>
      </c>
      <c r="B633">
        <v>338520</v>
      </c>
      <c r="C633">
        <f>A633-B633</f>
        <v>-35262.5</v>
      </c>
    </row>
    <row r="634" spans="1:3" x14ac:dyDescent="0.3">
      <c r="A634">
        <v>670477.5</v>
      </c>
      <c r="B634">
        <v>579150</v>
      </c>
      <c r="C634">
        <v>91327.5</v>
      </c>
    </row>
    <row r="635" spans="1:3" x14ac:dyDescent="0.3">
      <c r="A635">
        <v>360899</v>
      </c>
      <c r="B635">
        <v>311740</v>
      </c>
      <c r="C635">
        <v>49159</v>
      </c>
    </row>
    <row r="636" spans="1:3" x14ac:dyDescent="0.3">
      <c r="A636">
        <v>60200</v>
      </c>
      <c r="B636">
        <v>52000</v>
      </c>
      <c r="C636">
        <v>8200</v>
      </c>
    </row>
    <row r="637" spans="1:3" x14ac:dyDescent="0.3">
      <c r="A637">
        <v>2335.7600000000002</v>
      </c>
      <c r="B637">
        <v>1940</v>
      </c>
      <c r="C637">
        <v>395.76</v>
      </c>
    </row>
    <row r="638" spans="1:3" x14ac:dyDescent="0.3">
      <c r="A638">
        <v>10396.540000000001</v>
      </c>
      <c r="B638">
        <v>8635</v>
      </c>
      <c r="C638">
        <v>1761.54</v>
      </c>
    </row>
    <row r="639" spans="1:3" x14ac:dyDescent="0.3">
      <c r="A639">
        <v>29670</v>
      </c>
      <c r="B639">
        <v>23000</v>
      </c>
      <c r="C639">
        <v>6670</v>
      </c>
    </row>
    <row r="640" spans="1:3" x14ac:dyDescent="0.3">
      <c r="A640">
        <v>4472</v>
      </c>
      <c r="B640">
        <v>2600</v>
      </c>
      <c r="C640">
        <v>1872</v>
      </c>
    </row>
    <row r="641" spans="1:3" x14ac:dyDescent="0.3">
      <c r="A641">
        <v>31863</v>
      </c>
      <c r="B641">
        <v>24700</v>
      </c>
      <c r="C641">
        <v>7163</v>
      </c>
    </row>
    <row r="642" spans="1:3" x14ac:dyDescent="0.3">
      <c r="A642">
        <v>22484.7</v>
      </c>
      <c r="B642">
        <v>17430</v>
      </c>
      <c r="C642">
        <v>5054.7</v>
      </c>
    </row>
    <row r="643" spans="1:3" x14ac:dyDescent="0.3">
      <c r="A643">
        <v>30072.48</v>
      </c>
      <c r="B643">
        <v>8742</v>
      </c>
      <c r="C643">
        <v>21330.48</v>
      </c>
    </row>
    <row r="644" spans="1:3" x14ac:dyDescent="0.3">
      <c r="A644">
        <v>10420.620000000001</v>
      </c>
      <c r="B644">
        <v>8655</v>
      </c>
      <c r="C644">
        <v>1765.62</v>
      </c>
    </row>
    <row r="645" spans="1:3" x14ac:dyDescent="0.3">
      <c r="A645">
        <v>210700</v>
      </c>
      <c r="B645">
        <v>182000</v>
      </c>
      <c r="C645">
        <v>28700</v>
      </c>
    </row>
    <row r="646" spans="1:3" x14ac:dyDescent="0.3">
      <c r="A646">
        <v>22931.040000000001</v>
      </c>
      <c r="B646">
        <v>6666</v>
      </c>
      <c r="C646">
        <v>16265.04</v>
      </c>
    </row>
    <row r="647" spans="1:3" x14ac:dyDescent="0.3">
      <c r="A647">
        <v>354277</v>
      </c>
      <c r="B647">
        <v>306020</v>
      </c>
      <c r="C647">
        <v>48257</v>
      </c>
    </row>
    <row r="648" spans="1:3" x14ac:dyDescent="0.3">
      <c r="A648">
        <v>578522</v>
      </c>
      <c r="B648">
        <v>499720</v>
      </c>
      <c r="C648">
        <v>78802</v>
      </c>
    </row>
    <row r="649" spans="1:3" x14ac:dyDescent="0.3">
      <c r="A649">
        <v>169312.5</v>
      </c>
      <c r="B649">
        <v>189000</v>
      </c>
      <c r="C649">
        <f>A649-B649</f>
        <v>-19687.5</v>
      </c>
    </row>
    <row r="650" spans="1:3" x14ac:dyDescent="0.3">
      <c r="A650">
        <v>10423.200000000001</v>
      </c>
      <c r="B650">
        <v>6060</v>
      </c>
      <c r="C650">
        <v>4363.2</v>
      </c>
    </row>
    <row r="651" spans="1:3" x14ac:dyDescent="0.3">
      <c r="A651">
        <v>634680</v>
      </c>
      <c r="B651">
        <v>615000</v>
      </c>
      <c r="C651">
        <v>19680</v>
      </c>
    </row>
    <row r="652" spans="1:3" x14ac:dyDescent="0.3">
      <c r="A652">
        <v>69402</v>
      </c>
      <c r="B652">
        <v>67250</v>
      </c>
      <c r="C652">
        <v>2152</v>
      </c>
    </row>
    <row r="653" spans="1:3" x14ac:dyDescent="0.3">
      <c r="A653">
        <v>654288</v>
      </c>
      <c r="B653">
        <v>634000</v>
      </c>
      <c r="C653">
        <v>20288</v>
      </c>
    </row>
    <row r="654" spans="1:3" x14ac:dyDescent="0.3">
      <c r="A654">
        <v>17476.060000000001</v>
      </c>
      <c r="B654">
        <v>14515</v>
      </c>
      <c r="C654">
        <v>2961.06</v>
      </c>
    </row>
    <row r="655" spans="1:3" x14ac:dyDescent="0.3">
      <c r="A655">
        <v>655578</v>
      </c>
      <c r="B655">
        <v>635250</v>
      </c>
      <c r="C655">
        <v>20328</v>
      </c>
    </row>
    <row r="656" spans="1:3" x14ac:dyDescent="0.3">
      <c r="A656">
        <v>69402</v>
      </c>
      <c r="B656">
        <v>67250</v>
      </c>
      <c r="C656">
        <v>2152</v>
      </c>
    </row>
    <row r="657" spans="1:3" x14ac:dyDescent="0.3">
      <c r="A657">
        <v>385968</v>
      </c>
      <c r="B657">
        <v>374000</v>
      </c>
      <c r="C657">
        <v>11968</v>
      </c>
    </row>
    <row r="658" spans="1:3" x14ac:dyDescent="0.3">
      <c r="A658">
        <v>260580</v>
      </c>
      <c r="B658">
        <v>252500</v>
      </c>
      <c r="C658">
        <v>8080</v>
      </c>
    </row>
    <row r="659" spans="1:3" x14ac:dyDescent="0.3">
      <c r="A659">
        <v>385581</v>
      </c>
      <c r="B659">
        <v>333060</v>
      </c>
      <c r="C659">
        <v>52521</v>
      </c>
    </row>
    <row r="660" spans="1:3" x14ac:dyDescent="0.3">
      <c r="A660">
        <v>229104</v>
      </c>
      <c r="B660">
        <v>222000</v>
      </c>
      <c r="C660">
        <v>7104</v>
      </c>
    </row>
    <row r="661" spans="1:3" x14ac:dyDescent="0.3">
      <c r="A661">
        <v>305730</v>
      </c>
      <c r="B661">
        <v>34128</v>
      </c>
      <c r="C661">
        <f>A661-B661</f>
        <v>271602</v>
      </c>
    </row>
    <row r="662" spans="1:3" x14ac:dyDescent="0.3">
      <c r="A662">
        <v>25542</v>
      </c>
      <c r="B662">
        <v>7425</v>
      </c>
      <c r="C662">
        <v>18117</v>
      </c>
    </row>
    <row r="663" spans="1:3" x14ac:dyDescent="0.3">
      <c r="A663">
        <v>22484.7</v>
      </c>
      <c r="B663">
        <v>17430</v>
      </c>
      <c r="C663">
        <v>5054.7</v>
      </c>
    </row>
    <row r="664" spans="1:3" x14ac:dyDescent="0.3">
      <c r="A664">
        <v>30072.48</v>
      </c>
      <c r="B664">
        <v>8742</v>
      </c>
      <c r="C664">
        <v>21330.48</v>
      </c>
    </row>
    <row r="665" spans="1:3" x14ac:dyDescent="0.3">
      <c r="A665">
        <v>10420.620000000001</v>
      </c>
      <c r="B665">
        <v>8655</v>
      </c>
      <c r="C665">
        <v>1765.62</v>
      </c>
    </row>
    <row r="666" spans="1:3" x14ac:dyDescent="0.3">
      <c r="A666">
        <v>10396.540000000001</v>
      </c>
      <c r="B666">
        <v>8635</v>
      </c>
      <c r="C666">
        <v>1761.54</v>
      </c>
    </row>
    <row r="667" spans="1:3" x14ac:dyDescent="0.3">
      <c r="A667">
        <v>24123</v>
      </c>
      <c r="B667">
        <v>18700</v>
      </c>
      <c r="C667">
        <v>5423</v>
      </c>
    </row>
    <row r="668" spans="1:3" x14ac:dyDescent="0.3">
      <c r="A668">
        <v>124737.5</v>
      </c>
      <c r="B668">
        <v>14080</v>
      </c>
      <c r="C668">
        <f>A668-B668</f>
        <v>110657.5</v>
      </c>
    </row>
    <row r="669" spans="1:3" x14ac:dyDescent="0.3">
      <c r="A669">
        <v>293993.75</v>
      </c>
      <c r="B669">
        <v>332040</v>
      </c>
      <c r="C669">
        <f>A669-B669</f>
        <v>-38046.25</v>
      </c>
    </row>
    <row r="670" spans="1:3" x14ac:dyDescent="0.3">
      <c r="A670">
        <v>115281.25</v>
      </c>
      <c r="B670">
        <v>130200</v>
      </c>
      <c r="C670">
        <f>A670-B670</f>
        <v>-14918.75</v>
      </c>
    </row>
    <row r="671" spans="1:3" x14ac:dyDescent="0.3">
      <c r="A671">
        <v>139230</v>
      </c>
      <c r="B671">
        <v>136500</v>
      </c>
      <c r="C671">
        <v>2730</v>
      </c>
    </row>
    <row r="672" spans="1:3" x14ac:dyDescent="0.3">
      <c r="A672">
        <v>19686</v>
      </c>
      <c r="B672">
        <v>11580</v>
      </c>
      <c r="C672">
        <v>8106</v>
      </c>
    </row>
    <row r="673" spans="1:3" x14ac:dyDescent="0.3">
      <c r="A673">
        <v>20578.5</v>
      </c>
      <c r="B673">
        <v>16140</v>
      </c>
      <c r="C673">
        <v>4438.5</v>
      </c>
    </row>
    <row r="674" spans="1:3" x14ac:dyDescent="0.3">
      <c r="A674">
        <v>15083.25</v>
      </c>
      <c r="B674">
        <v>12675</v>
      </c>
      <c r="C674">
        <v>2408.25</v>
      </c>
    </row>
    <row r="675" spans="1:3" x14ac:dyDescent="0.3">
      <c r="A675">
        <v>848172.5</v>
      </c>
      <c r="B675">
        <v>741260</v>
      </c>
      <c r="C675">
        <v>106912.5</v>
      </c>
    </row>
    <row r="676" spans="1:3" x14ac:dyDescent="0.3">
      <c r="A676">
        <v>32627.25</v>
      </c>
      <c r="B676">
        <v>25590</v>
      </c>
      <c r="C676">
        <v>7037.25</v>
      </c>
    </row>
    <row r="677" spans="1:3" x14ac:dyDescent="0.3">
      <c r="A677">
        <v>4539</v>
      </c>
      <c r="B677">
        <v>2670</v>
      </c>
      <c r="C677">
        <v>1869</v>
      </c>
    </row>
    <row r="678" spans="1:3" x14ac:dyDescent="0.3">
      <c r="A678">
        <v>115281.25</v>
      </c>
      <c r="B678">
        <v>130200</v>
      </c>
      <c r="C678">
        <f>A678-B678</f>
        <v>-14918.75</v>
      </c>
    </row>
    <row r="679" spans="1:3" x14ac:dyDescent="0.3">
      <c r="A679">
        <v>14981.25</v>
      </c>
      <c r="B679">
        <v>11750</v>
      </c>
      <c r="C679">
        <v>3231.25</v>
      </c>
    </row>
    <row r="680" spans="1:3" x14ac:dyDescent="0.3">
      <c r="A680">
        <v>597082.5</v>
      </c>
      <c r="B680">
        <v>521820</v>
      </c>
      <c r="C680">
        <v>75262.5</v>
      </c>
    </row>
    <row r="681" spans="1:3" x14ac:dyDescent="0.3">
      <c r="A681">
        <v>639922.5</v>
      </c>
      <c r="B681">
        <v>559260</v>
      </c>
      <c r="C681">
        <v>80662.5</v>
      </c>
    </row>
    <row r="682" spans="1:3" x14ac:dyDescent="0.3">
      <c r="A682">
        <v>9322.7999999999993</v>
      </c>
      <c r="B682">
        <v>2742</v>
      </c>
      <c r="C682">
        <v>6580.8</v>
      </c>
    </row>
    <row r="683" spans="1:3" x14ac:dyDescent="0.3">
      <c r="A683">
        <v>4981</v>
      </c>
      <c r="B683">
        <v>2930</v>
      </c>
      <c r="C683">
        <v>2051</v>
      </c>
    </row>
    <row r="684" spans="1:3" x14ac:dyDescent="0.3">
      <c r="A684">
        <v>5100</v>
      </c>
      <c r="B684">
        <v>1500</v>
      </c>
      <c r="C684">
        <v>3600</v>
      </c>
    </row>
    <row r="685" spans="1:3" x14ac:dyDescent="0.3">
      <c r="A685">
        <v>36031.5</v>
      </c>
      <c r="B685">
        <v>28260</v>
      </c>
      <c r="C685">
        <v>7771.5</v>
      </c>
    </row>
    <row r="686" spans="1:3" x14ac:dyDescent="0.3">
      <c r="A686">
        <v>70443.75</v>
      </c>
      <c r="B686">
        <v>7560</v>
      </c>
      <c r="C686">
        <f>A686-B686</f>
        <v>62883.75</v>
      </c>
    </row>
    <row r="687" spans="1:3" x14ac:dyDescent="0.3">
      <c r="A687">
        <v>656370</v>
      </c>
      <c r="B687">
        <v>643500</v>
      </c>
      <c r="C687">
        <v>12870</v>
      </c>
    </row>
    <row r="688" spans="1:3" x14ac:dyDescent="0.3">
      <c r="A688">
        <v>259037.5</v>
      </c>
      <c r="B688">
        <v>292560</v>
      </c>
      <c r="C688">
        <f>A688-B688</f>
        <v>-33522.5</v>
      </c>
    </row>
    <row r="689" spans="1:3" x14ac:dyDescent="0.3">
      <c r="A689">
        <v>9322.7999999999993</v>
      </c>
      <c r="B689">
        <v>2742</v>
      </c>
      <c r="C689">
        <v>6580.8</v>
      </c>
    </row>
    <row r="690" spans="1:3" x14ac:dyDescent="0.3">
      <c r="A690">
        <v>14713.5</v>
      </c>
      <c r="B690">
        <v>8655</v>
      </c>
      <c r="C690">
        <v>6058.5</v>
      </c>
    </row>
    <row r="691" spans="1:3" x14ac:dyDescent="0.3">
      <c r="A691">
        <v>6273</v>
      </c>
      <c r="B691">
        <v>4920</v>
      </c>
      <c r="C691">
        <v>1353</v>
      </c>
    </row>
    <row r="692" spans="1:3" x14ac:dyDescent="0.3">
      <c r="A692">
        <v>4539</v>
      </c>
      <c r="B692">
        <v>2670</v>
      </c>
      <c r="C692">
        <v>1869</v>
      </c>
    </row>
    <row r="693" spans="1:3" x14ac:dyDescent="0.3">
      <c r="A693">
        <v>14981.25</v>
      </c>
      <c r="B693">
        <v>11750</v>
      </c>
      <c r="C693">
        <v>3231.25</v>
      </c>
    </row>
    <row r="694" spans="1:3" x14ac:dyDescent="0.3">
      <c r="A694">
        <v>313862.5</v>
      </c>
      <c r="B694">
        <v>35480</v>
      </c>
      <c r="C694">
        <f>A694-B694</f>
        <v>278382.5</v>
      </c>
    </row>
    <row r="695" spans="1:3" x14ac:dyDescent="0.3">
      <c r="A695">
        <v>58650</v>
      </c>
      <c r="B695">
        <v>66240</v>
      </c>
      <c r="C695">
        <f>A695-B695</f>
        <v>-7590</v>
      </c>
    </row>
    <row r="696" spans="1:3" x14ac:dyDescent="0.3">
      <c r="A696">
        <v>4981</v>
      </c>
      <c r="B696">
        <v>2930</v>
      </c>
      <c r="C696">
        <v>2051</v>
      </c>
    </row>
    <row r="697" spans="1:3" x14ac:dyDescent="0.3">
      <c r="A697">
        <v>631125</v>
      </c>
      <c r="B697">
        <v>618750</v>
      </c>
      <c r="C697">
        <v>12375</v>
      </c>
    </row>
    <row r="698" spans="1:3" x14ac:dyDescent="0.3">
      <c r="A698">
        <v>139230</v>
      </c>
      <c r="B698">
        <v>136500</v>
      </c>
      <c r="C698">
        <v>2730</v>
      </c>
    </row>
    <row r="699" spans="1:3" x14ac:dyDescent="0.3">
      <c r="A699">
        <v>8139.6</v>
      </c>
      <c r="B699">
        <v>6840</v>
      </c>
      <c r="C699">
        <v>1299.5999999999999</v>
      </c>
    </row>
    <row r="700" spans="1:3" x14ac:dyDescent="0.3">
      <c r="A700">
        <v>4301.8500000000004</v>
      </c>
      <c r="B700">
        <v>3615</v>
      </c>
      <c r="C700">
        <v>686.85</v>
      </c>
    </row>
    <row r="701" spans="1:3" x14ac:dyDescent="0.3">
      <c r="A701">
        <v>18421.2</v>
      </c>
      <c r="B701">
        <v>5418</v>
      </c>
      <c r="C701">
        <v>13003.2</v>
      </c>
    </row>
    <row r="702" spans="1:3" x14ac:dyDescent="0.3">
      <c r="A702">
        <v>30001</v>
      </c>
      <c r="B702">
        <v>15790</v>
      </c>
      <c r="C702">
        <v>14211</v>
      </c>
    </row>
    <row r="703" spans="1:3" x14ac:dyDescent="0.3">
      <c r="A703">
        <v>102243.75</v>
      </c>
      <c r="B703">
        <v>103320</v>
      </c>
      <c r="C703">
        <f>A703-B703</f>
        <v>-1076.25</v>
      </c>
    </row>
    <row r="704" spans="1:3" x14ac:dyDescent="0.3">
      <c r="A704">
        <v>83600</v>
      </c>
      <c r="B704">
        <v>8480</v>
      </c>
      <c r="C704">
        <f>A704-B704</f>
        <v>75120</v>
      </c>
    </row>
    <row r="705" spans="1:3" x14ac:dyDescent="0.3">
      <c r="A705">
        <v>19627</v>
      </c>
      <c r="B705">
        <v>10330</v>
      </c>
      <c r="C705">
        <v>9297</v>
      </c>
    </row>
    <row r="706" spans="1:3" x14ac:dyDescent="0.3">
      <c r="A706">
        <v>356250</v>
      </c>
      <c r="B706">
        <v>312500</v>
      </c>
      <c r="C706">
        <v>43750</v>
      </c>
    </row>
    <row r="707" spans="1:3" x14ac:dyDescent="0.3">
      <c r="A707">
        <v>26391</v>
      </c>
      <c r="B707">
        <v>13890</v>
      </c>
      <c r="C707">
        <v>12501</v>
      </c>
    </row>
    <row r="708" spans="1:3" x14ac:dyDescent="0.3">
      <c r="A708">
        <v>24035</v>
      </c>
      <c r="B708">
        <v>12650</v>
      </c>
      <c r="C708">
        <v>11385</v>
      </c>
    </row>
    <row r="709" spans="1:3" x14ac:dyDescent="0.3">
      <c r="A709">
        <v>43643</v>
      </c>
      <c r="B709">
        <v>22970</v>
      </c>
      <c r="C709">
        <v>20673</v>
      </c>
    </row>
    <row r="710" spans="1:3" x14ac:dyDescent="0.3">
      <c r="A710">
        <v>50597</v>
      </c>
      <c r="B710">
        <v>26630</v>
      </c>
      <c r="C710">
        <v>23967</v>
      </c>
    </row>
    <row r="711" spans="1:3" x14ac:dyDescent="0.3">
      <c r="A711">
        <v>3790.5</v>
      </c>
      <c r="B711">
        <v>2850</v>
      </c>
      <c r="C711">
        <v>940.5</v>
      </c>
    </row>
    <row r="712" spans="1:3" x14ac:dyDescent="0.3">
      <c r="A712">
        <v>16538.55</v>
      </c>
      <c r="B712">
        <v>12435</v>
      </c>
      <c r="C712">
        <v>4103.55</v>
      </c>
    </row>
    <row r="713" spans="1:3" x14ac:dyDescent="0.3">
      <c r="A713">
        <v>448875</v>
      </c>
      <c r="B713">
        <v>351000</v>
      </c>
      <c r="C713">
        <v>97875</v>
      </c>
    </row>
    <row r="714" spans="1:3" x14ac:dyDescent="0.3">
      <c r="A714">
        <v>183540</v>
      </c>
      <c r="B714">
        <v>143520</v>
      </c>
      <c r="C714">
        <v>40020</v>
      </c>
    </row>
    <row r="715" spans="1:3" x14ac:dyDescent="0.3">
      <c r="A715">
        <v>408310</v>
      </c>
      <c r="B715">
        <v>319280</v>
      </c>
      <c r="C715">
        <v>89030</v>
      </c>
    </row>
    <row r="716" spans="1:3" x14ac:dyDescent="0.3">
      <c r="A716">
        <v>356250</v>
      </c>
      <c r="B716">
        <v>312500</v>
      </c>
      <c r="C716">
        <v>43750</v>
      </c>
    </row>
    <row r="717" spans="1:3" x14ac:dyDescent="0.3">
      <c r="A717">
        <v>53594.1</v>
      </c>
      <c r="B717">
        <v>38010</v>
      </c>
      <c r="C717">
        <v>15584.1</v>
      </c>
    </row>
    <row r="718" spans="1:3" x14ac:dyDescent="0.3">
      <c r="A718">
        <v>21009</v>
      </c>
      <c r="B718">
        <v>11175</v>
      </c>
      <c r="C718">
        <v>9834</v>
      </c>
    </row>
    <row r="719" spans="1:3" x14ac:dyDescent="0.3">
      <c r="A719">
        <v>40100.400000000001</v>
      </c>
      <c r="B719">
        <v>28440</v>
      </c>
      <c r="C719">
        <v>11660.4</v>
      </c>
    </row>
    <row r="720" spans="1:3" x14ac:dyDescent="0.3">
      <c r="A720">
        <v>6339.36</v>
      </c>
      <c r="B720">
        <v>1686</v>
      </c>
      <c r="C720">
        <v>4653.3599999999997</v>
      </c>
    </row>
    <row r="721" spans="1:3" x14ac:dyDescent="0.3">
      <c r="A721">
        <v>25932.720000000001</v>
      </c>
      <c r="B721">
        <v>6897</v>
      </c>
      <c r="C721">
        <v>19035.72</v>
      </c>
    </row>
    <row r="722" spans="1:3" x14ac:dyDescent="0.3">
      <c r="A722">
        <v>28623</v>
      </c>
      <c r="B722">
        <v>20300</v>
      </c>
      <c r="C722">
        <v>8323</v>
      </c>
    </row>
    <row r="723" spans="1:3" x14ac:dyDescent="0.3">
      <c r="A723">
        <v>1730.54</v>
      </c>
      <c r="B723">
        <v>1315</v>
      </c>
      <c r="C723">
        <v>415.54</v>
      </c>
    </row>
    <row r="724" spans="1:3" x14ac:dyDescent="0.3">
      <c r="A724">
        <v>104222.5</v>
      </c>
      <c r="B724">
        <v>10640</v>
      </c>
      <c r="C724">
        <f>A724-B724</f>
        <v>93582.5</v>
      </c>
    </row>
    <row r="725" spans="1:3" x14ac:dyDescent="0.3">
      <c r="A725">
        <v>322420</v>
      </c>
      <c r="B725">
        <v>254800</v>
      </c>
      <c r="C725">
        <v>67620</v>
      </c>
    </row>
    <row r="726" spans="1:3" x14ac:dyDescent="0.3">
      <c r="A726">
        <v>480340</v>
      </c>
      <c r="B726">
        <v>379600</v>
      </c>
      <c r="C726">
        <v>100740</v>
      </c>
    </row>
    <row r="727" spans="1:3" x14ac:dyDescent="0.3">
      <c r="A727">
        <v>9231.74</v>
      </c>
      <c r="B727">
        <v>7015</v>
      </c>
      <c r="C727">
        <v>2216.7399999999998</v>
      </c>
    </row>
    <row r="728" spans="1:3" x14ac:dyDescent="0.3">
      <c r="A728">
        <v>30715.439999999999</v>
      </c>
      <c r="B728">
        <v>8169</v>
      </c>
      <c r="C728">
        <v>22546.44</v>
      </c>
    </row>
    <row r="729" spans="1:3" x14ac:dyDescent="0.3">
      <c r="A729">
        <v>492184</v>
      </c>
      <c r="B729">
        <v>388960</v>
      </c>
      <c r="C729">
        <v>103224</v>
      </c>
    </row>
    <row r="730" spans="1:3" x14ac:dyDescent="0.3">
      <c r="A730">
        <v>25932.720000000001</v>
      </c>
      <c r="B730">
        <v>6897</v>
      </c>
      <c r="C730">
        <v>19035.72</v>
      </c>
    </row>
    <row r="731" spans="1:3" x14ac:dyDescent="0.3">
      <c r="A731">
        <v>239183</v>
      </c>
      <c r="B731">
        <v>189020</v>
      </c>
      <c r="C731">
        <v>50163</v>
      </c>
    </row>
    <row r="732" spans="1:3" x14ac:dyDescent="0.3">
      <c r="A732">
        <v>111860</v>
      </c>
      <c r="B732">
        <v>11240</v>
      </c>
      <c r="C732">
        <f>A732-B732</f>
        <v>100620</v>
      </c>
    </row>
    <row r="733" spans="1:3" x14ac:dyDescent="0.3">
      <c r="A733">
        <v>323712.5</v>
      </c>
      <c r="B733">
        <v>330600</v>
      </c>
      <c r="C733">
        <f>A733-B733</f>
        <v>-6887.5</v>
      </c>
    </row>
    <row r="734" spans="1:3" x14ac:dyDescent="0.3">
      <c r="A734">
        <v>21573</v>
      </c>
      <c r="B734">
        <v>15300</v>
      </c>
      <c r="C734">
        <v>6273</v>
      </c>
    </row>
    <row r="735" spans="1:3" x14ac:dyDescent="0.3">
      <c r="A735">
        <v>492184</v>
      </c>
      <c r="B735">
        <v>388960</v>
      </c>
      <c r="C735">
        <v>103224</v>
      </c>
    </row>
    <row r="736" spans="1:3" x14ac:dyDescent="0.3">
      <c r="A736">
        <v>9856.84</v>
      </c>
      <c r="B736">
        <v>7490</v>
      </c>
      <c r="C736">
        <v>2366.84</v>
      </c>
    </row>
    <row r="737" spans="1:3" x14ac:dyDescent="0.3">
      <c r="A737">
        <v>344322</v>
      </c>
      <c r="B737">
        <v>305250</v>
      </c>
      <c r="C737">
        <v>39072</v>
      </c>
    </row>
    <row r="738" spans="1:3" x14ac:dyDescent="0.3">
      <c r="A738">
        <v>683004</v>
      </c>
      <c r="B738">
        <v>539760</v>
      </c>
      <c r="C738">
        <v>143244</v>
      </c>
    </row>
    <row r="739" spans="1:3" x14ac:dyDescent="0.3">
      <c r="A739">
        <v>40100.400000000001</v>
      </c>
      <c r="B739">
        <v>28440</v>
      </c>
      <c r="C739">
        <v>11660.4</v>
      </c>
    </row>
    <row r="740" spans="1:3" x14ac:dyDescent="0.3">
      <c r="A740">
        <v>9856.84</v>
      </c>
      <c r="B740">
        <v>7490</v>
      </c>
      <c r="C740">
        <v>2366.84</v>
      </c>
    </row>
    <row r="741" spans="1:3" x14ac:dyDescent="0.3">
      <c r="A741">
        <v>344322</v>
      </c>
      <c r="B741">
        <v>305250</v>
      </c>
      <c r="C741">
        <v>39072</v>
      </c>
    </row>
    <row r="742" spans="1:3" x14ac:dyDescent="0.3">
      <c r="A742">
        <v>21112.400000000001</v>
      </c>
      <c r="B742">
        <v>11230</v>
      </c>
      <c r="C742">
        <v>9882.4</v>
      </c>
    </row>
    <row r="743" spans="1:3" x14ac:dyDescent="0.3">
      <c r="A743">
        <v>686952</v>
      </c>
      <c r="B743">
        <v>609000</v>
      </c>
      <c r="C743">
        <v>77952</v>
      </c>
    </row>
    <row r="744" spans="1:3" x14ac:dyDescent="0.3">
      <c r="A744">
        <v>233531.25</v>
      </c>
      <c r="B744">
        <v>23800</v>
      </c>
      <c r="C744">
        <f>A744-B744</f>
        <v>209731.25</v>
      </c>
    </row>
    <row r="745" spans="1:3" x14ac:dyDescent="0.3">
      <c r="A745">
        <v>552391</v>
      </c>
      <c r="B745">
        <v>436540</v>
      </c>
      <c r="C745">
        <v>115851</v>
      </c>
    </row>
    <row r="746" spans="1:3" x14ac:dyDescent="0.3">
      <c r="A746">
        <v>239183</v>
      </c>
      <c r="B746">
        <v>189020</v>
      </c>
      <c r="C746">
        <v>50163</v>
      </c>
    </row>
    <row r="747" spans="1:3" x14ac:dyDescent="0.3">
      <c r="A747">
        <v>9231.74</v>
      </c>
      <c r="B747">
        <v>7015</v>
      </c>
      <c r="C747">
        <v>2216.7399999999998</v>
      </c>
    </row>
    <row r="748" spans="1:3" x14ac:dyDescent="0.3">
      <c r="A748">
        <v>683004</v>
      </c>
      <c r="B748">
        <v>539760</v>
      </c>
      <c r="C748">
        <v>143244</v>
      </c>
    </row>
    <row r="749" spans="1:3" x14ac:dyDescent="0.3">
      <c r="A749">
        <v>33031.599999999999</v>
      </c>
      <c r="B749">
        <v>17570</v>
      </c>
      <c r="C749">
        <v>15461.6</v>
      </c>
    </row>
    <row r="750" spans="1:3" x14ac:dyDescent="0.3">
      <c r="A750">
        <v>30991.8</v>
      </c>
      <c r="B750">
        <v>21980</v>
      </c>
      <c r="C750">
        <v>9011.7999999999993</v>
      </c>
    </row>
    <row r="751" spans="1:3" x14ac:dyDescent="0.3">
      <c r="A751">
        <v>24576.3</v>
      </c>
      <c r="B751">
        <v>17430</v>
      </c>
      <c r="C751">
        <v>7146.3</v>
      </c>
    </row>
    <row r="752" spans="1:3" x14ac:dyDescent="0.3">
      <c r="A752">
        <v>16257.3</v>
      </c>
      <c r="B752">
        <v>11530</v>
      </c>
      <c r="C752">
        <v>4727.3</v>
      </c>
    </row>
    <row r="753" spans="1:3" x14ac:dyDescent="0.3">
      <c r="A753">
        <v>33031.599999999999</v>
      </c>
      <c r="B753">
        <v>17570</v>
      </c>
      <c r="C753">
        <v>15461.6</v>
      </c>
    </row>
    <row r="754" spans="1:3" x14ac:dyDescent="0.3">
      <c r="A754">
        <v>18818.8</v>
      </c>
      <c r="B754">
        <v>10010</v>
      </c>
      <c r="C754">
        <v>8808.7999999999993</v>
      </c>
    </row>
    <row r="755" spans="1:3" x14ac:dyDescent="0.3">
      <c r="A755">
        <v>8771.14</v>
      </c>
      <c r="B755">
        <v>6665</v>
      </c>
      <c r="C755">
        <v>2106.14</v>
      </c>
    </row>
    <row r="756" spans="1:3" x14ac:dyDescent="0.3">
      <c r="A756">
        <v>16257.3</v>
      </c>
      <c r="B756">
        <v>11530</v>
      </c>
      <c r="C756">
        <v>4727.3</v>
      </c>
    </row>
    <row r="757" spans="1:3" x14ac:dyDescent="0.3">
      <c r="A757">
        <v>8113.32</v>
      </c>
      <c r="B757">
        <v>2181</v>
      </c>
      <c r="C757">
        <v>5932.32</v>
      </c>
    </row>
    <row r="758" spans="1:3" x14ac:dyDescent="0.3">
      <c r="A758">
        <v>21025.439999999999</v>
      </c>
      <c r="B758">
        <v>5652</v>
      </c>
      <c r="C758">
        <v>15373.44</v>
      </c>
    </row>
    <row r="759" spans="1:3" x14ac:dyDescent="0.3">
      <c r="A759">
        <v>34112.400000000001</v>
      </c>
      <c r="B759">
        <v>18340</v>
      </c>
      <c r="C759">
        <v>15772.4</v>
      </c>
    </row>
    <row r="760" spans="1:3" x14ac:dyDescent="0.3">
      <c r="A760">
        <v>26114.400000000001</v>
      </c>
      <c r="B760">
        <v>7020</v>
      </c>
      <c r="C760">
        <v>19094.400000000001</v>
      </c>
    </row>
    <row r="761" spans="1:3" x14ac:dyDescent="0.3">
      <c r="A761">
        <v>26136.720000000001</v>
      </c>
      <c r="B761">
        <v>7026</v>
      </c>
      <c r="C761">
        <v>19110.72</v>
      </c>
    </row>
    <row r="762" spans="1:3" x14ac:dyDescent="0.3">
      <c r="A762">
        <v>6711.81</v>
      </c>
      <c r="B762">
        <v>5155</v>
      </c>
      <c r="C762">
        <v>1556.81</v>
      </c>
    </row>
    <row r="763" spans="1:3" x14ac:dyDescent="0.3">
      <c r="A763">
        <v>17604.900000000001</v>
      </c>
      <c r="B763">
        <v>12620</v>
      </c>
      <c r="C763">
        <v>4984.8999999999996</v>
      </c>
    </row>
    <row r="764" spans="1:3" x14ac:dyDescent="0.3">
      <c r="A764">
        <v>7388.85</v>
      </c>
      <c r="B764">
        <v>5675</v>
      </c>
      <c r="C764">
        <v>1713.85</v>
      </c>
    </row>
    <row r="765" spans="1:3" x14ac:dyDescent="0.3">
      <c r="A765">
        <v>3560.97</v>
      </c>
      <c r="B765">
        <v>2735</v>
      </c>
      <c r="C765">
        <v>825.97</v>
      </c>
    </row>
    <row r="766" spans="1:3" x14ac:dyDescent="0.3">
      <c r="A766">
        <v>10298.82</v>
      </c>
      <c r="B766">
        <v>7910</v>
      </c>
      <c r="C766">
        <v>2388.8200000000002</v>
      </c>
    </row>
    <row r="767" spans="1:3" x14ac:dyDescent="0.3">
      <c r="A767">
        <v>19401.66</v>
      </c>
      <c r="B767">
        <v>5215.5</v>
      </c>
      <c r="C767">
        <v>14186.16</v>
      </c>
    </row>
    <row r="768" spans="1:3" x14ac:dyDescent="0.3">
      <c r="A768">
        <v>24719.4</v>
      </c>
      <c r="B768">
        <v>6645</v>
      </c>
      <c r="C768">
        <v>18074.400000000001</v>
      </c>
    </row>
    <row r="769" spans="1:3" x14ac:dyDescent="0.3">
      <c r="A769">
        <v>10298.82</v>
      </c>
      <c r="B769">
        <v>7910</v>
      </c>
      <c r="C769">
        <v>2388.8200000000002</v>
      </c>
    </row>
    <row r="770" spans="1:3" x14ac:dyDescent="0.3">
      <c r="A770">
        <v>7388.85</v>
      </c>
      <c r="B770">
        <v>5675</v>
      </c>
      <c r="C770">
        <v>1713.85</v>
      </c>
    </row>
    <row r="771" spans="1:3" x14ac:dyDescent="0.3">
      <c r="A771">
        <v>573205.5</v>
      </c>
      <c r="B771">
        <v>457860</v>
      </c>
      <c r="C771">
        <v>115345.5</v>
      </c>
    </row>
    <row r="772" spans="1:3" x14ac:dyDescent="0.3">
      <c r="A772">
        <v>124992</v>
      </c>
      <c r="B772">
        <v>112000</v>
      </c>
      <c r="C772">
        <v>12992</v>
      </c>
    </row>
    <row r="773" spans="1:3" x14ac:dyDescent="0.3">
      <c r="A773">
        <v>608499</v>
      </c>
      <c r="B773">
        <v>545250</v>
      </c>
      <c r="C773">
        <v>63249</v>
      </c>
    </row>
    <row r="774" spans="1:3" x14ac:dyDescent="0.3">
      <c r="A774">
        <v>36753.599999999999</v>
      </c>
      <c r="B774">
        <v>19760</v>
      </c>
      <c r="C774">
        <v>16993.599999999999</v>
      </c>
    </row>
    <row r="775" spans="1:3" x14ac:dyDescent="0.3">
      <c r="A775">
        <v>608499</v>
      </c>
      <c r="B775">
        <v>545250</v>
      </c>
      <c r="C775">
        <v>63249</v>
      </c>
    </row>
    <row r="776" spans="1:3" x14ac:dyDescent="0.3">
      <c r="A776">
        <v>290625</v>
      </c>
      <c r="B776">
        <v>25000</v>
      </c>
      <c r="C776">
        <f>A776-B776</f>
        <v>265625</v>
      </c>
    </row>
    <row r="777" spans="1:3" x14ac:dyDescent="0.3">
      <c r="A777">
        <v>474858</v>
      </c>
      <c r="B777">
        <v>425500</v>
      </c>
      <c r="C777">
        <v>49358</v>
      </c>
    </row>
    <row r="778" spans="1:3" x14ac:dyDescent="0.3">
      <c r="A778">
        <v>124992</v>
      </c>
      <c r="B778">
        <v>112000</v>
      </c>
      <c r="C778">
        <v>12992</v>
      </c>
    </row>
    <row r="779" spans="1:3" x14ac:dyDescent="0.3">
      <c r="A779">
        <v>408386.25</v>
      </c>
      <c r="B779">
        <v>421560</v>
      </c>
      <c r="C779">
        <f>A779-B779</f>
        <v>-13173.75</v>
      </c>
    </row>
    <row r="780" spans="1:3" x14ac:dyDescent="0.3">
      <c r="A780">
        <v>29308.95</v>
      </c>
      <c r="B780">
        <v>21010</v>
      </c>
      <c r="C780">
        <v>8298.9500000000007</v>
      </c>
    </row>
    <row r="781" spans="1:3" x14ac:dyDescent="0.3">
      <c r="A781">
        <v>40887.449999999997</v>
      </c>
      <c r="B781">
        <v>29310</v>
      </c>
      <c r="C781">
        <v>11577.45</v>
      </c>
    </row>
    <row r="782" spans="1:3" x14ac:dyDescent="0.3">
      <c r="A782">
        <v>28551</v>
      </c>
      <c r="B782">
        <v>15350</v>
      </c>
      <c r="C782">
        <v>13201</v>
      </c>
    </row>
    <row r="783" spans="1:3" x14ac:dyDescent="0.3">
      <c r="A783">
        <v>313317</v>
      </c>
      <c r="B783">
        <v>280750</v>
      </c>
      <c r="C783">
        <v>32567</v>
      </c>
    </row>
    <row r="784" spans="1:3" x14ac:dyDescent="0.3">
      <c r="A784">
        <v>391716</v>
      </c>
      <c r="B784">
        <v>351000</v>
      </c>
      <c r="C784">
        <v>40716</v>
      </c>
    </row>
    <row r="785" spans="1:3" x14ac:dyDescent="0.3">
      <c r="A785">
        <v>30835.08</v>
      </c>
      <c r="B785">
        <v>8289</v>
      </c>
      <c r="C785">
        <v>22546.080000000002</v>
      </c>
    </row>
    <row r="786" spans="1:3" x14ac:dyDescent="0.3">
      <c r="A786">
        <v>13833.75</v>
      </c>
      <c r="B786">
        <v>10625</v>
      </c>
      <c r="C786">
        <v>3208.75</v>
      </c>
    </row>
    <row r="787" spans="1:3" x14ac:dyDescent="0.3">
      <c r="A787">
        <v>462861</v>
      </c>
      <c r="B787">
        <v>414750</v>
      </c>
      <c r="C787">
        <v>48111</v>
      </c>
    </row>
    <row r="788" spans="1:3" x14ac:dyDescent="0.3">
      <c r="A788">
        <v>11327.4</v>
      </c>
      <c r="B788">
        <v>6090</v>
      </c>
      <c r="C788">
        <v>5237.3999999999996</v>
      </c>
    </row>
    <row r="789" spans="1:3" x14ac:dyDescent="0.3">
      <c r="A789">
        <v>242613.75</v>
      </c>
      <c r="B789">
        <v>250440</v>
      </c>
      <c r="C789">
        <f>A789-B789</f>
        <v>-7826.25</v>
      </c>
    </row>
    <row r="790" spans="1:3" x14ac:dyDescent="0.3">
      <c r="A790">
        <v>36753.599999999999</v>
      </c>
      <c r="B790">
        <v>19760</v>
      </c>
      <c r="C790">
        <v>16993.599999999999</v>
      </c>
    </row>
    <row r="791" spans="1:3" x14ac:dyDescent="0.3">
      <c r="A791">
        <v>26430.6</v>
      </c>
      <c r="B791">
        <v>14210</v>
      </c>
      <c r="C791">
        <v>12220.6</v>
      </c>
    </row>
    <row r="792" spans="1:3" x14ac:dyDescent="0.3">
      <c r="A792">
        <v>382788</v>
      </c>
      <c r="B792">
        <v>343000</v>
      </c>
      <c r="C792">
        <v>39788</v>
      </c>
    </row>
    <row r="793" spans="1:3" x14ac:dyDescent="0.3">
      <c r="A793">
        <v>10936.8</v>
      </c>
      <c r="B793">
        <v>5880</v>
      </c>
      <c r="C793">
        <v>5056.8</v>
      </c>
    </row>
    <row r="794" spans="1:3" x14ac:dyDescent="0.3">
      <c r="A794">
        <v>36208.620000000003</v>
      </c>
      <c r="B794">
        <v>9733.5</v>
      </c>
      <c r="C794">
        <v>26475.119999999999</v>
      </c>
    </row>
    <row r="795" spans="1:3" x14ac:dyDescent="0.3">
      <c r="A795">
        <v>267561</v>
      </c>
      <c r="B795">
        <v>239750</v>
      </c>
      <c r="C795">
        <v>27811</v>
      </c>
    </row>
    <row r="796" spans="1:3" x14ac:dyDescent="0.3">
      <c r="A796">
        <v>766413</v>
      </c>
      <c r="B796">
        <v>686750</v>
      </c>
      <c r="C796">
        <v>79663</v>
      </c>
    </row>
    <row r="797" spans="1:3" x14ac:dyDescent="0.3">
      <c r="A797">
        <v>191231.25</v>
      </c>
      <c r="B797">
        <v>197400</v>
      </c>
      <c r="C797">
        <f>A797-B797</f>
        <v>-6168.75</v>
      </c>
    </row>
    <row r="798" spans="1:3" x14ac:dyDescent="0.3">
      <c r="A798">
        <v>936138</v>
      </c>
      <c r="B798">
        <v>747760</v>
      </c>
      <c r="C798">
        <v>188378</v>
      </c>
    </row>
    <row r="799" spans="1:3" x14ac:dyDescent="0.3">
      <c r="A799">
        <v>115552.5</v>
      </c>
      <c r="B799">
        <v>119280</v>
      </c>
      <c r="C799">
        <f>A799-B799</f>
        <v>-3727.5</v>
      </c>
    </row>
    <row r="800" spans="1:3" x14ac:dyDescent="0.3">
      <c r="A800">
        <v>20794.8</v>
      </c>
      <c r="B800">
        <v>11180</v>
      </c>
      <c r="C800">
        <v>9614.7999999999993</v>
      </c>
    </row>
    <row r="801" spans="1:3" x14ac:dyDescent="0.3">
      <c r="A801">
        <v>382788</v>
      </c>
      <c r="B801">
        <v>343000</v>
      </c>
      <c r="C801">
        <v>39788</v>
      </c>
    </row>
    <row r="802" spans="1:3" x14ac:dyDescent="0.3">
      <c r="A802">
        <v>3142.72</v>
      </c>
      <c r="B802">
        <v>2440</v>
      </c>
      <c r="C802">
        <v>702.72</v>
      </c>
    </row>
    <row r="803" spans="1:3" x14ac:dyDescent="0.3">
      <c r="A803">
        <v>23588.799999999999</v>
      </c>
      <c r="B803">
        <v>12820</v>
      </c>
      <c r="C803">
        <v>10768.8</v>
      </c>
    </row>
    <row r="804" spans="1:3" x14ac:dyDescent="0.3">
      <c r="A804">
        <v>1655.08</v>
      </c>
      <c r="B804">
        <v>1285</v>
      </c>
      <c r="C804">
        <v>370.08</v>
      </c>
    </row>
    <row r="805" spans="1:3" x14ac:dyDescent="0.3">
      <c r="A805">
        <v>23588.799999999999</v>
      </c>
      <c r="B805">
        <v>12820</v>
      </c>
      <c r="C805">
        <v>10768.8</v>
      </c>
    </row>
    <row r="806" spans="1:3" x14ac:dyDescent="0.3">
      <c r="A806">
        <v>177100</v>
      </c>
      <c r="B806">
        <v>184800</v>
      </c>
      <c r="C806">
        <f>A806-B806</f>
        <v>-7700</v>
      </c>
    </row>
    <row r="807" spans="1:3" x14ac:dyDescent="0.3">
      <c r="A807">
        <v>6762</v>
      </c>
      <c r="B807">
        <v>4900</v>
      </c>
      <c r="C807">
        <v>1862</v>
      </c>
    </row>
    <row r="808" spans="1:3" x14ac:dyDescent="0.3">
      <c r="A808">
        <v>438564</v>
      </c>
      <c r="B808">
        <v>354120</v>
      </c>
      <c r="C808">
        <v>84444</v>
      </c>
    </row>
    <row r="809" spans="1:3" x14ac:dyDescent="0.3">
      <c r="A809">
        <v>34513.800000000003</v>
      </c>
      <c r="B809">
        <v>25010</v>
      </c>
      <c r="C809">
        <v>9503.7999999999993</v>
      </c>
    </row>
    <row r="810" spans="1:3" x14ac:dyDescent="0.3">
      <c r="A810">
        <v>13027.2</v>
      </c>
      <c r="B810">
        <v>7080</v>
      </c>
      <c r="C810">
        <v>5947.2</v>
      </c>
    </row>
    <row r="811" spans="1:3" x14ac:dyDescent="0.3">
      <c r="A811">
        <v>11868</v>
      </c>
      <c r="B811">
        <v>6450</v>
      </c>
      <c r="C811">
        <v>5418</v>
      </c>
    </row>
    <row r="812" spans="1:3" x14ac:dyDescent="0.3">
      <c r="A812">
        <v>431112</v>
      </c>
      <c r="B812">
        <v>390500</v>
      </c>
      <c r="C812">
        <v>40612</v>
      </c>
    </row>
    <row r="813" spans="1:3" x14ac:dyDescent="0.3">
      <c r="A813">
        <v>354108</v>
      </c>
      <c r="B813">
        <v>320750</v>
      </c>
      <c r="C813">
        <v>33358</v>
      </c>
    </row>
    <row r="814" spans="1:3" x14ac:dyDescent="0.3">
      <c r="A814">
        <v>9811.7999999999993</v>
      </c>
      <c r="B814">
        <v>7110</v>
      </c>
      <c r="C814">
        <v>2701.8</v>
      </c>
    </row>
    <row r="815" spans="1:3" x14ac:dyDescent="0.3">
      <c r="A815">
        <v>128110</v>
      </c>
      <c r="B815">
        <v>133680</v>
      </c>
      <c r="C815">
        <f>A815-B815</f>
        <v>-5570</v>
      </c>
    </row>
    <row r="816" spans="1:3" x14ac:dyDescent="0.3">
      <c r="A816">
        <v>8107.96</v>
      </c>
      <c r="B816">
        <v>6295</v>
      </c>
      <c r="C816">
        <v>1812.96</v>
      </c>
    </row>
    <row r="817" spans="1:3" x14ac:dyDescent="0.3">
      <c r="A817">
        <v>7051.8</v>
      </c>
      <c r="B817">
        <v>5475</v>
      </c>
      <c r="C817">
        <v>1576.8</v>
      </c>
    </row>
    <row r="818" spans="1:3" x14ac:dyDescent="0.3">
      <c r="A818">
        <v>25134.400000000001</v>
      </c>
      <c r="B818">
        <v>13660</v>
      </c>
      <c r="C818">
        <v>11474.4</v>
      </c>
    </row>
    <row r="819" spans="1:3" x14ac:dyDescent="0.3">
      <c r="A819">
        <v>678960</v>
      </c>
      <c r="B819">
        <v>615000</v>
      </c>
      <c r="C819">
        <v>63960</v>
      </c>
    </row>
    <row r="820" spans="1:3" x14ac:dyDescent="0.3">
      <c r="A820">
        <v>4366.32</v>
      </c>
      <c r="B820">
        <v>3390</v>
      </c>
      <c r="C820">
        <v>976.32</v>
      </c>
    </row>
    <row r="821" spans="1:3" x14ac:dyDescent="0.3">
      <c r="A821">
        <v>10291.120000000001</v>
      </c>
      <c r="B821">
        <v>7990</v>
      </c>
      <c r="C821">
        <v>2301.12</v>
      </c>
    </row>
    <row r="822" spans="1:3" x14ac:dyDescent="0.3">
      <c r="A822">
        <v>15513.96</v>
      </c>
      <c r="B822">
        <v>12045</v>
      </c>
      <c r="C822">
        <v>3468.96</v>
      </c>
    </row>
    <row r="823" spans="1:3" x14ac:dyDescent="0.3">
      <c r="A823">
        <v>29979.599999999999</v>
      </c>
      <c r="B823">
        <v>17430</v>
      </c>
      <c r="C823">
        <v>12549.6</v>
      </c>
    </row>
    <row r="824" spans="1:3" x14ac:dyDescent="0.3">
      <c r="A824">
        <v>18035.919999999998</v>
      </c>
      <c r="B824">
        <v>14980</v>
      </c>
      <c r="C824">
        <v>3055.92</v>
      </c>
    </row>
    <row r="825" spans="1:3" x14ac:dyDescent="0.3">
      <c r="A825">
        <v>1685.6</v>
      </c>
      <c r="B825">
        <v>1400</v>
      </c>
      <c r="C825">
        <v>285.60000000000002</v>
      </c>
    </row>
    <row r="826" spans="1:3" x14ac:dyDescent="0.3">
      <c r="A826">
        <v>1763.86</v>
      </c>
      <c r="B826">
        <v>1465</v>
      </c>
      <c r="C826">
        <v>298.86</v>
      </c>
    </row>
    <row r="827" spans="1:3" x14ac:dyDescent="0.3">
      <c r="A827">
        <v>18035.919999999998</v>
      </c>
      <c r="B827">
        <v>14980</v>
      </c>
      <c r="C827">
        <v>3055.92</v>
      </c>
    </row>
    <row r="828" spans="1:3" x14ac:dyDescent="0.3">
      <c r="A828">
        <v>3586.2</v>
      </c>
      <c r="B828">
        <v>2780</v>
      </c>
      <c r="C828">
        <v>806.2</v>
      </c>
    </row>
    <row r="829" spans="1:3" x14ac:dyDescent="0.3">
      <c r="A829">
        <v>41761.599999999999</v>
      </c>
      <c r="B829">
        <v>24280</v>
      </c>
      <c r="C829">
        <v>17481.599999999999</v>
      </c>
    </row>
    <row r="830" spans="1:3" x14ac:dyDescent="0.3">
      <c r="A830">
        <v>22794.3</v>
      </c>
      <c r="B830">
        <v>17670</v>
      </c>
      <c r="C830">
        <v>5124.3</v>
      </c>
    </row>
    <row r="831" spans="1:3" x14ac:dyDescent="0.3">
      <c r="A831">
        <v>14375.76</v>
      </c>
      <c r="B831">
        <v>4179</v>
      </c>
      <c r="C831">
        <v>10196.76</v>
      </c>
    </row>
    <row r="832" spans="1:3" x14ac:dyDescent="0.3">
      <c r="A832">
        <v>1685.6</v>
      </c>
      <c r="B832">
        <v>1400</v>
      </c>
      <c r="C832">
        <v>285.60000000000002</v>
      </c>
    </row>
    <row r="833" spans="1:3" x14ac:dyDescent="0.3">
      <c r="A833">
        <v>14375.76</v>
      </c>
      <c r="B833">
        <v>4179</v>
      </c>
      <c r="C833">
        <v>10196.76</v>
      </c>
    </row>
    <row r="834" spans="1:3" x14ac:dyDescent="0.3">
      <c r="A834">
        <v>20794.8</v>
      </c>
      <c r="B834">
        <v>6045</v>
      </c>
      <c r="C834">
        <v>14749.8</v>
      </c>
    </row>
    <row r="835" spans="1:3" x14ac:dyDescent="0.3">
      <c r="A835">
        <v>206658</v>
      </c>
      <c r="B835">
        <v>200250</v>
      </c>
      <c r="C835">
        <v>6408</v>
      </c>
    </row>
    <row r="836" spans="1:3" x14ac:dyDescent="0.3">
      <c r="A836">
        <v>109972.5</v>
      </c>
      <c r="B836">
        <v>122760</v>
      </c>
      <c r="C836">
        <f>A836-B836</f>
        <v>-12787.5</v>
      </c>
    </row>
    <row r="837" spans="1:3" x14ac:dyDescent="0.3">
      <c r="A837">
        <v>385968</v>
      </c>
      <c r="B837">
        <v>374000</v>
      </c>
      <c r="C837">
        <v>11968</v>
      </c>
    </row>
    <row r="838" spans="1:3" x14ac:dyDescent="0.3">
      <c r="A838">
        <v>260580</v>
      </c>
      <c r="B838">
        <v>252500</v>
      </c>
      <c r="C838">
        <v>8080</v>
      </c>
    </row>
    <row r="839" spans="1:3" x14ac:dyDescent="0.3">
      <c r="A839">
        <v>19517.7</v>
      </c>
      <c r="B839">
        <v>15130</v>
      </c>
      <c r="C839">
        <v>4387.7</v>
      </c>
    </row>
    <row r="840" spans="1:3" x14ac:dyDescent="0.3">
      <c r="A840">
        <v>29670</v>
      </c>
      <c r="B840">
        <v>23000</v>
      </c>
      <c r="C840">
        <v>6670</v>
      </c>
    </row>
    <row r="841" spans="1:3" x14ac:dyDescent="0.3">
      <c r="A841">
        <v>303257.5</v>
      </c>
      <c r="B841">
        <v>338520</v>
      </c>
      <c r="C841">
        <f>A841-B841</f>
        <v>-35262.5</v>
      </c>
    </row>
    <row r="842" spans="1:3" x14ac:dyDescent="0.3">
      <c r="A842">
        <v>670477.5</v>
      </c>
      <c r="B842">
        <v>579150</v>
      </c>
      <c r="C842">
        <v>91327.5</v>
      </c>
    </row>
    <row r="843" spans="1:3" x14ac:dyDescent="0.3">
      <c r="A843">
        <v>360899</v>
      </c>
      <c r="B843">
        <v>311740</v>
      </c>
      <c r="C843">
        <v>49159</v>
      </c>
    </row>
    <row r="844" spans="1:3" x14ac:dyDescent="0.3">
      <c r="A844">
        <v>60200</v>
      </c>
      <c r="B844">
        <v>52000</v>
      </c>
      <c r="C844">
        <v>8200</v>
      </c>
    </row>
    <row r="845" spans="1:3" x14ac:dyDescent="0.3">
      <c r="A845">
        <v>2335.7600000000002</v>
      </c>
      <c r="B845">
        <v>1940</v>
      </c>
      <c r="C845">
        <v>395.76</v>
      </c>
    </row>
    <row r="846" spans="1:3" x14ac:dyDescent="0.3">
      <c r="A846">
        <v>10396.540000000001</v>
      </c>
      <c r="B846">
        <v>8635</v>
      </c>
      <c r="C846">
        <v>1761.54</v>
      </c>
    </row>
    <row r="847" spans="1:3" x14ac:dyDescent="0.3">
      <c r="A847">
        <v>29670</v>
      </c>
      <c r="B847">
        <v>23000</v>
      </c>
      <c r="C847">
        <v>6670</v>
      </c>
    </row>
    <row r="848" spans="1:3" x14ac:dyDescent="0.3">
      <c r="A848">
        <v>4472</v>
      </c>
      <c r="B848">
        <v>2600</v>
      </c>
      <c r="C848">
        <v>1872</v>
      </c>
    </row>
    <row r="849" spans="1:3" x14ac:dyDescent="0.3">
      <c r="A849">
        <v>31863</v>
      </c>
      <c r="B849">
        <v>24700</v>
      </c>
      <c r="C849">
        <v>7163</v>
      </c>
    </row>
    <row r="850" spans="1:3" x14ac:dyDescent="0.3">
      <c r="A850">
        <v>22484.7</v>
      </c>
      <c r="B850">
        <v>17430</v>
      </c>
      <c r="C850">
        <v>5054.7</v>
      </c>
    </row>
    <row r="851" spans="1:3" x14ac:dyDescent="0.3">
      <c r="A851">
        <v>30072.48</v>
      </c>
      <c r="B851">
        <v>8742</v>
      </c>
      <c r="C851">
        <v>21330.48</v>
      </c>
    </row>
    <row r="852" spans="1:3" x14ac:dyDescent="0.3">
      <c r="A852">
        <v>10420.620000000001</v>
      </c>
      <c r="B852">
        <v>8655</v>
      </c>
      <c r="C852">
        <v>1765.62</v>
      </c>
    </row>
    <row r="853" spans="1:3" x14ac:dyDescent="0.3">
      <c r="A853">
        <v>210700</v>
      </c>
      <c r="B853">
        <v>182000</v>
      </c>
      <c r="C853">
        <v>28700</v>
      </c>
    </row>
    <row r="854" spans="1:3" x14ac:dyDescent="0.3">
      <c r="A854">
        <v>22931.040000000001</v>
      </c>
      <c r="B854">
        <v>6666</v>
      </c>
      <c r="C854">
        <v>16265.04</v>
      </c>
    </row>
    <row r="855" spans="1:3" x14ac:dyDescent="0.3">
      <c r="A855">
        <v>354277</v>
      </c>
      <c r="B855">
        <v>306020</v>
      </c>
      <c r="C855">
        <v>48257</v>
      </c>
    </row>
    <row r="856" spans="1:3" x14ac:dyDescent="0.3">
      <c r="A856">
        <v>578522</v>
      </c>
      <c r="B856">
        <v>499720</v>
      </c>
      <c r="C856">
        <v>78802</v>
      </c>
    </row>
    <row r="857" spans="1:3" x14ac:dyDescent="0.3">
      <c r="A857">
        <v>169312.5</v>
      </c>
      <c r="B857">
        <v>189000</v>
      </c>
      <c r="C857">
        <f>A857-B857</f>
        <v>-19687.5</v>
      </c>
    </row>
    <row r="858" spans="1:3" x14ac:dyDescent="0.3">
      <c r="A858">
        <v>10423.200000000001</v>
      </c>
      <c r="B858">
        <v>6060</v>
      </c>
      <c r="C858">
        <v>4363.2</v>
      </c>
    </row>
    <row r="859" spans="1:3" x14ac:dyDescent="0.3">
      <c r="A859">
        <v>634680</v>
      </c>
      <c r="B859">
        <v>615000</v>
      </c>
      <c r="C859">
        <v>19680</v>
      </c>
    </row>
    <row r="860" spans="1:3" x14ac:dyDescent="0.3">
      <c r="A860">
        <v>69402</v>
      </c>
      <c r="B860">
        <v>67250</v>
      </c>
      <c r="C860">
        <v>2152</v>
      </c>
    </row>
    <row r="861" spans="1:3" x14ac:dyDescent="0.3">
      <c r="A861">
        <v>654288</v>
      </c>
      <c r="B861">
        <v>634000</v>
      </c>
      <c r="C861">
        <v>20288</v>
      </c>
    </row>
    <row r="862" spans="1:3" x14ac:dyDescent="0.3">
      <c r="A862">
        <v>17476.060000000001</v>
      </c>
      <c r="B862">
        <v>14515</v>
      </c>
      <c r="C862">
        <v>2961.06</v>
      </c>
    </row>
    <row r="863" spans="1:3" x14ac:dyDescent="0.3">
      <c r="A863">
        <v>655578</v>
      </c>
      <c r="B863">
        <v>635250</v>
      </c>
      <c r="C863">
        <v>20328</v>
      </c>
    </row>
    <row r="864" spans="1:3" x14ac:dyDescent="0.3">
      <c r="A864">
        <v>69402</v>
      </c>
      <c r="B864">
        <v>67250</v>
      </c>
      <c r="C864">
        <v>2152</v>
      </c>
    </row>
    <row r="865" spans="1:3" x14ac:dyDescent="0.3">
      <c r="A865">
        <v>385968</v>
      </c>
      <c r="B865">
        <v>374000</v>
      </c>
      <c r="C865">
        <v>11968</v>
      </c>
    </row>
    <row r="866" spans="1:3" x14ac:dyDescent="0.3">
      <c r="A866">
        <v>260580</v>
      </c>
      <c r="B866">
        <v>252500</v>
      </c>
      <c r="C866">
        <v>8080</v>
      </c>
    </row>
    <row r="867" spans="1:3" x14ac:dyDescent="0.3">
      <c r="A867">
        <v>385581</v>
      </c>
      <c r="B867">
        <v>333060</v>
      </c>
      <c r="C867">
        <v>52521</v>
      </c>
    </row>
    <row r="868" spans="1:3" x14ac:dyDescent="0.3">
      <c r="A868">
        <v>229104</v>
      </c>
      <c r="B868">
        <v>222000</v>
      </c>
      <c r="C868">
        <v>7104</v>
      </c>
    </row>
    <row r="869" spans="1:3" x14ac:dyDescent="0.3">
      <c r="A869">
        <v>305730</v>
      </c>
      <c r="B869">
        <v>341280</v>
      </c>
      <c r="C869">
        <f>A869-B869</f>
        <v>-35550</v>
      </c>
    </row>
    <row r="870" spans="1:3" x14ac:dyDescent="0.3">
      <c r="A870">
        <v>25542</v>
      </c>
      <c r="B870">
        <v>7425</v>
      </c>
      <c r="C870">
        <v>18117</v>
      </c>
    </row>
    <row r="871" spans="1:3" x14ac:dyDescent="0.3">
      <c r="A871">
        <v>22484.7</v>
      </c>
      <c r="B871">
        <v>17430</v>
      </c>
      <c r="C871">
        <v>5054.7</v>
      </c>
    </row>
    <row r="872" spans="1:3" x14ac:dyDescent="0.3">
      <c r="A872">
        <v>30072.48</v>
      </c>
      <c r="B872">
        <v>8742</v>
      </c>
      <c r="C872">
        <v>21330.48</v>
      </c>
    </row>
    <row r="873" spans="1:3" x14ac:dyDescent="0.3">
      <c r="A873">
        <v>10420.620000000001</v>
      </c>
      <c r="B873">
        <v>8655</v>
      </c>
      <c r="C873">
        <v>1765.62</v>
      </c>
    </row>
    <row r="874" spans="1:3" x14ac:dyDescent="0.3">
      <c r="A874">
        <v>10396.540000000001</v>
      </c>
      <c r="B874">
        <v>8635</v>
      </c>
      <c r="C874">
        <v>1761.54</v>
      </c>
    </row>
    <row r="875" spans="1:3" x14ac:dyDescent="0.3">
      <c r="A875">
        <v>24123</v>
      </c>
      <c r="B875">
        <v>18700</v>
      </c>
      <c r="C875">
        <v>5423</v>
      </c>
    </row>
    <row r="876" spans="1:3" x14ac:dyDescent="0.3">
      <c r="A876">
        <v>124737.5</v>
      </c>
      <c r="B876">
        <v>140880</v>
      </c>
      <c r="C876">
        <f>A876-B876</f>
        <v>-16142.5</v>
      </c>
    </row>
    <row r="877" spans="1:3" x14ac:dyDescent="0.3">
      <c r="A877">
        <v>293993.75</v>
      </c>
      <c r="B877">
        <v>332040</v>
      </c>
      <c r="C877">
        <f>A877-B877</f>
        <v>-38046.25</v>
      </c>
    </row>
    <row r="878" spans="1:3" x14ac:dyDescent="0.3">
      <c r="A878">
        <v>115281.25</v>
      </c>
      <c r="B878">
        <v>130200</v>
      </c>
      <c r="C878">
        <f>A878-B878</f>
        <v>-14918.75</v>
      </c>
    </row>
    <row r="879" spans="1:3" x14ac:dyDescent="0.3">
      <c r="A879">
        <v>139230</v>
      </c>
      <c r="B879">
        <v>136500</v>
      </c>
      <c r="C879">
        <v>2730</v>
      </c>
    </row>
    <row r="880" spans="1:3" x14ac:dyDescent="0.3">
      <c r="A880">
        <v>19686</v>
      </c>
      <c r="B880">
        <v>11580</v>
      </c>
      <c r="C880">
        <v>8106</v>
      </c>
    </row>
    <row r="881" spans="1:3" x14ac:dyDescent="0.3">
      <c r="A881">
        <v>20578.5</v>
      </c>
      <c r="B881">
        <v>16140</v>
      </c>
      <c r="C881">
        <v>4438.5</v>
      </c>
    </row>
    <row r="882" spans="1:3" x14ac:dyDescent="0.3">
      <c r="A882">
        <v>15083.25</v>
      </c>
      <c r="B882">
        <v>12675</v>
      </c>
      <c r="C882">
        <v>2408.25</v>
      </c>
    </row>
    <row r="883" spans="1:3" x14ac:dyDescent="0.3">
      <c r="A883">
        <v>848172.5</v>
      </c>
      <c r="B883">
        <v>741260</v>
      </c>
      <c r="C883">
        <v>106912.5</v>
      </c>
    </row>
    <row r="884" spans="1:3" x14ac:dyDescent="0.3">
      <c r="A884">
        <v>32627.25</v>
      </c>
      <c r="B884">
        <v>25590</v>
      </c>
      <c r="C884">
        <v>7037.25</v>
      </c>
    </row>
    <row r="885" spans="1:3" x14ac:dyDescent="0.3">
      <c r="A885">
        <v>4539</v>
      </c>
      <c r="B885">
        <v>2670</v>
      </c>
      <c r="C885">
        <v>1869</v>
      </c>
    </row>
    <row r="886" spans="1:3" x14ac:dyDescent="0.3">
      <c r="A886">
        <v>115281.25</v>
      </c>
      <c r="B886">
        <v>130200</v>
      </c>
      <c r="C886">
        <f>A886-B886</f>
        <v>-14918.75</v>
      </c>
    </row>
    <row r="887" spans="1:3" x14ac:dyDescent="0.3">
      <c r="A887">
        <v>14981.25</v>
      </c>
      <c r="B887">
        <v>11750</v>
      </c>
      <c r="C887">
        <v>3231.25</v>
      </c>
    </row>
    <row r="888" spans="1:3" x14ac:dyDescent="0.3">
      <c r="A888">
        <v>597082.5</v>
      </c>
      <c r="B888">
        <v>521820</v>
      </c>
      <c r="C888">
        <v>75262.5</v>
      </c>
    </row>
    <row r="889" spans="1:3" x14ac:dyDescent="0.3">
      <c r="A889">
        <v>639922.5</v>
      </c>
      <c r="B889">
        <v>559260</v>
      </c>
      <c r="C889">
        <v>80662.5</v>
      </c>
    </row>
    <row r="890" spans="1:3" x14ac:dyDescent="0.3">
      <c r="A890">
        <v>9322.7999999999993</v>
      </c>
      <c r="B890">
        <v>2742</v>
      </c>
      <c r="C890">
        <v>6580.8</v>
      </c>
    </row>
    <row r="891" spans="1:3" x14ac:dyDescent="0.3">
      <c r="A891">
        <v>4981</v>
      </c>
      <c r="B891">
        <v>2930</v>
      </c>
      <c r="C891">
        <v>2051</v>
      </c>
    </row>
    <row r="892" spans="1:3" x14ac:dyDescent="0.3">
      <c r="A892">
        <v>5100</v>
      </c>
      <c r="B892">
        <v>1500</v>
      </c>
      <c r="C892">
        <v>3600</v>
      </c>
    </row>
    <row r="893" spans="1:3" x14ac:dyDescent="0.3">
      <c r="A893">
        <v>36031.5</v>
      </c>
      <c r="B893">
        <v>28260</v>
      </c>
      <c r="C893">
        <v>7771.5</v>
      </c>
    </row>
    <row r="894" spans="1:3" x14ac:dyDescent="0.3">
      <c r="A894">
        <v>70443.75</v>
      </c>
      <c r="B894">
        <v>79560</v>
      </c>
      <c r="C894">
        <f>A894-B894</f>
        <v>-9116.25</v>
      </c>
    </row>
    <row r="895" spans="1:3" x14ac:dyDescent="0.3">
      <c r="A895">
        <v>656370</v>
      </c>
      <c r="B895">
        <v>643500</v>
      </c>
      <c r="C895">
        <v>12870</v>
      </c>
    </row>
    <row r="896" spans="1:3" x14ac:dyDescent="0.3">
      <c r="A896">
        <v>259037.5</v>
      </c>
      <c r="B896">
        <v>292560</v>
      </c>
      <c r="C896">
        <f>A896-B896</f>
        <v>-33522.5</v>
      </c>
    </row>
    <row r="897" spans="1:3" x14ac:dyDescent="0.3">
      <c r="A897">
        <v>9322.7999999999993</v>
      </c>
      <c r="B897">
        <v>2742</v>
      </c>
      <c r="C897">
        <v>6580.8</v>
      </c>
    </row>
    <row r="898" spans="1:3" x14ac:dyDescent="0.3">
      <c r="A898">
        <v>14713.5</v>
      </c>
      <c r="B898">
        <v>8655</v>
      </c>
      <c r="C898">
        <v>6058.5</v>
      </c>
    </row>
    <row r="899" spans="1:3" x14ac:dyDescent="0.3">
      <c r="A899">
        <v>6273</v>
      </c>
      <c r="B899">
        <v>4920</v>
      </c>
      <c r="C899">
        <v>1353</v>
      </c>
    </row>
    <row r="900" spans="1:3" x14ac:dyDescent="0.3">
      <c r="A900">
        <v>4539</v>
      </c>
      <c r="B900">
        <v>2670</v>
      </c>
      <c r="C900">
        <v>1869</v>
      </c>
    </row>
    <row r="901" spans="1:3" x14ac:dyDescent="0.3">
      <c r="A901">
        <v>14981.25</v>
      </c>
      <c r="B901">
        <v>11750</v>
      </c>
      <c r="C901">
        <v>3231.25</v>
      </c>
    </row>
    <row r="902" spans="1:3" x14ac:dyDescent="0.3">
      <c r="A902">
        <v>313862.5</v>
      </c>
      <c r="B902">
        <v>354480</v>
      </c>
      <c r="C902">
        <f>A902-B902</f>
        <v>-40617.5</v>
      </c>
    </row>
    <row r="903" spans="1:3" x14ac:dyDescent="0.3">
      <c r="A903">
        <v>58650</v>
      </c>
      <c r="B903">
        <v>66240</v>
      </c>
      <c r="C903">
        <f>A903-B903</f>
        <v>-7590</v>
      </c>
    </row>
    <row r="904" spans="1:3" x14ac:dyDescent="0.3">
      <c r="A904">
        <v>4981</v>
      </c>
      <c r="B904">
        <v>2930</v>
      </c>
      <c r="C904">
        <v>2051</v>
      </c>
    </row>
    <row r="905" spans="1:3" x14ac:dyDescent="0.3">
      <c r="A905">
        <v>631125</v>
      </c>
      <c r="B905">
        <v>618750</v>
      </c>
      <c r="C905">
        <v>12375</v>
      </c>
    </row>
    <row r="906" spans="1:3" x14ac:dyDescent="0.3">
      <c r="A906">
        <v>139230</v>
      </c>
      <c r="B906">
        <v>136500</v>
      </c>
      <c r="C906">
        <v>2730</v>
      </c>
    </row>
    <row r="907" spans="1:3" x14ac:dyDescent="0.3">
      <c r="A907">
        <v>8139.6</v>
      </c>
      <c r="B907">
        <v>6840</v>
      </c>
      <c r="C907">
        <v>1299.5999999999999</v>
      </c>
    </row>
    <row r="908" spans="1:3" x14ac:dyDescent="0.3">
      <c r="A908">
        <v>4301.8500000000004</v>
      </c>
      <c r="B908">
        <v>3615</v>
      </c>
      <c r="C908">
        <v>686.85</v>
      </c>
    </row>
    <row r="909" spans="1:3" x14ac:dyDescent="0.3">
      <c r="A909">
        <v>18421.2</v>
      </c>
      <c r="B909">
        <v>5418</v>
      </c>
      <c r="C909">
        <v>13003.2</v>
      </c>
    </row>
    <row r="910" spans="1:3" x14ac:dyDescent="0.3">
      <c r="A910">
        <v>30001</v>
      </c>
      <c r="B910">
        <v>15790</v>
      </c>
      <c r="C910">
        <v>14211</v>
      </c>
    </row>
    <row r="911" spans="1:3" x14ac:dyDescent="0.3">
      <c r="A911">
        <v>102243.75</v>
      </c>
      <c r="B911">
        <v>103320</v>
      </c>
      <c r="C911">
        <f>A911-B911</f>
        <v>-1076.25</v>
      </c>
    </row>
    <row r="912" spans="1:3" x14ac:dyDescent="0.3">
      <c r="A912">
        <v>83600</v>
      </c>
      <c r="B912">
        <v>84480</v>
      </c>
      <c r="C912">
        <f>A912-B912</f>
        <v>-880</v>
      </c>
    </row>
    <row r="913" spans="1:3" x14ac:dyDescent="0.3">
      <c r="A913">
        <v>19627</v>
      </c>
      <c r="B913">
        <v>10330</v>
      </c>
      <c r="C913">
        <v>9297</v>
      </c>
    </row>
    <row r="914" spans="1:3" x14ac:dyDescent="0.3">
      <c r="A914">
        <v>356250</v>
      </c>
      <c r="B914">
        <v>312500</v>
      </c>
      <c r="C914">
        <v>43750</v>
      </c>
    </row>
    <row r="915" spans="1:3" x14ac:dyDescent="0.3">
      <c r="A915">
        <v>26391</v>
      </c>
      <c r="B915">
        <v>13890</v>
      </c>
      <c r="C915">
        <v>12501</v>
      </c>
    </row>
    <row r="916" spans="1:3" x14ac:dyDescent="0.3">
      <c r="A916">
        <v>24035</v>
      </c>
      <c r="B916">
        <v>12650</v>
      </c>
      <c r="C916">
        <v>11385</v>
      </c>
    </row>
    <row r="917" spans="1:3" x14ac:dyDescent="0.3">
      <c r="A917">
        <v>43643</v>
      </c>
      <c r="B917">
        <v>22970</v>
      </c>
      <c r="C917">
        <v>20673</v>
      </c>
    </row>
    <row r="918" spans="1:3" x14ac:dyDescent="0.3">
      <c r="A918">
        <v>50597</v>
      </c>
      <c r="B918">
        <v>26630</v>
      </c>
      <c r="C918">
        <v>23967</v>
      </c>
    </row>
    <row r="919" spans="1:3" x14ac:dyDescent="0.3">
      <c r="A919">
        <v>3790.5</v>
      </c>
      <c r="B919">
        <v>2850</v>
      </c>
      <c r="C919">
        <v>940.5</v>
      </c>
    </row>
    <row r="920" spans="1:3" x14ac:dyDescent="0.3">
      <c r="A920">
        <v>16538.55</v>
      </c>
      <c r="B920">
        <v>12435</v>
      </c>
      <c r="C920">
        <v>4103.55</v>
      </c>
    </row>
    <row r="921" spans="1:3" x14ac:dyDescent="0.3">
      <c r="A921">
        <v>448875</v>
      </c>
      <c r="B921">
        <v>351000</v>
      </c>
      <c r="C921">
        <v>97875</v>
      </c>
    </row>
    <row r="922" spans="1:3" x14ac:dyDescent="0.3">
      <c r="A922">
        <v>183540</v>
      </c>
      <c r="B922">
        <v>143520</v>
      </c>
      <c r="C922">
        <v>40020</v>
      </c>
    </row>
    <row r="923" spans="1:3" x14ac:dyDescent="0.3">
      <c r="A923">
        <v>408310</v>
      </c>
      <c r="B923">
        <v>319280</v>
      </c>
      <c r="C923">
        <v>89030</v>
      </c>
    </row>
    <row r="924" spans="1:3" x14ac:dyDescent="0.3">
      <c r="A924">
        <v>356250</v>
      </c>
      <c r="B924">
        <v>312500</v>
      </c>
      <c r="C924">
        <v>43750</v>
      </c>
    </row>
    <row r="925" spans="1:3" x14ac:dyDescent="0.3">
      <c r="A925">
        <v>53594.1</v>
      </c>
      <c r="B925">
        <v>38010</v>
      </c>
      <c r="C925">
        <v>15584.1</v>
      </c>
    </row>
    <row r="926" spans="1:3" x14ac:dyDescent="0.3">
      <c r="A926">
        <v>21009</v>
      </c>
      <c r="B926">
        <v>11175</v>
      </c>
      <c r="C926">
        <v>9834</v>
      </c>
    </row>
    <row r="927" spans="1:3" x14ac:dyDescent="0.3">
      <c r="A927">
        <v>40100.400000000001</v>
      </c>
      <c r="B927">
        <v>28440</v>
      </c>
      <c r="C927">
        <v>11660.4</v>
      </c>
    </row>
    <row r="928" spans="1:3" x14ac:dyDescent="0.3">
      <c r="A928">
        <v>6339.36</v>
      </c>
      <c r="B928">
        <v>1686</v>
      </c>
      <c r="C928">
        <v>4653.3599999999997</v>
      </c>
    </row>
    <row r="929" spans="1:3" x14ac:dyDescent="0.3">
      <c r="A929">
        <v>25932.720000000001</v>
      </c>
      <c r="B929">
        <v>6897</v>
      </c>
      <c r="C929">
        <v>19035.72</v>
      </c>
    </row>
    <row r="930" spans="1:3" x14ac:dyDescent="0.3">
      <c r="A930">
        <v>28623</v>
      </c>
      <c r="B930">
        <v>20300</v>
      </c>
      <c r="C930">
        <v>8323</v>
      </c>
    </row>
    <row r="931" spans="1:3" x14ac:dyDescent="0.3">
      <c r="A931">
        <v>1730.54</v>
      </c>
      <c r="B931">
        <v>1315</v>
      </c>
      <c r="C931">
        <v>415.54</v>
      </c>
    </row>
    <row r="932" spans="1:3" x14ac:dyDescent="0.3">
      <c r="A932">
        <v>104222.5</v>
      </c>
      <c r="B932">
        <v>106440</v>
      </c>
      <c r="C932">
        <f>A932-B932</f>
        <v>-2217.5</v>
      </c>
    </row>
    <row r="933" spans="1:3" x14ac:dyDescent="0.3">
      <c r="A933">
        <v>322420</v>
      </c>
      <c r="B933">
        <v>254800</v>
      </c>
      <c r="C933">
        <v>67620</v>
      </c>
    </row>
    <row r="934" spans="1:3" x14ac:dyDescent="0.3">
      <c r="A934">
        <v>480340</v>
      </c>
      <c r="B934">
        <v>379600</v>
      </c>
      <c r="C934">
        <v>100740</v>
      </c>
    </row>
    <row r="935" spans="1:3" x14ac:dyDescent="0.3">
      <c r="A935">
        <v>9231.74</v>
      </c>
      <c r="B935">
        <v>7015</v>
      </c>
      <c r="C935">
        <v>2216.7399999999998</v>
      </c>
    </row>
    <row r="936" spans="1:3" x14ac:dyDescent="0.3">
      <c r="A936">
        <v>30715.439999999999</v>
      </c>
      <c r="B936">
        <v>8169</v>
      </c>
      <c r="C936">
        <v>22546.44</v>
      </c>
    </row>
    <row r="937" spans="1:3" x14ac:dyDescent="0.3">
      <c r="A937">
        <v>492184</v>
      </c>
      <c r="B937">
        <v>388960</v>
      </c>
      <c r="C937">
        <v>103224</v>
      </c>
    </row>
    <row r="938" spans="1:3" x14ac:dyDescent="0.3">
      <c r="A938">
        <v>25932.720000000001</v>
      </c>
      <c r="B938">
        <v>6897</v>
      </c>
      <c r="C938">
        <v>19035.72</v>
      </c>
    </row>
    <row r="939" spans="1:3" x14ac:dyDescent="0.3">
      <c r="A939">
        <v>239183</v>
      </c>
      <c r="B939">
        <v>189020</v>
      </c>
      <c r="C939">
        <v>50163</v>
      </c>
    </row>
    <row r="940" spans="1:3" x14ac:dyDescent="0.3">
      <c r="A940">
        <v>111860</v>
      </c>
      <c r="B940">
        <v>114240</v>
      </c>
      <c r="C940">
        <f>A940-B940</f>
        <v>-2380</v>
      </c>
    </row>
    <row r="941" spans="1:3" x14ac:dyDescent="0.3">
      <c r="A941">
        <v>323712.5</v>
      </c>
      <c r="B941">
        <v>330600</v>
      </c>
      <c r="C941">
        <f>A941-B941</f>
        <v>-6887.5</v>
      </c>
    </row>
    <row r="942" spans="1:3" x14ac:dyDescent="0.3">
      <c r="A942">
        <v>21573</v>
      </c>
      <c r="B942">
        <v>15300</v>
      </c>
      <c r="C942">
        <v>6273</v>
      </c>
    </row>
    <row r="943" spans="1:3" x14ac:dyDescent="0.3">
      <c r="A943">
        <v>492184</v>
      </c>
      <c r="B943">
        <v>388960</v>
      </c>
      <c r="C943">
        <v>103224</v>
      </c>
    </row>
    <row r="944" spans="1:3" x14ac:dyDescent="0.3">
      <c r="A944">
        <v>9856.84</v>
      </c>
      <c r="B944">
        <v>7490</v>
      </c>
      <c r="C944">
        <v>2366.84</v>
      </c>
    </row>
    <row r="945" spans="1:3" x14ac:dyDescent="0.3">
      <c r="A945">
        <v>344322</v>
      </c>
      <c r="B945">
        <v>305250</v>
      </c>
      <c r="C945">
        <v>39072</v>
      </c>
    </row>
    <row r="946" spans="1:3" x14ac:dyDescent="0.3">
      <c r="A946">
        <v>683004</v>
      </c>
      <c r="B946">
        <v>539760</v>
      </c>
      <c r="C946">
        <v>143244</v>
      </c>
    </row>
    <row r="947" spans="1:3" x14ac:dyDescent="0.3">
      <c r="A947">
        <v>40100.400000000001</v>
      </c>
      <c r="B947">
        <v>28440</v>
      </c>
      <c r="C947">
        <v>11660.4</v>
      </c>
    </row>
    <row r="948" spans="1:3" x14ac:dyDescent="0.3">
      <c r="A948">
        <v>9856.84</v>
      </c>
      <c r="B948">
        <v>7490</v>
      </c>
      <c r="C948">
        <v>2366.84</v>
      </c>
    </row>
    <row r="949" spans="1:3" x14ac:dyDescent="0.3">
      <c r="A949">
        <v>344322</v>
      </c>
      <c r="B949">
        <v>305250</v>
      </c>
      <c r="C949">
        <v>39072</v>
      </c>
    </row>
    <row r="950" spans="1:3" x14ac:dyDescent="0.3">
      <c r="A950">
        <v>21112.400000000001</v>
      </c>
      <c r="B950">
        <v>11230</v>
      </c>
      <c r="C950">
        <v>9882.4</v>
      </c>
    </row>
    <row r="951" spans="1:3" x14ac:dyDescent="0.3">
      <c r="A951">
        <v>686952</v>
      </c>
      <c r="B951">
        <v>609000</v>
      </c>
      <c r="C951">
        <v>77952</v>
      </c>
    </row>
    <row r="952" spans="1:3" x14ac:dyDescent="0.3">
      <c r="A952">
        <v>233531.25</v>
      </c>
      <c r="B952">
        <v>238500</v>
      </c>
      <c r="C952">
        <f>A952-B952</f>
        <v>-4968.75</v>
      </c>
    </row>
    <row r="953" spans="1:3" x14ac:dyDescent="0.3">
      <c r="A953">
        <v>552391</v>
      </c>
      <c r="B953">
        <v>436540</v>
      </c>
      <c r="C953">
        <v>115851</v>
      </c>
    </row>
    <row r="954" spans="1:3" x14ac:dyDescent="0.3">
      <c r="A954">
        <v>239183</v>
      </c>
      <c r="B954">
        <v>189020</v>
      </c>
      <c r="C954">
        <v>50163</v>
      </c>
    </row>
    <row r="955" spans="1:3" x14ac:dyDescent="0.3">
      <c r="A955">
        <v>9231.74</v>
      </c>
      <c r="B955">
        <v>7015</v>
      </c>
      <c r="C955">
        <v>2216.7399999999998</v>
      </c>
    </row>
    <row r="956" spans="1:3" x14ac:dyDescent="0.3">
      <c r="A956">
        <v>683004</v>
      </c>
      <c r="B956">
        <v>539760</v>
      </c>
      <c r="C956">
        <v>143244</v>
      </c>
    </row>
    <row r="957" spans="1:3" x14ac:dyDescent="0.3">
      <c r="A957">
        <v>33031.599999999999</v>
      </c>
      <c r="B957">
        <v>17570</v>
      </c>
      <c r="C957">
        <v>15461.6</v>
      </c>
    </row>
    <row r="958" spans="1:3" x14ac:dyDescent="0.3">
      <c r="A958">
        <v>30991.8</v>
      </c>
      <c r="B958">
        <v>21980</v>
      </c>
      <c r="C958">
        <v>9011.7999999999993</v>
      </c>
    </row>
    <row r="959" spans="1:3" x14ac:dyDescent="0.3">
      <c r="A959">
        <v>24576.3</v>
      </c>
      <c r="B959">
        <v>17430</v>
      </c>
      <c r="C959">
        <v>7146.3</v>
      </c>
    </row>
    <row r="960" spans="1:3" x14ac:dyDescent="0.3">
      <c r="A960">
        <v>16257.3</v>
      </c>
      <c r="B960">
        <v>11530</v>
      </c>
      <c r="C960">
        <v>4727.3</v>
      </c>
    </row>
    <row r="961" spans="1:3" x14ac:dyDescent="0.3">
      <c r="A961">
        <v>33031.599999999999</v>
      </c>
      <c r="B961">
        <v>17570</v>
      </c>
      <c r="C961">
        <v>15461.6</v>
      </c>
    </row>
    <row r="962" spans="1:3" x14ac:dyDescent="0.3">
      <c r="A962">
        <v>18818.8</v>
      </c>
      <c r="B962">
        <v>10010</v>
      </c>
      <c r="C962">
        <v>8808.7999999999993</v>
      </c>
    </row>
    <row r="963" spans="1:3" x14ac:dyDescent="0.3">
      <c r="A963">
        <v>8771.14</v>
      </c>
      <c r="B963">
        <v>6665</v>
      </c>
      <c r="C963">
        <v>2106.14</v>
      </c>
    </row>
    <row r="964" spans="1:3" x14ac:dyDescent="0.3">
      <c r="A964">
        <v>16257.3</v>
      </c>
      <c r="B964">
        <v>11530</v>
      </c>
      <c r="C964">
        <v>4727.3</v>
      </c>
    </row>
    <row r="965" spans="1:3" x14ac:dyDescent="0.3">
      <c r="A965">
        <v>8113.32</v>
      </c>
      <c r="B965">
        <v>2181</v>
      </c>
      <c r="C965">
        <v>5932.32</v>
      </c>
    </row>
    <row r="966" spans="1:3" x14ac:dyDescent="0.3">
      <c r="A966">
        <v>21025.439999999999</v>
      </c>
      <c r="B966">
        <v>5652</v>
      </c>
      <c r="C966">
        <v>15373.44</v>
      </c>
    </row>
    <row r="967" spans="1:3" x14ac:dyDescent="0.3">
      <c r="A967">
        <v>34112.400000000001</v>
      </c>
      <c r="B967">
        <v>18340</v>
      </c>
      <c r="C967">
        <v>15772.4</v>
      </c>
    </row>
    <row r="968" spans="1:3" x14ac:dyDescent="0.3">
      <c r="A968">
        <v>26114.400000000001</v>
      </c>
      <c r="B968">
        <v>7020</v>
      </c>
      <c r="C968">
        <v>19094.400000000001</v>
      </c>
    </row>
    <row r="969" spans="1:3" x14ac:dyDescent="0.3">
      <c r="A969">
        <v>26136.720000000001</v>
      </c>
      <c r="B969">
        <v>7026</v>
      </c>
      <c r="C969">
        <v>19110.72</v>
      </c>
    </row>
    <row r="970" spans="1:3" x14ac:dyDescent="0.3">
      <c r="A970">
        <v>6711.81</v>
      </c>
      <c r="B970">
        <v>5155</v>
      </c>
      <c r="C970">
        <v>1556.81</v>
      </c>
    </row>
    <row r="971" spans="1:3" x14ac:dyDescent="0.3">
      <c r="A971">
        <v>408386.25</v>
      </c>
      <c r="B971">
        <v>421560</v>
      </c>
      <c r="C971">
        <f>A971-B971</f>
        <v>-13173.75</v>
      </c>
    </row>
    <row r="972" spans="1:3" x14ac:dyDescent="0.3">
      <c r="A972">
        <v>29308.95</v>
      </c>
      <c r="B972">
        <v>21010</v>
      </c>
      <c r="C972">
        <v>8298.9500000000007</v>
      </c>
    </row>
    <row r="973" spans="1:3" x14ac:dyDescent="0.3">
      <c r="A973">
        <v>40887.449999999997</v>
      </c>
      <c r="B973">
        <v>29310</v>
      </c>
      <c r="C973">
        <v>11577.45</v>
      </c>
    </row>
    <row r="974" spans="1:3" x14ac:dyDescent="0.3">
      <c r="A974">
        <v>28551</v>
      </c>
      <c r="B974">
        <v>15350</v>
      </c>
      <c r="C974">
        <v>13201</v>
      </c>
    </row>
    <row r="975" spans="1:3" x14ac:dyDescent="0.3">
      <c r="A975">
        <v>313317</v>
      </c>
      <c r="B975">
        <v>280750</v>
      </c>
      <c r="C975">
        <v>32567</v>
      </c>
    </row>
    <row r="976" spans="1:3" x14ac:dyDescent="0.3">
      <c r="A976">
        <v>391716</v>
      </c>
      <c r="B976">
        <v>351000</v>
      </c>
      <c r="C976">
        <v>40716</v>
      </c>
    </row>
    <row r="977" spans="1:3" x14ac:dyDescent="0.3">
      <c r="A977">
        <v>30835.08</v>
      </c>
      <c r="B977">
        <v>8289</v>
      </c>
      <c r="C977">
        <v>22546.080000000002</v>
      </c>
    </row>
    <row r="978" spans="1:3" x14ac:dyDescent="0.3">
      <c r="A978">
        <v>13833.75</v>
      </c>
      <c r="B978">
        <v>10625</v>
      </c>
      <c r="C978">
        <v>3208.75</v>
      </c>
    </row>
    <row r="979" spans="1:3" x14ac:dyDescent="0.3">
      <c r="A979">
        <v>462861</v>
      </c>
      <c r="B979">
        <v>414750</v>
      </c>
      <c r="C979">
        <v>48111</v>
      </c>
    </row>
    <row r="980" spans="1:3" x14ac:dyDescent="0.3">
      <c r="A980">
        <v>11327.4</v>
      </c>
      <c r="B980">
        <v>6090</v>
      </c>
      <c r="C980">
        <v>5237.3999999999996</v>
      </c>
    </row>
    <row r="981" spans="1:3" x14ac:dyDescent="0.3">
      <c r="A981">
        <v>242613.75</v>
      </c>
      <c r="B981">
        <v>250440</v>
      </c>
      <c r="C981">
        <f>A981-B981</f>
        <v>-7826.25</v>
      </c>
    </row>
    <row r="982" spans="1:3" x14ac:dyDescent="0.3">
      <c r="A982">
        <v>36753.599999999999</v>
      </c>
      <c r="B982">
        <v>19760</v>
      </c>
      <c r="C982">
        <v>16993.599999999999</v>
      </c>
    </row>
    <row r="983" spans="1:3" x14ac:dyDescent="0.3">
      <c r="A983">
        <v>26430.6</v>
      </c>
      <c r="B983">
        <v>14210</v>
      </c>
      <c r="C983">
        <v>12220.6</v>
      </c>
    </row>
    <row r="984" spans="1:3" x14ac:dyDescent="0.3">
      <c r="A984">
        <v>382788</v>
      </c>
      <c r="B984">
        <v>343000</v>
      </c>
      <c r="C984">
        <v>39788</v>
      </c>
    </row>
    <row r="985" spans="1:3" x14ac:dyDescent="0.3">
      <c r="A985">
        <v>10936.8</v>
      </c>
      <c r="B985">
        <v>5880</v>
      </c>
      <c r="C985">
        <v>5056.8</v>
      </c>
    </row>
    <row r="986" spans="1:3" x14ac:dyDescent="0.3">
      <c r="A986">
        <v>36208.620000000003</v>
      </c>
      <c r="B986">
        <v>9733.5</v>
      </c>
      <c r="C986">
        <v>26475.119999999999</v>
      </c>
    </row>
    <row r="987" spans="1:3" x14ac:dyDescent="0.3">
      <c r="A987">
        <v>267561</v>
      </c>
      <c r="B987">
        <v>239750</v>
      </c>
      <c r="C987">
        <v>27811</v>
      </c>
    </row>
    <row r="988" spans="1:3" x14ac:dyDescent="0.3">
      <c r="A988">
        <v>766413</v>
      </c>
      <c r="B988">
        <v>686750</v>
      </c>
      <c r="C988">
        <v>79663</v>
      </c>
    </row>
    <row r="989" spans="1:3" x14ac:dyDescent="0.3">
      <c r="A989">
        <v>191231.25</v>
      </c>
      <c r="B989">
        <v>197400</v>
      </c>
      <c r="C989">
        <f>A989-B989</f>
        <v>-6168.75</v>
      </c>
    </row>
    <row r="990" spans="1:3" x14ac:dyDescent="0.3">
      <c r="A990">
        <v>936138</v>
      </c>
      <c r="B990">
        <v>747760</v>
      </c>
      <c r="C990">
        <v>188378</v>
      </c>
    </row>
    <row r="991" spans="1:3" x14ac:dyDescent="0.3">
      <c r="A991">
        <v>115552.5</v>
      </c>
      <c r="B991">
        <v>119280</v>
      </c>
      <c r="C991">
        <f>A991-B991</f>
        <v>-3727.5</v>
      </c>
    </row>
    <row r="992" spans="1:3" x14ac:dyDescent="0.3">
      <c r="A992">
        <v>20794.8</v>
      </c>
      <c r="B992">
        <v>11180</v>
      </c>
      <c r="C992">
        <v>9614.7999999999993</v>
      </c>
    </row>
    <row r="993" spans="1:3" x14ac:dyDescent="0.3">
      <c r="A993">
        <v>382788</v>
      </c>
      <c r="B993">
        <v>343000</v>
      </c>
      <c r="C993">
        <v>39788</v>
      </c>
    </row>
    <row r="994" spans="1:3" x14ac:dyDescent="0.3">
      <c r="A994">
        <v>3142.72</v>
      </c>
      <c r="B994">
        <v>2440</v>
      </c>
      <c r="C994">
        <v>702.72</v>
      </c>
    </row>
    <row r="995" spans="1:3" x14ac:dyDescent="0.3">
      <c r="A995">
        <v>23588.799999999999</v>
      </c>
      <c r="B995">
        <v>12820</v>
      </c>
      <c r="C995">
        <v>10768.8</v>
      </c>
    </row>
    <row r="996" spans="1:3" x14ac:dyDescent="0.3">
      <c r="A996">
        <v>1655.08</v>
      </c>
      <c r="B996">
        <v>1285</v>
      </c>
      <c r="C996">
        <v>370.08</v>
      </c>
    </row>
    <row r="997" spans="1:3" x14ac:dyDescent="0.3">
      <c r="A997">
        <v>23588.799999999999</v>
      </c>
      <c r="B997">
        <v>12820</v>
      </c>
      <c r="C997">
        <v>10768.8</v>
      </c>
    </row>
    <row r="998" spans="1:3" x14ac:dyDescent="0.3">
      <c r="A998">
        <v>177100</v>
      </c>
      <c r="B998">
        <v>184800</v>
      </c>
      <c r="C998">
        <f>A998-B998</f>
        <v>-7700</v>
      </c>
    </row>
    <row r="999" spans="1:3" x14ac:dyDescent="0.3">
      <c r="A999">
        <v>6762</v>
      </c>
      <c r="B999">
        <v>4900</v>
      </c>
      <c r="C999">
        <v>1862</v>
      </c>
    </row>
    <row r="1000" spans="1:3" x14ac:dyDescent="0.3">
      <c r="A1000">
        <v>438564</v>
      </c>
      <c r="B1000">
        <v>354120</v>
      </c>
      <c r="C1000">
        <v>84444</v>
      </c>
    </row>
    <row r="1001" spans="1:3" x14ac:dyDescent="0.3">
      <c r="A1001">
        <v>34513.800000000003</v>
      </c>
      <c r="B1001">
        <v>25010</v>
      </c>
      <c r="C1001">
        <v>9503.7999999999993</v>
      </c>
    </row>
    <row r="1002" spans="1:3" x14ac:dyDescent="0.3">
      <c r="A1002">
        <v>13027.2</v>
      </c>
      <c r="B1002">
        <v>7080</v>
      </c>
      <c r="C1002">
        <v>5947.2</v>
      </c>
    </row>
    <row r="1003" spans="1:3" x14ac:dyDescent="0.3">
      <c r="A1003">
        <v>11868</v>
      </c>
      <c r="B1003">
        <v>6450</v>
      </c>
      <c r="C1003">
        <v>5418</v>
      </c>
    </row>
    <row r="1004" spans="1:3" x14ac:dyDescent="0.3">
      <c r="A1004">
        <v>431112</v>
      </c>
      <c r="B1004">
        <v>390500</v>
      </c>
      <c r="C1004">
        <v>40612</v>
      </c>
    </row>
    <row r="1005" spans="1:3" x14ac:dyDescent="0.3">
      <c r="A1005">
        <v>354108</v>
      </c>
      <c r="B1005">
        <v>320750</v>
      </c>
      <c r="C1005">
        <v>33358</v>
      </c>
    </row>
    <row r="1006" spans="1:3" x14ac:dyDescent="0.3">
      <c r="A1006">
        <v>9811.7999999999993</v>
      </c>
      <c r="B1006">
        <v>7110</v>
      </c>
      <c r="C1006">
        <v>2701.8</v>
      </c>
    </row>
    <row r="1007" spans="1:3" x14ac:dyDescent="0.3">
      <c r="A1007">
        <v>128110</v>
      </c>
      <c r="B1007">
        <v>133680</v>
      </c>
      <c r="C1007">
        <f>A1007-B1007</f>
        <v>-5570</v>
      </c>
    </row>
    <row r="1008" spans="1:3" x14ac:dyDescent="0.3">
      <c r="A1008">
        <v>8107.96</v>
      </c>
      <c r="B1008">
        <v>6295</v>
      </c>
      <c r="C1008">
        <v>1812.96</v>
      </c>
    </row>
    <row r="1009" spans="1:3" x14ac:dyDescent="0.3">
      <c r="A1009">
        <v>7051.8</v>
      </c>
      <c r="B1009">
        <v>5475</v>
      </c>
      <c r="C1009">
        <v>1576.8</v>
      </c>
    </row>
    <row r="1010" spans="1:3" x14ac:dyDescent="0.3">
      <c r="A1010">
        <v>25134.400000000001</v>
      </c>
      <c r="B1010">
        <v>13660</v>
      </c>
      <c r="C1010">
        <v>11474.4</v>
      </c>
    </row>
    <row r="1011" spans="1:3" x14ac:dyDescent="0.3">
      <c r="A1011">
        <v>678960</v>
      </c>
      <c r="B1011">
        <v>615000</v>
      </c>
      <c r="C1011">
        <v>63960</v>
      </c>
    </row>
    <row r="1012" spans="1:3" x14ac:dyDescent="0.3">
      <c r="A1012">
        <v>4366.32</v>
      </c>
      <c r="B1012">
        <v>3390</v>
      </c>
      <c r="C1012">
        <v>976.32</v>
      </c>
    </row>
    <row r="1013" spans="1:3" x14ac:dyDescent="0.3">
      <c r="A1013">
        <v>10291.120000000001</v>
      </c>
      <c r="B1013">
        <v>7990</v>
      </c>
      <c r="C1013">
        <v>2301.12</v>
      </c>
    </row>
    <row r="1014" spans="1:3" x14ac:dyDescent="0.3">
      <c r="A1014">
        <v>15513.96</v>
      </c>
      <c r="B1014">
        <v>12045</v>
      </c>
      <c r="C1014">
        <v>3468.96</v>
      </c>
    </row>
    <row r="1015" spans="1:3" x14ac:dyDescent="0.3">
      <c r="A1015">
        <v>29979.599999999999</v>
      </c>
      <c r="B1015">
        <v>17430</v>
      </c>
      <c r="C1015">
        <v>12549.6</v>
      </c>
    </row>
    <row r="1016" spans="1:3" x14ac:dyDescent="0.3">
      <c r="A1016">
        <v>18035.919999999998</v>
      </c>
      <c r="B1016">
        <v>14980</v>
      </c>
      <c r="C1016">
        <v>3055.92</v>
      </c>
    </row>
    <row r="1017" spans="1:3" x14ac:dyDescent="0.3">
      <c r="A1017">
        <v>1685.6</v>
      </c>
      <c r="B1017">
        <v>1400</v>
      </c>
      <c r="C1017">
        <v>285.60000000000002</v>
      </c>
    </row>
    <row r="1018" spans="1:3" x14ac:dyDescent="0.3">
      <c r="A1018">
        <v>1763.86</v>
      </c>
      <c r="B1018">
        <v>1465</v>
      </c>
      <c r="C1018">
        <v>298.86</v>
      </c>
    </row>
    <row r="1019" spans="1:3" x14ac:dyDescent="0.3">
      <c r="A1019">
        <v>18035.919999999998</v>
      </c>
      <c r="B1019">
        <v>14980</v>
      </c>
      <c r="C1019">
        <v>3055.92</v>
      </c>
    </row>
    <row r="1020" spans="1:3" x14ac:dyDescent="0.3">
      <c r="A1020">
        <v>3586.2</v>
      </c>
      <c r="B1020">
        <v>2780</v>
      </c>
      <c r="C1020">
        <v>806.2</v>
      </c>
    </row>
    <row r="1021" spans="1:3" x14ac:dyDescent="0.3">
      <c r="A1021">
        <v>41761.599999999999</v>
      </c>
      <c r="B1021">
        <v>24280</v>
      </c>
      <c r="C1021">
        <v>17481.599999999999</v>
      </c>
    </row>
    <row r="1022" spans="1:3" x14ac:dyDescent="0.3">
      <c r="A1022">
        <v>22794.3</v>
      </c>
      <c r="B1022">
        <v>17670</v>
      </c>
      <c r="C1022">
        <v>5124.3</v>
      </c>
    </row>
    <row r="1023" spans="1:3" x14ac:dyDescent="0.3">
      <c r="A1023">
        <v>14375.76</v>
      </c>
      <c r="B1023">
        <v>4179</v>
      </c>
      <c r="C1023">
        <v>10196.76</v>
      </c>
    </row>
    <row r="1024" spans="1:3" x14ac:dyDescent="0.3">
      <c r="A1024">
        <v>1685.6</v>
      </c>
      <c r="B1024">
        <v>1400</v>
      </c>
      <c r="C1024">
        <v>285.60000000000002</v>
      </c>
    </row>
    <row r="1025" spans="1:3" x14ac:dyDescent="0.3">
      <c r="A1025">
        <v>14375.76</v>
      </c>
      <c r="B1025">
        <v>4179</v>
      </c>
      <c r="C1025">
        <v>10196.76</v>
      </c>
    </row>
    <row r="1026" spans="1:3" x14ac:dyDescent="0.3">
      <c r="A1026">
        <v>20794.8</v>
      </c>
      <c r="B1026">
        <v>6045</v>
      </c>
      <c r="C1026">
        <v>14749.8</v>
      </c>
    </row>
    <row r="1027" spans="1:3" x14ac:dyDescent="0.3">
      <c r="A1027">
        <v>206658</v>
      </c>
      <c r="B1027">
        <v>200250</v>
      </c>
      <c r="C1027">
        <v>6408</v>
      </c>
    </row>
    <row r="1028" spans="1:3" x14ac:dyDescent="0.3">
      <c r="A1028">
        <v>109972.5</v>
      </c>
      <c r="B1028">
        <v>122760</v>
      </c>
      <c r="C1028">
        <f>A1028-B1028</f>
        <v>-12787.5</v>
      </c>
    </row>
    <row r="1029" spans="1:3" x14ac:dyDescent="0.3">
      <c r="A1029">
        <v>385968</v>
      </c>
      <c r="B1029">
        <v>374000</v>
      </c>
      <c r="C1029">
        <v>11968</v>
      </c>
    </row>
    <row r="1030" spans="1:3" x14ac:dyDescent="0.3">
      <c r="A1030">
        <v>260580</v>
      </c>
      <c r="B1030">
        <v>252500</v>
      </c>
      <c r="C1030">
        <v>8080</v>
      </c>
    </row>
    <row r="1031" spans="1:3" x14ac:dyDescent="0.3">
      <c r="A1031">
        <v>19517.7</v>
      </c>
      <c r="B1031">
        <v>15130</v>
      </c>
      <c r="C1031">
        <v>4387.7</v>
      </c>
    </row>
    <row r="1032" spans="1:3" x14ac:dyDescent="0.3">
      <c r="A1032">
        <v>29670</v>
      </c>
      <c r="B1032">
        <v>23000</v>
      </c>
      <c r="C1032">
        <v>6670</v>
      </c>
    </row>
    <row r="1033" spans="1:3" x14ac:dyDescent="0.3">
      <c r="A1033">
        <v>303257.5</v>
      </c>
      <c r="B1033">
        <v>338520</v>
      </c>
      <c r="C1033">
        <f>A1033-B1033</f>
        <v>-35262.5</v>
      </c>
    </row>
    <row r="1034" spans="1:3" x14ac:dyDescent="0.3">
      <c r="A1034">
        <v>670477.5</v>
      </c>
      <c r="B1034">
        <v>579150</v>
      </c>
      <c r="C1034">
        <v>91327.5</v>
      </c>
    </row>
    <row r="1035" spans="1:3" x14ac:dyDescent="0.3">
      <c r="A1035">
        <v>360899</v>
      </c>
      <c r="B1035">
        <v>311740</v>
      </c>
      <c r="C1035">
        <v>49159</v>
      </c>
    </row>
    <row r="1036" spans="1:3" x14ac:dyDescent="0.3">
      <c r="A1036">
        <v>60200</v>
      </c>
      <c r="B1036">
        <v>52000</v>
      </c>
      <c r="C1036">
        <v>8200</v>
      </c>
    </row>
    <row r="1037" spans="1:3" x14ac:dyDescent="0.3">
      <c r="A1037">
        <v>2335.7600000000002</v>
      </c>
      <c r="B1037">
        <v>1940</v>
      </c>
      <c r="C1037">
        <v>395.76</v>
      </c>
    </row>
    <row r="1038" spans="1:3" x14ac:dyDescent="0.3">
      <c r="A1038">
        <v>10396.540000000001</v>
      </c>
      <c r="B1038">
        <v>8635</v>
      </c>
      <c r="C1038">
        <v>1761.54</v>
      </c>
    </row>
    <row r="1039" spans="1:3" x14ac:dyDescent="0.3">
      <c r="A1039">
        <v>29670</v>
      </c>
      <c r="B1039">
        <v>23000</v>
      </c>
      <c r="C1039">
        <v>6670</v>
      </c>
    </row>
    <row r="1040" spans="1:3" x14ac:dyDescent="0.3">
      <c r="A1040">
        <v>4472</v>
      </c>
      <c r="B1040">
        <v>2600</v>
      </c>
      <c r="C1040">
        <v>1872</v>
      </c>
    </row>
    <row r="1041" spans="1:3" x14ac:dyDescent="0.3">
      <c r="A1041">
        <v>31863</v>
      </c>
      <c r="B1041">
        <v>24700</v>
      </c>
      <c r="C1041">
        <v>7163</v>
      </c>
    </row>
    <row r="1042" spans="1:3" x14ac:dyDescent="0.3">
      <c r="A1042">
        <v>22484.7</v>
      </c>
      <c r="B1042">
        <v>17430</v>
      </c>
      <c r="C1042">
        <v>5054.7</v>
      </c>
    </row>
    <row r="1043" spans="1:3" x14ac:dyDescent="0.3">
      <c r="A1043">
        <v>30072.48</v>
      </c>
      <c r="B1043">
        <v>8742</v>
      </c>
      <c r="C1043">
        <v>21330.48</v>
      </c>
    </row>
    <row r="1044" spans="1:3" x14ac:dyDescent="0.3">
      <c r="A1044">
        <v>10420.620000000001</v>
      </c>
      <c r="B1044">
        <v>8655</v>
      </c>
      <c r="C1044">
        <v>1765.62</v>
      </c>
    </row>
    <row r="1045" spans="1:3" x14ac:dyDescent="0.3">
      <c r="A1045">
        <v>210700</v>
      </c>
      <c r="B1045">
        <v>182000</v>
      </c>
      <c r="C1045">
        <v>28700</v>
      </c>
    </row>
    <row r="1046" spans="1:3" x14ac:dyDescent="0.3">
      <c r="A1046">
        <v>22931.040000000001</v>
      </c>
      <c r="B1046">
        <v>6666</v>
      </c>
      <c r="C1046">
        <v>16265.04</v>
      </c>
    </row>
    <row r="1047" spans="1:3" x14ac:dyDescent="0.3">
      <c r="A1047">
        <v>354277</v>
      </c>
      <c r="B1047">
        <v>306020</v>
      </c>
      <c r="C1047">
        <v>48257</v>
      </c>
    </row>
    <row r="1048" spans="1:3" x14ac:dyDescent="0.3">
      <c r="A1048">
        <v>578522</v>
      </c>
      <c r="B1048">
        <v>499720</v>
      </c>
      <c r="C1048">
        <v>78802</v>
      </c>
    </row>
    <row r="1049" spans="1:3" x14ac:dyDescent="0.3">
      <c r="A1049">
        <v>169312.5</v>
      </c>
      <c r="B1049">
        <v>189000</v>
      </c>
      <c r="C1049">
        <f>A1049-B1049</f>
        <v>-19687.5</v>
      </c>
    </row>
    <row r="1050" spans="1:3" x14ac:dyDescent="0.3">
      <c r="A1050">
        <v>10423.200000000001</v>
      </c>
      <c r="B1050">
        <v>6060</v>
      </c>
      <c r="C1050">
        <v>4363.2</v>
      </c>
    </row>
    <row r="1051" spans="1:3" x14ac:dyDescent="0.3">
      <c r="A1051">
        <v>634680</v>
      </c>
      <c r="B1051">
        <v>615000</v>
      </c>
      <c r="C1051">
        <v>19680</v>
      </c>
    </row>
    <row r="1052" spans="1:3" x14ac:dyDescent="0.3">
      <c r="A1052">
        <v>69402</v>
      </c>
      <c r="B1052">
        <v>67250</v>
      </c>
      <c r="C1052">
        <v>2152</v>
      </c>
    </row>
    <row r="1053" spans="1:3" x14ac:dyDescent="0.3">
      <c r="A1053">
        <v>654288</v>
      </c>
      <c r="B1053">
        <v>634000</v>
      </c>
      <c r="C1053">
        <v>20288</v>
      </c>
    </row>
    <row r="1054" spans="1:3" x14ac:dyDescent="0.3">
      <c r="A1054">
        <v>17476.060000000001</v>
      </c>
      <c r="B1054">
        <v>14515</v>
      </c>
      <c r="C1054">
        <v>2961.06</v>
      </c>
    </row>
    <row r="1055" spans="1:3" x14ac:dyDescent="0.3">
      <c r="A1055">
        <v>655578</v>
      </c>
      <c r="B1055">
        <v>635250</v>
      </c>
      <c r="C1055">
        <v>20328</v>
      </c>
    </row>
    <row r="1056" spans="1:3" x14ac:dyDescent="0.3">
      <c r="A1056">
        <v>69402</v>
      </c>
      <c r="B1056">
        <v>67250</v>
      </c>
      <c r="C1056">
        <v>2152</v>
      </c>
    </row>
    <row r="1057" spans="1:3" x14ac:dyDescent="0.3">
      <c r="A1057">
        <v>385968</v>
      </c>
      <c r="B1057">
        <v>374000</v>
      </c>
      <c r="C1057">
        <v>11968</v>
      </c>
    </row>
    <row r="1058" spans="1:3" x14ac:dyDescent="0.3">
      <c r="A1058">
        <v>260580</v>
      </c>
      <c r="B1058">
        <v>252500</v>
      </c>
      <c r="C1058">
        <v>8080</v>
      </c>
    </row>
    <row r="1059" spans="1:3" x14ac:dyDescent="0.3">
      <c r="A1059">
        <v>385581</v>
      </c>
      <c r="B1059">
        <v>333060</v>
      </c>
      <c r="C1059">
        <v>52521</v>
      </c>
    </row>
    <row r="1060" spans="1:3" x14ac:dyDescent="0.3">
      <c r="A1060">
        <v>229104</v>
      </c>
      <c r="B1060">
        <v>222000</v>
      </c>
      <c r="C1060">
        <v>7104</v>
      </c>
    </row>
    <row r="1061" spans="1:3" x14ac:dyDescent="0.3">
      <c r="A1061">
        <v>305730</v>
      </c>
      <c r="B1061">
        <v>341280</v>
      </c>
      <c r="C1061">
        <f>A1061-B1061</f>
        <v>-35550</v>
      </c>
    </row>
    <row r="1062" spans="1:3" x14ac:dyDescent="0.3">
      <c r="A1062">
        <v>25542</v>
      </c>
      <c r="B1062">
        <v>7425</v>
      </c>
      <c r="C1062">
        <v>18117</v>
      </c>
    </row>
    <row r="1063" spans="1:3" x14ac:dyDescent="0.3">
      <c r="A1063">
        <v>22484.7</v>
      </c>
      <c r="B1063">
        <v>17430</v>
      </c>
      <c r="C1063">
        <v>5054.7</v>
      </c>
    </row>
    <row r="1064" spans="1:3" x14ac:dyDescent="0.3">
      <c r="A1064">
        <v>30072.48</v>
      </c>
      <c r="B1064">
        <v>8742</v>
      </c>
      <c r="C1064">
        <v>21330.48</v>
      </c>
    </row>
    <row r="1065" spans="1:3" x14ac:dyDescent="0.3">
      <c r="A1065">
        <v>10420.620000000001</v>
      </c>
      <c r="B1065">
        <v>8655</v>
      </c>
      <c r="C1065">
        <v>1765.62</v>
      </c>
    </row>
    <row r="1066" spans="1:3" x14ac:dyDescent="0.3">
      <c r="A1066">
        <v>10396.540000000001</v>
      </c>
      <c r="B1066">
        <v>8635</v>
      </c>
      <c r="C1066">
        <v>1761.54</v>
      </c>
    </row>
    <row r="1067" spans="1:3" x14ac:dyDescent="0.3">
      <c r="A1067">
        <v>24123</v>
      </c>
      <c r="B1067">
        <v>18700</v>
      </c>
      <c r="C1067">
        <v>5423</v>
      </c>
    </row>
    <row r="1068" spans="1:3" x14ac:dyDescent="0.3">
      <c r="A1068">
        <v>124737.5</v>
      </c>
      <c r="B1068">
        <v>140880</v>
      </c>
      <c r="C1068">
        <f>A1068-B1068</f>
        <v>-16142.5</v>
      </c>
    </row>
    <row r="1069" spans="1:3" x14ac:dyDescent="0.3">
      <c r="A1069">
        <v>293993.75</v>
      </c>
      <c r="B1069">
        <v>332040</v>
      </c>
      <c r="C1069">
        <f>A1069-B1069</f>
        <v>-38046.25</v>
      </c>
    </row>
    <row r="1070" spans="1:3" x14ac:dyDescent="0.3">
      <c r="A1070">
        <v>115281.25</v>
      </c>
      <c r="B1070">
        <v>130200</v>
      </c>
      <c r="C1070">
        <f>A1070-B1070</f>
        <v>-14918.75</v>
      </c>
    </row>
    <row r="1071" spans="1:3" x14ac:dyDescent="0.3">
      <c r="A1071">
        <v>139230</v>
      </c>
      <c r="B1071">
        <v>136500</v>
      </c>
      <c r="C1071">
        <v>2730</v>
      </c>
    </row>
    <row r="1072" spans="1:3" x14ac:dyDescent="0.3">
      <c r="A1072">
        <v>19686</v>
      </c>
      <c r="B1072">
        <v>11580</v>
      </c>
      <c r="C1072">
        <v>8106</v>
      </c>
    </row>
    <row r="1073" spans="1:3" x14ac:dyDescent="0.3">
      <c r="A1073">
        <v>20578.5</v>
      </c>
      <c r="B1073">
        <v>16140</v>
      </c>
      <c r="C1073">
        <v>4438.5</v>
      </c>
    </row>
    <row r="1074" spans="1:3" x14ac:dyDescent="0.3">
      <c r="A1074">
        <v>15083.25</v>
      </c>
      <c r="B1074">
        <v>12675</v>
      </c>
      <c r="C1074">
        <v>2408.25</v>
      </c>
    </row>
    <row r="1075" spans="1:3" x14ac:dyDescent="0.3">
      <c r="A1075">
        <v>848172.5</v>
      </c>
      <c r="B1075">
        <v>741260</v>
      </c>
      <c r="C1075">
        <v>106912.5</v>
      </c>
    </row>
    <row r="1076" spans="1:3" x14ac:dyDescent="0.3">
      <c r="A1076">
        <v>32627.25</v>
      </c>
      <c r="B1076">
        <v>25590</v>
      </c>
      <c r="C1076">
        <v>7037.25</v>
      </c>
    </row>
    <row r="1077" spans="1:3" x14ac:dyDescent="0.3">
      <c r="A1077">
        <v>4539</v>
      </c>
      <c r="B1077">
        <v>2670</v>
      </c>
      <c r="C1077">
        <v>1869</v>
      </c>
    </row>
    <row r="1078" spans="1:3" x14ac:dyDescent="0.3">
      <c r="A1078">
        <v>115281.25</v>
      </c>
      <c r="B1078">
        <v>130200</v>
      </c>
      <c r="C1078">
        <f>A1078-B1078</f>
        <v>-14918.75</v>
      </c>
    </row>
    <row r="1079" spans="1:3" x14ac:dyDescent="0.3">
      <c r="A1079">
        <v>14981.25</v>
      </c>
      <c r="B1079">
        <v>11750</v>
      </c>
      <c r="C1079">
        <v>3231.25</v>
      </c>
    </row>
    <row r="1080" spans="1:3" x14ac:dyDescent="0.3">
      <c r="A1080">
        <v>597082.5</v>
      </c>
      <c r="B1080">
        <v>521820</v>
      </c>
      <c r="C1080">
        <v>75262.5</v>
      </c>
    </row>
    <row r="1081" spans="1:3" x14ac:dyDescent="0.3">
      <c r="A1081">
        <v>639922.5</v>
      </c>
      <c r="B1081">
        <v>559260</v>
      </c>
      <c r="C1081">
        <v>80662.5</v>
      </c>
    </row>
    <row r="1082" spans="1:3" x14ac:dyDescent="0.3">
      <c r="A1082">
        <v>9322.7999999999993</v>
      </c>
      <c r="B1082">
        <v>2742</v>
      </c>
      <c r="C1082">
        <v>6580.8</v>
      </c>
    </row>
    <row r="1083" spans="1:3" x14ac:dyDescent="0.3">
      <c r="A1083">
        <f ca="1">RANDBETWEEN(2500,100000)</f>
        <v>34192</v>
      </c>
      <c r="B1083" t="e">
        <f>#REF!*#REF!</f>
        <v>#REF!</v>
      </c>
      <c r="C1083" t="e">
        <f ca="1">A1083-B1083</f>
        <v>#REF!</v>
      </c>
    </row>
    <row r="1084" spans="1:3" x14ac:dyDescent="0.3">
      <c r="A1084">
        <f t="shared" ref="A1084:A1104" ca="1" si="0">RANDBETWEEN(2500,100000)</f>
        <v>18033</v>
      </c>
      <c r="B1084" t="e">
        <f>#REF!*#REF!</f>
        <v>#REF!</v>
      </c>
      <c r="C1084" t="e">
        <f t="shared" ref="C1084:C1147" ca="1" si="1">A1084-B1084</f>
        <v>#REF!</v>
      </c>
    </row>
    <row r="1085" spans="1:3" x14ac:dyDescent="0.3">
      <c r="A1085">
        <f t="shared" ca="1" si="0"/>
        <v>28916</v>
      </c>
      <c r="B1085" t="e">
        <f t="shared" ref="B1085:B1148" si="2">#REF!*#REF!</f>
        <v>#REF!</v>
      </c>
      <c r="C1085" t="e">
        <f t="shared" ca="1" si="1"/>
        <v>#REF!</v>
      </c>
    </row>
    <row r="1086" spans="1:3" x14ac:dyDescent="0.3">
      <c r="A1086">
        <f t="shared" ca="1" si="0"/>
        <v>81854</v>
      </c>
      <c r="B1086" t="e">
        <f t="shared" ref="B1086:B1149" si="3">#REF!*#REF!</f>
        <v>#REF!</v>
      </c>
      <c r="C1086" t="e">
        <f t="shared" ca="1" si="1"/>
        <v>#REF!</v>
      </c>
    </row>
    <row r="1087" spans="1:3" x14ac:dyDescent="0.3">
      <c r="A1087">
        <f t="shared" ca="1" si="0"/>
        <v>68260</v>
      </c>
      <c r="B1087" t="e">
        <f t="shared" ref="B1087:B1150" si="4">#REF!*#REF!</f>
        <v>#REF!</v>
      </c>
      <c r="C1087" t="e">
        <f t="shared" ca="1" si="1"/>
        <v>#REF!</v>
      </c>
    </row>
    <row r="1088" spans="1:3" x14ac:dyDescent="0.3">
      <c r="A1088">
        <f t="shared" ca="1" si="0"/>
        <v>58724</v>
      </c>
      <c r="B1088" t="e">
        <f t="shared" ref="B1088:B1151" si="5">#REF!*#REF!</f>
        <v>#REF!</v>
      </c>
      <c r="C1088" t="e">
        <f t="shared" ca="1" si="1"/>
        <v>#REF!</v>
      </c>
    </row>
    <row r="1089" spans="1:3" x14ac:dyDescent="0.3">
      <c r="A1089">
        <f t="shared" ca="1" si="0"/>
        <v>80393</v>
      </c>
      <c r="B1089" t="e">
        <f t="shared" ref="B1089:B1152" si="6">#REF!*#REF!</f>
        <v>#REF!</v>
      </c>
      <c r="C1089" t="e">
        <f t="shared" ca="1" si="1"/>
        <v>#REF!</v>
      </c>
    </row>
    <row r="1090" spans="1:3" x14ac:dyDescent="0.3">
      <c r="A1090">
        <f t="shared" ca="1" si="0"/>
        <v>23816</v>
      </c>
      <c r="B1090" t="e">
        <f t="shared" ref="B1090:B1153" si="7">#REF!*#REF!</f>
        <v>#REF!</v>
      </c>
      <c r="C1090" t="e">
        <f t="shared" ca="1" si="1"/>
        <v>#REF!</v>
      </c>
    </row>
    <row r="1091" spans="1:3" x14ac:dyDescent="0.3">
      <c r="A1091">
        <f t="shared" ca="1" si="0"/>
        <v>49246</v>
      </c>
      <c r="B1091" t="e">
        <f t="shared" ref="B1091:B1154" si="8">#REF!*#REF!</f>
        <v>#REF!</v>
      </c>
      <c r="C1091" t="e">
        <f t="shared" ca="1" si="1"/>
        <v>#REF!</v>
      </c>
    </row>
    <row r="1092" spans="1:3" x14ac:dyDescent="0.3">
      <c r="A1092">
        <f t="shared" ca="1" si="0"/>
        <v>3336</v>
      </c>
      <c r="B1092" t="e">
        <f t="shared" ref="B1092:B1155" si="9">#REF!*#REF!</f>
        <v>#REF!</v>
      </c>
      <c r="C1092" t="e">
        <f t="shared" ca="1" si="1"/>
        <v>#REF!</v>
      </c>
    </row>
    <row r="1093" spans="1:3" x14ac:dyDescent="0.3">
      <c r="A1093">
        <f t="shared" ca="1" si="0"/>
        <v>30402</v>
      </c>
      <c r="B1093" t="e">
        <f t="shared" ref="B1093:B1156" si="10">#REF!*#REF!</f>
        <v>#REF!</v>
      </c>
      <c r="C1093" t="e">
        <f t="shared" ca="1" si="1"/>
        <v>#REF!</v>
      </c>
    </row>
    <row r="1094" spans="1:3" x14ac:dyDescent="0.3">
      <c r="A1094">
        <f t="shared" ca="1" si="0"/>
        <v>98247</v>
      </c>
      <c r="B1094" t="e">
        <f t="shared" ref="B1094:B1157" si="11">#REF!*#REF!</f>
        <v>#REF!</v>
      </c>
      <c r="C1094" t="e">
        <f t="shared" ca="1" si="1"/>
        <v>#REF!</v>
      </c>
    </row>
    <row r="1095" spans="1:3" x14ac:dyDescent="0.3">
      <c r="A1095">
        <f t="shared" ca="1" si="0"/>
        <v>86984</v>
      </c>
      <c r="B1095" t="e">
        <f t="shared" ref="B1095:B1158" si="12">#REF!*#REF!</f>
        <v>#REF!</v>
      </c>
      <c r="C1095" t="e">
        <f t="shared" ca="1" si="1"/>
        <v>#REF!</v>
      </c>
    </row>
    <row r="1096" spans="1:3" x14ac:dyDescent="0.3">
      <c r="A1096">
        <f t="shared" ca="1" si="0"/>
        <v>32956</v>
      </c>
      <c r="B1096" t="e">
        <f t="shared" ref="B1096:B1159" si="13">#REF!*#REF!</f>
        <v>#REF!</v>
      </c>
      <c r="C1096" t="e">
        <f t="shared" ca="1" si="1"/>
        <v>#REF!</v>
      </c>
    </row>
    <row r="1097" spans="1:3" x14ac:dyDescent="0.3">
      <c r="A1097">
        <f t="shared" ca="1" si="0"/>
        <v>12689</v>
      </c>
      <c r="B1097" t="e">
        <f t="shared" ref="B1097:B1160" si="14">#REF!*#REF!</f>
        <v>#REF!</v>
      </c>
      <c r="C1097" t="e">
        <f t="shared" ca="1" si="1"/>
        <v>#REF!</v>
      </c>
    </row>
    <row r="1098" spans="1:3" x14ac:dyDescent="0.3">
      <c r="A1098">
        <f t="shared" ca="1" si="0"/>
        <v>10367</v>
      </c>
      <c r="B1098" t="e">
        <f t="shared" ref="B1098:B1161" si="15">#REF!*#REF!</f>
        <v>#REF!</v>
      </c>
      <c r="C1098" t="e">
        <f t="shared" ca="1" si="1"/>
        <v>#REF!</v>
      </c>
    </row>
    <row r="1099" spans="1:3" x14ac:dyDescent="0.3">
      <c r="A1099">
        <f t="shared" ca="1" si="0"/>
        <v>8141</v>
      </c>
      <c r="B1099" t="e">
        <f t="shared" ref="B1099:B1162" si="16">#REF!*#REF!</f>
        <v>#REF!</v>
      </c>
      <c r="C1099" t="e">
        <f t="shared" ca="1" si="1"/>
        <v>#REF!</v>
      </c>
    </row>
    <row r="1100" spans="1:3" x14ac:dyDescent="0.3">
      <c r="A1100">
        <f t="shared" ca="1" si="0"/>
        <v>93772</v>
      </c>
      <c r="B1100" t="e">
        <f t="shared" ref="B1100:B1163" si="17">#REF!*#REF!</f>
        <v>#REF!</v>
      </c>
      <c r="C1100" t="e">
        <f t="shared" ca="1" si="1"/>
        <v>#REF!</v>
      </c>
    </row>
    <row r="1101" spans="1:3" x14ac:dyDescent="0.3">
      <c r="A1101">
        <f t="shared" ca="1" si="0"/>
        <v>27484</v>
      </c>
      <c r="B1101" t="e">
        <f t="shared" ref="B1101:B1164" si="18">#REF!*#REF!</f>
        <v>#REF!</v>
      </c>
      <c r="C1101" t="e">
        <f t="shared" ca="1" si="1"/>
        <v>#REF!</v>
      </c>
    </row>
    <row r="1102" spans="1:3" x14ac:dyDescent="0.3">
      <c r="A1102">
        <f t="shared" ca="1" si="0"/>
        <v>24974</v>
      </c>
      <c r="B1102" t="e">
        <f t="shared" ref="B1102:B1165" si="19">#REF!*#REF!</f>
        <v>#REF!</v>
      </c>
      <c r="C1102" t="e">
        <f t="shared" ca="1" si="1"/>
        <v>#REF!</v>
      </c>
    </row>
    <row r="1103" spans="1:3" x14ac:dyDescent="0.3">
      <c r="A1103">
        <f t="shared" ca="1" si="0"/>
        <v>71879</v>
      </c>
      <c r="B1103" t="e">
        <f t="shared" ref="B1103:B1166" si="20">#REF!*#REF!</f>
        <v>#REF!</v>
      </c>
      <c r="C1103" t="e">
        <f t="shared" ca="1" si="1"/>
        <v>#REF!</v>
      </c>
    </row>
    <row r="1104" spans="1:3" x14ac:dyDescent="0.3">
      <c r="A1104">
        <f t="shared" ca="1" si="0"/>
        <v>99830</v>
      </c>
      <c r="B1104" t="e">
        <f t="shared" ref="B1104:B1167" si="21">#REF!*#REF!</f>
        <v>#REF!</v>
      </c>
      <c r="C1104" t="e">
        <f t="shared" ca="1" si="1"/>
        <v>#REF!</v>
      </c>
    </row>
    <row r="1105" spans="1:3" x14ac:dyDescent="0.3">
      <c r="A1105">
        <f ca="1">ROUND(RAND()*2500+78000,2)</f>
        <v>79199.37</v>
      </c>
      <c r="B1105" t="e">
        <f t="shared" ref="B1105:B1168" si="22">#REF!*#REF!</f>
        <v>#REF!</v>
      </c>
      <c r="C1105" t="e">
        <f t="shared" ca="1" si="1"/>
        <v>#REF!</v>
      </c>
    </row>
    <row r="1106" spans="1:3" x14ac:dyDescent="0.3">
      <c r="A1106">
        <f t="shared" ref="A1106:A1169" ca="1" si="23">ROUND(RAND()*2500+78000,2)</f>
        <v>78189.89</v>
      </c>
      <c r="B1106" t="e">
        <f t="shared" ref="B1106:B1169" si="24">#REF!*#REF!</f>
        <v>#REF!</v>
      </c>
      <c r="C1106" t="e">
        <f t="shared" ca="1" si="1"/>
        <v>#REF!</v>
      </c>
    </row>
    <row r="1107" spans="1:3" x14ac:dyDescent="0.3">
      <c r="A1107">
        <f t="shared" ca="1" si="23"/>
        <v>78032.320000000007</v>
      </c>
      <c r="B1107" t="e">
        <f t="shared" ref="B1107:B1170" si="25">#REF!*#REF!</f>
        <v>#REF!</v>
      </c>
      <c r="C1107" t="e">
        <f t="shared" ca="1" si="1"/>
        <v>#REF!</v>
      </c>
    </row>
    <row r="1108" spans="1:3" x14ac:dyDescent="0.3">
      <c r="A1108">
        <f t="shared" ca="1" si="23"/>
        <v>79148.42</v>
      </c>
      <c r="B1108" t="e">
        <f t="shared" ref="B1108:B1171" si="26">#REF!*#REF!</f>
        <v>#REF!</v>
      </c>
      <c r="C1108" t="e">
        <f t="shared" ca="1" si="1"/>
        <v>#REF!</v>
      </c>
    </row>
    <row r="1109" spans="1:3" x14ac:dyDescent="0.3">
      <c r="A1109">
        <f t="shared" ca="1" si="23"/>
        <v>78124</v>
      </c>
      <c r="B1109" t="e">
        <f t="shared" ref="B1109:B1172" si="27">#REF!*#REF!</f>
        <v>#REF!</v>
      </c>
      <c r="C1109" t="e">
        <f t="shared" ca="1" si="1"/>
        <v>#REF!</v>
      </c>
    </row>
    <row r="1110" spans="1:3" x14ac:dyDescent="0.3">
      <c r="A1110">
        <f t="shared" ca="1" si="23"/>
        <v>80489.78</v>
      </c>
      <c r="B1110" t="e">
        <f t="shared" ref="B1110:B1173" si="28">#REF!*#REF!</f>
        <v>#REF!</v>
      </c>
      <c r="C1110" t="e">
        <f t="shared" ca="1" si="1"/>
        <v>#REF!</v>
      </c>
    </row>
    <row r="1111" spans="1:3" x14ac:dyDescent="0.3">
      <c r="A1111">
        <f t="shared" ca="1" si="23"/>
        <v>80443.06</v>
      </c>
      <c r="B1111" t="e">
        <f t="shared" ref="B1111:B1174" si="29">#REF!*#REF!</f>
        <v>#REF!</v>
      </c>
      <c r="C1111" t="e">
        <f t="shared" ca="1" si="1"/>
        <v>#REF!</v>
      </c>
    </row>
    <row r="1112" spans="1:3" x14ac:dyDescent="0.3">
      <c r="A1112">
        <f t="shared" ca="1" si="23"/>
        <v>79681.960000000006</v>
      </c>
      <c r="B1112" t="e">
        <f t="shared" ref="B1112:B1175" si="30">#REF!*#REF!</f>
        <v>#REF!</v>
      </c>
      <c r="C1112" t="e">
        <f t="shared" ca="1" si="1"/>
        <v>#REF!</v>
      </c>
    </row>
    <row r="1113" spans="1:3" x14ac:dyDescent="0.3">
      <c r="A1113">
        <f t="shared" ca="1" si="23"/>
        <v>78448.34</v>
      </c>
      <c r="B1113" t="e">
        <f t="shared" ref="B1113:B1176" si="31">#REF!*#REF!</f>
        <v>#REF!</v>
      </c>
      <c r="C1113" t="e">
        <f t="shared" ca="1" si="1"/>
        <v>#REF!</v>
      </c>
    </row>
    <row r="1114" spans="1:3" x14ac:dyDescent="0.3">
      <c r="A1114">
        <f t="shared" ca="1" si="23"/>
        <v>79670.399999999994</v>
      </c>
      <c r="B1114" t="e">
        <f t="shared" ref="B1114:B1177" si="32">#REF!*#REF!</f>
        <v>#REF!</v>
      </c>
      <c r="C1114" t="e">
        <f t="shared" ca="1" si="1"/>
        <v>#REF!</v>
      </c>
    </row>
    <row r="1115" spans="1:3" x14ac:dyDescent="0.3">
      <c r="A1115">
        <f t="shared" ca="1" si="23"/>
        <v>78736.61</v>
      </c>
      <c r="B1115" t="e">
        <f t="shared" ref="B1115:B1178" si="33">#REF!*#REF!</f>
        <v>#REF!</v>
      </c>
      <c r="C1115" t="e">
        <f t="shared" ca="1" si="1"/>
        <v>#REF!</v>
      </c>
    </row>
    <row r="1116" spans="1:3" x14ac:dyDescent="0.3">
      <c r="A1116">
        <f t="shared" ca="1" si="23"/>
        <v>79254.03</v>
      </c>
      <c r="B1116" t="e">
        <f t="shared" ref="B1116:B1179" si="34">#REF!*#REF!</f>
        <v>#REF!</v>
      </c>
      <c r="C1116" t="e">
        <f t="shared" ca="1" si="1"/>
        <v>#REF!</v>
      </c>
    </row>
    <row r="1117" spans="1:3" x14ac:dyDescent="0.3">
      <c r="A1117">
        <f t="shared" ca="1" si="23"/>
        <v>79023.02</v>
      </c>
      <c r="B1117" t="e">
        <f t="shared" ref="B1117:B1180" si="35">#REF!*#REF!</f>
        <v>#REF!</v>
      </c>
      <c r="C1117" t="e">
        <f t="shared" ca="1" si="1"/>
        <v>#REF!</v>
      </c>
    </row>
    <row r="1118" spans="1:3" x14ac:dyDescent="0.3">
      <c r="A1118">
        <f t="shared" ca="1" si="23"/>
        <v>79761.440000000002</v>
      </c>
      <c r="B1118" t="e">
        <f t="shared" ref="B1118:B1181" si="36">#REF!*#REF!</f>
        <v>#REF!</v>
      </c>
      <c r="C1118" t="e">
        <f t="shared" ca="1" si="1"/>
        <v>#REF!</v>
      </c>
    </row>
    <row r="1119" spans="1:3" x14ac:dyDescent="0.3">
      <c r="A1119">
        <f t="shared" ca="1" si="23"/>
        <v>78877.48</v>
      </c>
      <c r="B1119" t="e">
        <f t="shared" ref="B1119:B1182" si="37">#REF!*#REF!</f>
        <v>#REF!</v>
      </c>
      <c r="C1119" t="e">
        <f t="shared" ca="1" si="1"/>
        <v>#REF!</v>
      </c>
    </row>
    <row r="1120" spans="1:3" x14ac:dyDescent="0.3">
      <c r="A1120">
        <f t="shared" ca="1" si="23"/>
        <v>79147.94</v>
      </c>
      <c r="B1120" t="e">
        <f t="shared" ref="B1120:B1183" si="38">#REF!*#REF!</f>
        <v>#REF!</v>
      </c>
      <c r="C1120" t="e">
        <f t="shared" ca="1" si="1"/>
        <v>#REF!</v>
      </c>
    </row>
    <row r="1121" spans="1:3" x14ac:dyDescent="0.3">
      <c r="A1121">
        <f t="shared" ca="1" si="23"/>
        <v>78014.84</v>
      </c>
      <c r="B1121" t="e">
        <f t="shared" ref="B1121:B1184" si="39">#REF!*#REF!</f>
        <v>#REF!</v>
      </c>
      <c r="C1121" t="e">
        <f t="shared" ca="1" si="1"/>
        <v>#REF!</v>
      </c>
    </row>
    <row r="1122" spans="1:3" x14ac:dyDescent="0.3">
      <c r="A1122">
        <f t="shared" ca="1" si="23"/>
        <v>78832.36</v>
      </c>
      <c r="B1122" t="e">
        <f t="shared" ref="B1122:B1185" si="40">#REF!*#REF!</f>
        <v>#REF!</v>
      </c>
      <c r="C1122" t="e">
        <f t="shared" ca="1" si="1"/>
        <v>#REF!</v>
      </c>
    </row>
    <row r="1123" spans="1:3" x14ac:dyDescent="0.3">
      <c r="A1123">
        <f t="shared" ca="1" si="23"/>
        <v>78757.440000000002</v>
      </c>
      <c r="B1123" t="e">
        <f t="shared" ref="B1123:B1186" si="41">#REF!*#REF!</f>
        <v>#REF!</v>
      </c>
      <c r="C1123" t="e">
        <f t="shared" ca="1" si="1"/>
        <v>#REF!</v>
      </c>
    </row>
    <row r="1124" spans="1:3" x14ac:dyDescent="0.3">
      <c r="A1124">
        <f t="shared" ca="1" si="23"/>
        <v>78137.289999999994</v>
      </c>
      <c r="B1124" t="e">
        <f t="shared" ref="B1124:B1187" si="42">#REF!*#REF!</f>
        <v>#REF!</v>
      </c>
      <c r="C1124" t="e">
        <f t="shared" ca="1" si="1"/>
        <v>#REF!</v>
      </c>
    </row>
    <row r="1125" spans="1:3" x14ac:dyDescent="0.3">
      <c r="A1125">
        <f t="shared" ca="1" si="23"/>
        <v>80065.429999999993</v>
      </c>
      <c r="B1125" t="e">
        <f t="shared" ref="B1125:B1188" si="43">#REF!*#REF!</f>
        <v>#REF!</v>
      </c>
      <c r="C1125" t="e">
        <f t="shared" ca="1" si="1"/>
        <v>#REF!</v>
      </c>
    </row>
    <row r="1126" spans="1:3" x14ac:dyDescent="0.3">
      <c r="A1126">
        <f t="shared" ca="1" si="23"/>
        <v>78213.820000000007</v>
      </c>
      <c r="B1126" t="e">
        <f t="shared" ref="B1126:B1189" si="44">#REF!*#REF!</f>
        <v>#REF!</v>
      </c>
      <c r="C1126" t="e">
        <f t="shared" ca="1" si="1"/>
        <v>#REF!</v>
      </c>
    </row>
    <row r="1127" spans="1:3" x14ac:dyDescent="0.3">
      <c r="A1127">
        <f t="shared" ca="1" si="23"/>
        <v>78018.7</v>
      </c>
      <c r="B1127" t="e">
        <f t="shared" ref="B1127:B1190" si="45">#REF!*#REF!</f>
        <v>#REF!</v>
      </c>
      <c r="C1127" t="e">
        <f t="shared" ca="1" si="1"/>
        <v>#REF!</v>
      </c>
    </row>
    <row r="1128" spans="1:3" x14ac:dyDescent="0.3">
      <c r="A1128">
        <f t="shared" ca="1" si="23"/>
        <v>79432.33</v>
      </c>
      <c r="B1128" t="e">
        <f t="shared" ref="B1128:B1191" si="46">#REF!*#REF!</f>
        <v>#REF!</v>
      </c>
      <c r="C1128" t="e">
        <f t="shared" ca="1" si="1"/>
        <v>#REF!</v>
      </c>
    </row>
    <row r="1129" spans="1:3" x14ac:dyDescent="0.3">
      <c r="A1129">
        <f t="shared" ca="1" si="23"/>
        <v>78305.179999999993</v>
      </c>
      <c r="B1129" t="e">
        <f t="shared" ref="B1129:B1192" si="47">#REF!*#REF!</f>
        <v>#REF!</v>
      </c>
      <c r="C1129" t="e">
        <f t="shared" ca="1" si="1"/>
        <v>#REF!</v>
      </c>
    </row>
    <row r="1130" spans="1:3" x14ac:dyDescent="0.3">
      <c r="A1130">
        <f t="shared" ca="1" si="23"/>
        <v>79864.86</v>
      </c>
      <c r="B1130" t="e">
        <f t="shared" ref="B1130:B1193" si="48">#REF!*#REF!</f>
        <v>#REF!</v>
      </c>
      <c r="C1130" t="e">
        <f t="shared" ca="1" si="1"/>
        <v>#REF!</v>
      </c>
    </row>
    <row r="1131" spans="1:3" x14ac:dyDescent="0.3">
      <c r="A1131">
        <f t="shared" ca="1" si="23"/>
        <v>78547.399999999994</v>
      </c>
      <c r="B1131" t="e">
        <f t="shared" ref="B1131:B1194" si="49">#REF!*#REF!</f>
        <v>#REF!</v>
      </c>
      <c r="C1131" t="e">
        <f t="shared" ca="1" si="1"/>
        <v>#REF!</v>
      </c>
    </row>
    <row r="1132" spans="1:3" x14ac:dyDescent="0.3">
      <c r="A1132">
        <f t="shared" ca="1" si="23"/>
        <v>78154.070000000007</v>
      </c>
      <c r="B1132" t="e">
        <f t="shared" ref="B1132:B1195" si="50">#REF!*#REF!</f>
        <v>#REF!</v>
      </c>
      <c r="C1132" t="e">
        <f t="shared" ca="1" si="1"/>
        <v>#REF!</v>
      </c>
    </row>
    <row r="1133" spans="1:3" x14ac:dyDescent="0.3">
      <c r="A1133">
        <f t="shared" ca="1" si="23"/>
        <v>80428.11</v>
      </c>
      <c r="B1133" t="e">
        <f t="shared" ref="B1133:B1196" si="51">#REF!*#REF!</f>
        <v>#REF!</v>
      </c>
      <c r="C1133" t="e">
        <f t="shared" ca="1" si="1"/>
        <v>#REF!</v>
      </c>
    </row>
    <row r="1134" spans="1:3" x14ac:dyDescent="0.3">
      <c r="A1134">
        <f t="shared" ca="1" si="23"/>
        <v>79807.990000000005</v>
      </c>
      <c r="B1134" t="e">
        <f t="shared" ref="B1134:B1197" si="52">#REF!*#REF!</f>
        <v>#REF!</v>
      </c>
      <c r="C1134" t="e">
        <f t="shared" ca="1" si="1"/>
        <v>#REF!</v>
      </c>
    </row>
    <row r="1135" spans="1:3" x14ac:dyDescent="0.3">
      <c r="A1135">
        <f t="shared" ca="1" si="23"/>
        <v>78579.14</v>
      </c>
      <c r="B1135" t="e">
        <f t="shared" ref="B1135:B1198" si="53">#REF!*#REF!</f>
        <v>#REF!</v>
      </c>
      <c r="C1135" t="e">
        <f t="shared" ca="1" si="1"/>
        <v>#REF!</v>
      </c>
    </row>
    <row r="1136" spans="1:3" x14ac:dyDescent="0.3">
      <c r="A1136">
        <f t="shared" ca="1" si="23"/>
        <v>78407.039999999994</v>
      </c>
      <c r="B1136" t="e">
        <f t="shared" ref="B1136:B1199" si="54">#REF!*#REF!</f>
        <v>#REF!</v>
      </c>
      <c r="C1136" t="e">
        <f t="shared" ca="1" si="1"/>
        <v>#REF!</v>
      </c>
    </row>
    <row r="1137" spans="1:3" x14ac:dyDescent="0.3">
      <c r="A1137">
        <f t="shared" ca="1" si="23"/>
        <v>80248.52</v>
      </c>
      <c r="B1137" t="e">
        <f t="shared" ref="B1137:B1200" si="55">#REF!*#REF!</f>
        <v>#REF!</v>
      </c>
      <c r="C1137" t="e">
        <f t="shared" ca="1" si="1"/>
        <v>#REF!</v>
      </c>
    </row>
    <row r="1138" spans="1:3" x14ac:dyDescent="0.3">
      <c r="A1138">
        <f t="shared" ca="1" si="23"/>
        <v>79728.399999999994</v>
      </c>
      <c r="B1138" t="e">
        <f t="shared" ref="B1138:B1201" si="56">#REF!*#REF!</f>
        <v>#REF!</v>
      </c>
      <c r="C1138" t="e">
        <f t="shared" ca="1" si="1"/>
        <v>#REF!</v>
      </c>
    </row>
    <row r="1139" spans="1:3" x14ac:dyDescent="0.3">
      <c r="A1139">
        <f t="shared" ca="1" si="23"/>
        <v>80250.81</v>
      </c>
      <c r="B1139" t="e">
        <f t="shared" ref="B1139:B1202" si="57">#REF!*#REF!</f>
        <v>#REF!</v>
      </c>
      <c r="C1139" t="e">
        <f t="shared" ca="1" si="1"/>
        <v>#REF!</v>
      </c>
    </row>
    <row r="1140" spans="1:3" x14ac:dyDescent="0.3">
      <c r="A1140">
        <f t="shared" ca="1" si="23"/>
        <v>78823.92</v>
      </c>
      <c r="B1140" t="e">
        <f t="shared" ref="B1140:B1203" si="58">#REF!*#REF!</f>
        <v>#REF!</v>
      </c>
      <c r="C1140" t="e">
        <f t="shared" ca="1" si="1"/>
        <v>#REF!</v>
      </c>
    </row>
    <row r="1141" spans="1:3" x14ac:dyDescent="0.3">
      <c r="A1141">
        <f t="shared" ca="1" si="23"/>
        <v>78109.62</v>
      </c>
      <c r="B1141" t="e">
        <f t="shared" ref="B1141:B1204" si="59">#REF!*#REF!</f>
        <v>#REF!</v>
      </c>
      <c r="C1141" t="e">
        <f t="shared" ca="1" si="1"/>
        <v>#REF!</v>
      </c>
    </row>
    <row r="1142" spans="1:3" x14ac:dyDescent="0.3">
      <c r="A1142">
        <f t="shared" ca="1" si="23"/>
        <v>79179.820000000007</v>
      </c>
      <c r="B1142" t="e">
        <f t="shared" ref="B1142:B1205" si="60">#REF!*#REF!</f>
        <v>#REF!</v>
      </c>
      <c r="C1142" t="e">
        <f t="shared" ca="1" si="1"/>
        <v>#REF!</v>
      </c>
    </row>
    <row r="1143" spans="1:3" x14ac:dyDescent="0.3">
      <c r="A1143">
        <f t="shared" ca="1" si="23"/>
        <v>79411.19</v>
      </c>
      <c r="B1143" t="e">
        <f t="shared" ref="B1143:B1206" si="61">#REF!*#REF!</f>
        <v>#REF!</v>
      </c>
      <c r="C1143" t="e">
        <f t="shared" ca="1" si="1"/>
        <v>#REF!</v>
      </c>
    </row>
    <row r="1144" spans="1:3" x14ac:dyDescent="0.3">
      <c r="A1144">
        <f t="shared" ca="1" si="23"/>
        <v>80110.62</v>
      </c>
      <c r="B1144" t="e">
        <f t="shared" ref="B1144:B1207" si="62">#REF!*#REF!</f>
        <v>#REF!</v>
      </c>
      <c r="C1144" t="e">
        <f t="shared" ca="1" si="1"/>
        <v>#REF!</v>
      </c>
    </row>
    <row r="1145" spans="1:3" x14ac:dyDescent="0.3">
      <c r="A1145">
        <f t="shared" ca="1" si="23"/>
        <v>79335.490000000005</v>
      </c>
      <c r="B1145" t="e">
        <f t="shared" ref="B1145:B1208" si="63">#REF!*#REF!</f>
        <v>#REF!</v>
      </c>
      <c r="C1145" t="e">
        <f t="shared" ca="1" si="1"/>
        <v>#REF!</v>
      </c>
    </row>
    <row r="1146" spans="1:3" x14ac:dyDescent="0.3">
      <c r="A1146">
        <f t="shared" ca="1" si="23"/>
        <v>79625.52</v>
      </c>
      <c r="B1146" t="e">
        <f t="shared" ref="B1146:B1209" si="64">#REF!*#REF!</f>
        <v>#REF!</v>
      </c>
      <c r="C1146" t="e">
        <f t="shared" ca="1" si="1"/>
        <v>#REF!</v>
      </c>
    </row>
    <row r="1147" spans="1:3" x14ac:dyDescent="0.3">
      <c r="A1147">
        <f t="shared" ca="1" si="23"/>
        <v>78349.02</v>
      </c>
      <c r="B1147" t="e">
        <f t="shared" ref="B1147:B1210" si="65">#REF!*#REF!</f>
        <v>#REF!</v>
      </c>
      <c r="C1147" t="e">
        <f t="shared" ca="1" si="1"/>
        <v>#REF!</v>
      </c>
    </row>
    <row r="1148" spans="1:3" x14ac:dyDescent="0.3">
      <c r="A1148">
        <f t="shared" ca="1" si="23"/>
        <v>78354.41</v>
      </c>
      <c r="B1148" t="e">
        <f t="shared" ref="B1148:B1211" si="66">#REF!*#REF!</f>
        <v>#REF!</v>
      </c>
      <c r="C1148" t="e">
        <f t="shared" ref="C1148:C1211" ca="1" si="67">A1148-B1148</f>
        <v>#REF!</v>
      </c>
    </row>
    <row r="1149" spans="1:3" x14ac:dyDescent="0.3">
      <c r="A1149">
        <f t="shared" ca="1" si="23"/>
        <v>80074.02</v>
      </c>
      <c r="B1149" t="e">
        <f t="shared" ref="B1149:B1212" si="68">#REF!*#REF!</f>
        <v>#REF!</v>
      </c>
      <c r="C1149" t="e">
        <f t="shared" ca="1" si="67"/>
        <v>#REF!</v>
      </c>
    </row>
    <row r="1150" spans="1:3" x14ac:dyDescent="0.3">
      <c r="A1150">
        <f t="shared" ca="1" si="23"/>
        <v>80313.929999999993</v>
      </c>
      <c r="B1150" t="e">
        <f t="shared" ref="B1150:B1213" si="69">#REF!*#REF!</f>
        <v>#REF!</v>
      </c>
      <c r="C1150" t="e">
        <f t="shared" ca="1" si="67"/>
        <v>#REF!</v>
      </c>
    </row>
    <row r="1151" spans="1:3" x14ac:dyDescent="0.3">
      <c r="A1151">
        <f t="shared" ca="1" si="23"/>
        <v>78872.23</v>
      </c>
      <c r="B1151" t="e">
        <f t="shared" ref="B1151:B1214" si="70">#REF!*#REF!</f>
        <v>#REF!</v>
      </c>
      <c r="C1151" t="e">
        <f t="shared" ca="1" si="67"/>
        <v>#REF!</v>
      </c>
    </row>
    <row r="1152" spans="1:3" x14ac:dyDescent="0.3">
      <c r="A1152">
        <f t="shared" ca="1" si="23"/>
        <v>79766.73</v>
      </c>
      <c r="B1152" t="e">
        <f t="shared" ref="B1152:B1215" si="71">#REF!*#REF!</f>
        <v>#REF!</v>
      </c>
      <c r="C1152" t="e">
        <f t="shared" ca="1" si="67"/>
        <v>#REF!</v>
      </c>
    </row>
    <row r="1153" spans="1:3" x14ac:dyDescent="0.3">
      <c r="A1153">
        <f t="shared" ca="1" si="23"/>
        <v>80472.149999999994</v>
      </c>
      <c r="B1153" t="e">
        <f t="shared" ref="B1153:B1216" si="72">#REF!*#REF!</f>
        <v>#REF!</v>
      </c>
      <c r="C1153" t="e">
        <f t="shared" ca="1" si="67"/>
        <v>#REF!</v>
      </c>
    </row>
    <row r="1154" spans="1:3" x14ac:dyDescent="0.3">
      <c r="A1154">
        <f t="shared" ca="1" si="23"/>
        <v>80085.259999999995</v>
      </c>
      <c r="B1154" t="e">
        <f t="shared" ref="B1154:B1217" si="73">#REF!*#REF!</f>
        <v>#REF!</v>
      </c>
      <c r="C1154" t="e">
        <f t="shared" ca="1" si="67"/>
        <v>#REF!</v>
      </c>
    </row>
    <row r="1155" spans="1:3" x14ac:dyDescent="0.3">
      <c r="A1155">
        <f t="shared" ca="1" si="23"/>
        <v>78879.77</v>
      </c>
      <c r="B1155" t="e">
        <f t="shared" ref="B1155:B1218" si="74">#REF!*#REF!</f>
        <v>#REF!</v>
      </c>
      <c r="C1155" t="e">
        <f t="shared" ca="1" si="67"/>
        <v>#REF!</v>
      </c>
    </row>
    <row r="1156" spans="1:3" x14ac:dyDescent="0.3">
      <c r="A1156">
        <f t="shared" ca="1" si="23"/>
        <v>78754.960000000006</v>
      </c>
      <c r="B1156" t="e">
        <f t="shared" ref="B1156:B1219" si="75">#REF!*#REF!</f>
        <v>#REF!</v>
      </c>
      <c r="C1156" t="e">
        <f t="shared" ca="1" si="67"/>
        <v>#REF!</v>
      </c>
    </row>
    <row r="1157" spans="1:3" x14ac:dyDescent="0.3">
      <c r="A1157">
        <f t="shared" ca="1" si="23"/>
        <v>78950.03</v>
      </c>
      <c r="B1157" t="e">
        <f t="shared" ref="B1157:B1220" si="76">#REF!*#REF!</f>
        <v>#REF!</v>
      </c>
      <c r="C1157" t="e">
        <f t="shared" ca="1" si="67"/>
        <v>#REF!</v>
      </c>
    </row>
    <row r="1158" spans="1:3" x14ac:dyDescent="0.3">
      <c r="A1158">
        <f t="shared" ca="1" si="23"/>
        <v>79918.16</v>
      </c>
      <c r="B1158" t="e">
        <f t="shared" ref="B1158:B1221" si="77">#REF!*#REF!</f>
        <v>#REF!</v>
      </c>
      <c r="C1158" t="e">
        <f t="shared" ca="1" si="67"/>
        <v>#REF!</v>
      </c>
    </row>
    <row r="1159" spans="1:3" x14ac:dyDescent="0.3">
      <c r="A1159">
        <f t="shared" ca="1" si="23"/>
        <v>78612.850000000006</v>
      </c>
      <c r="B1159" t="e">
        <f t="shared" ref="B1159:B1222" si="78">#REF!*#REF!</f>
        <v>#REF!</v>
      </c>
      <c r="C1159" t="e">
        <f t="shared" ca="1" si="67"/>
        <v>#REF!</v>
      </c>
    </row>
    <row r="1160" spans="1:3" x14ac:dyDescent="0.3">
      <c r="A1160">
        <f t="shared" ca="1" si="23"/>
        <v>79663.81</v>
      </c>
      <c r="B1160" t="e">
        <f t="shared" ref="B1160:B1223" si="79">#REF!*#REF!</f>
        <v>#REF!</v>
      </c>
      <c r="C1160" t="e">
        <f t="shared" ca="1" si="67"/>
        <v>#REF!</v>
      </c>
    </row>
    <row r="1161" spans="1:3" x14ac:dyDescent="0.3">
      <c r="A1161">
        <f t="shared" ca="1" si="23"/>
        <v>79106.02</v>
      </c>
      <c r="B1161" t="e">
        <f t="shared" ref="B1161:B1224" si="80">#REF!*#REF!</f>
        <v>#REF!</v>
      </c>
      <c r="C1161" t="e">
        <f t="shared" ca="1" si="67"/>
        <v>#REF!</v>
      </c>
    </row>
    <row r="1162" spans="1:3" x14ac:dyDescent="0.3">
      <c r="A1162">
        <f t="shared" ca="1" si="23"/>
        <v>78707.960000000006</v>
      </c>
      <c r="B1162" t="e">
        <f t="shared" ref="B1162:B1225" si="81">#REF!*#REF!</f>
        <v>#REF!</v>
      </c>
      <c r="C1162" t="e">
        <f t="shared" ca="1" si="67"/>
        <v>#REF!</v>
      </c>
    </row>
    <row r="1163" spans="1:3" x14ac:dyDescent="0.3">
      <c r="A1163">
        <f t="shared" ca="1" si="23"/>
        <v>78755.009999999995</v>
      </c>
      <c r="B1163" t="e">
        <f t="shared" ref="B1163:B1226" si="82">#REF!*#REF!</f>
        <v>#REF!</v>
      </c>
      <c r="C1163" t="e">
        <f t="shared" ca="1" si="67"/>
        <v>#REF!</v>
      </c>
    </row>
    <row r="1164" spans="1:3" x14ac:dyDescent="0.3">
      <c r="A1164">
        <f t="shared" ca="1" si="23"/>
        <v>79991.56</v>
      </c>
      <c r="B1164" t="e">
        <f t="shared" ref="B1164:B1227" si="83">#REF!*#REF!</f>
        <v>#REF!</v>
      </c>
      <c r="C1164" t="e">
        <f t="shared" ca="1" si="67"/>
        <v>#REF!</v>
      </c>
    </row>
    <row r="1165" spans="1:3" x14ac:dyDescent="0.3">
      <c r="A1165">
        <f t="shared" ca="1" si="23"/>
        <v>78962.19</v>
      </c>
      <c r="B1165" t="e">
        <f t="shared" ref="B1165:B1228" si="84">#REF!*#REF!</f>
        <v>#REF!</v>
      </c>
      <c r="C1165" t="e">
        <f t="shared" ca="1" si="67"/>
        <v>#REF!</v>
      </c>
    </row>
    <row r="1166" spans="1:3" x14ac:dyDescent="0.3">
      <c r="A1166">
        <f t="shared" ca="1" si="23"/>
        <v>79935.509999999995</v>
      </c>
      <c r="B1166" t="e">
        <f t="shared" ref="B1166:B1229" si="85">#REF!*#REF!</f>
        <v>#REF!</v>
      </c>
      <c r="C1166" t="e">
        <f t="shared" ca="1" si="67"/>
        <v>#REF!</v>
      </c>
    </row>
    <row r="1167" spans="1:3" x14ac:dyDescent="0.3">
      <c r="A1167">
        <f t="shared" ca="1" si="23"/>
        <v>78562.820000000007</v>
      </c>
      <c r="B1167" t="e">
        <f t="shared" ref="B1167:B1230" si="86">#REF!*#REF!</f>
        <v>#REF!</v>
      </c>
      <c r="C1167" t="e">
        <f t="shared" ca="1" si="67"/>
        <v>#REF!</v>
      </c>
    </row>
    <row r="1168" spans="1:3" x14ac:dyDescent="0.3">
      <c r="A1168">
        <f t="shared" ca="1" si="23"/>
        <v>80282.17</v>
      </c>
      <c r="B1168" t="e">
        <f t="shared" ref="B1168:B1231" si="87">#REF!*#REF!</f>
        <v>#REF!</v>
      </c>
      <c r="C1168" t="e">
        <f t="shared" ca="1" si="67"/>
        <v>#REF!</v>
      </c>
    </row>
    <row r="1169" spans="1:3" x14ac:dyDescent="0.3">
      <c r="A1169">
        <f t="shared" ca="1" si="23"/>
        <v>80495.509999999995</v>
      </c>
      <c r="B1169" t="e">
        <f t="shared" ref="B1169:B1232" si="88">#REF!*#REF!</f>
        <v>#REF!</v>
      </c>
      <c r="C1169" t="e">
        <f t="shared" ca="1" si="67"/>
        <v>#REF!</v>
      </c>
    </row>
    <row r="1170" spans="1:3" x14ac:dyDescent="0.3">
      <c r="A1170">
        <f t="shared" ref="A1170:A1203" ca="1" si="89">ROUND(RAND()*2500+78000,2)</f>
        <v>79787.83</v>
      </c>
      <c r="B1170" t="e">
        <f t="shared" ref="B1170:B1233" si="90">#REF!*#REF!</f>
        <v>#REF!</v>
      </c>
      <c r="C1170" t="e">
        <f t="shared" ca="1" si="67"/>
        <v>#REF!</v>
      </c>
    </row>
    <row r="1171" spans="1:3" x14ac:dyDescent="0.3">
      <c r="A1171">
        <f t="shared" ca="1" si="89"/>
        <v>78431.03</v>
      </c>
      <c r="B1171" t="e">
        <f t="shared" ref="B1171:B1234" si="91">#REF!*#REF!</f>
        <v>#REF!</v>
      </c>
      <c r="C1171" t="e">
        <f t="shared" ca="1" si="67"/>
        <v>#REF!</v>
      </c>
    </row>
    <row r="1172" spans="1:3" x14ac:dyDescent="0.3">
      <c r="A1172">
        <f t="shared" ca="1" si="89"/>
        <v>79375.89</v>
      </c>
      <c r="B1172" t="e">
        <f t="shared" ref="B1172:B1235" si="92">#REF!*#REF!</f>
        <v>#REF!</v>
      </c>
      <c r="C1172" t="e">
        <f t="shared" ca="1" si="67"/>
        <v>#REF!</v>
      </c>
    </row>
    <row r="1173" spans="1:3" x14ac:dyDescent="0.3">
      <c r="A1173">
        <f t="shared" ca="1" si="89"/>
        <v>79397.350000000006</v>
      </c>
      <c r="B1173" t="e">
        <f t="shared" ref="B1173:B1236" si="93">#REF!*#REF!</f>
        <v>#REF!</v>
      </c>
      <c r="C1173" t="e">
        <f t="shared" ca="1" si="67"/>
        <v>#REF!</v>
      </c>
    </row>
    <row r="1174" spans="1:3" x14ac:dyDescent="0.3">
      <c r="A1174">
        <f t="shared" ca="1" si="89"/>
        <v>78856.070000000007</v>
      </c>
      <c r="B1174" t="e">
        <f t="shared" ref="B1174:B1237" si="94">#REF!*#REF!</f>
        <v>#REF!</v>
      </c>
      <c r="C1174" t="e">
        <f t="shared" ca="1" si="67"/>
        <v>#REF!</v>
      </c>
    </row>
    <row r="1175" spans="1:3" x14ac:dyDescent="0.3">
      <c r="A1175">
        <f t="shared" ca="1" si="89"/>
        <v>80162.36</v>
      </c>
      <c r="B1175" t="e">
        <f t="shared" ref="B1175:B1238" si="95">#REF!*#REF!</f>
        <v>#REF!</v>
      </c>
      <c r="C1175" t="e">
        <f t="shared" ca="1" si="67"/>
        <v>#REF!</v>
      </c>
    </row>
    <row r="1176" spans="1:3" x14ac:dyDescent="0.3">
      <c r="A1176">
        <f t="shared" ca="1" si="89"/>
        <v>78147.77</v>
      </c>
      <c r="B1176" t="e">
        <f t="shared" ref="B1176:B1239" si="96">#REF!*#REF!</f>
        <v>#REF!</v>
      </c>
      <c r="C1176" t="e">
        <f t="shared" ca="1" si="67"/>
        <v>#REF!</v>
      </c>
    </row>
    <row r="1177" spans="1:3" x14ac:dyDescent="0.3">
      <c r="A1177">
        <f t="shared" ca="1" si="89"/>
        <v>78668.14</v>
      </c>
      <c r="B1177" t="e">
        <f t="shared" ref="B1177:B1240" si="97">#REF!*#REF!</f>
        <v>#REF!</v>
      </c>
      <c r="C1177" t="e">
        <f t="shared" ca="1" si="67"/>
        <v>#REF!</v>
      </c>
    </row>
    <row r="1178" spans="1:3" x14ac:dyDescent="0.3">
      <c r="A1178">
        <f t="shared" ca="1" si="89"/>
        <v>78534.36</v>
      </c>
      <c r="B1178" t="e">
        <f t="shared" ref="B1178:B1241" si="98">#REF!*#REF!</f>
        <v>#REF!</v>
      </c>
      <c r="C1178" t="e">
        <f t="shared" ca="1" si="67"/>
        <v>#REF!</v>
      </c>
    </row>
    <row r="1179" spans="1:3" x14ac:dyDescent="0.3">
      <c r="A1179">
        <f t="shared" ca="1" si="89"/>
        <v>79745.98</v>
      </c>
      <c r="B1179" t="e">
        <f t="shared" ref="B1179:B1242" si="99">#REF!*#REF!</f>
        <v>#REF!</v>
      </c>
      <c r="C1179" t="e">
        <f t="shared" ca="1" si="67"/>
        <v>#REF!</v>
      </c>
    </row>
    <row r="1180" spans="1:3" x14ac:dyDescent="0.3">
      <c r="A1180">
        <f t="shared" ca="1" si="89"/>
        <v>78303.570000000007</v>
      </c>
      <c r="B1180" t="e">
        <f t="shared" ref="B1180:B1243" si="100">#REF!*#REF!</f>
        <v>#REF!</v>
      </c>
      <c r="C1180" t="e">
        <f t="shared" ca="1" si="67"/>
        <v>#REF!</v>
      </c>
    </row>
    <row r="1181" spans="1:3" x14ac:dyDescent="0.3">
      <c r="A1181">
        <f t="shared" ca="1" si="89"/>
        <v>78213.210000000006</v>
      </c>
      <c r="B1181" t="e">
        <f t="shared" ref="B1181:B1244" si="101">#REF!*#REF!</f>
        <v>#REF!</v>
      </c>
      <c r="C1181" t="e">
        <f t="shared" ca="1" si="67"/>
        <v>#REF!</v>
      </c>
    </row>
    <row r="1182" spans="1:3" x14ac:dyDescent="0.3">
      <c r="A1182">
        <f t="shared" ca="1" si="89"/>
        <v>78938.59</v>
      </c>
      <c r="B1182" t="e">
        <f t="shared" ref="B1182:B1245" si="102">#REF!*#REF!</f>
        <v>#REF!</v>
      </c>
      <c r="C1182" t="e">
        <f t="shared" ca="1" si="67"/>
        <v>#REF!</v>
      </c>
    </row>
    <row r="1183" spans="1:3" x14ac:dyDescent="0.3">
      <c r="A1183">
        <f t="shared" ca="1" si="89"/>
        <v>78920.78</v>
      </c>
      <c r="B1183" t="e">
        <f t="shared" ref="B1183:B1246" si="103">#REF!*#REF!</f>
        <v>#REF!</v>
      </c>
      <c r="C1183" t="e">
        <f t="shared" ca="1" si="67"/>
        <v>#REF!</v>
      </c>
    </row>
    <row r="1184" spans="1:3" x14ac:dyDescent="0.3">
      <c r="A1184">
        <f t="shared" ca="1" si="89"/>
        <v>80184.41</v>
      </c>
      <c r="B1184" t="e">
        <f t="shared" ref="B1184:B1247" si="104">#REF!*#REF!</f>
        <v>#REF!</v>
      </c>
      <c r="C1184" t="e">
        <f t="shared" ca="1" si="67"/>
        <v>#REF!</v>
      </c>
    </row>
    <row r="1185" spans="1:3" x14ac:dyDescent="0.3">
      <c r="A1185">
        <f t="shared" ca="1" si="89"/>
        <v>78476.66</v>
      </c>
      <c r="B1185" t="e">
        <f t="shared" ref="B1185:B1248" si="105">#REF!*#REF!</f>
        <v>#REF!</v>
      </c>
      <c r="C1185" t="e">
        <f t="shared" ca="1" si="67"/>
        <v>#REF!</v>
      </c>
    </row>
    <row r="1186" spans="1:3" x14ac:dyDescent="0.3">
      <c r="A1186">
        <f t="shared" ca="1" si="89"/>
        <v>79188.399999999994</v>
      </c>
      <c r="B1186" t="e">
        <f t="shared" ref="B1186:B1249" si="106">#REF!*#REF!</f>
        <v>#REF!</v>
      </c>
      <c r="C1186" t="e">
        <f t="shared" ca="1" si="67"/>
        <v>#REF!</v>
      </c>
    </row>
    <row r="1187" spans="1:3" x14ac:dyDescent="0.3">
      <c r="A1187">
        <f t="shared" ca="1" si="89"/>
        <v>78994.36</v>
      </c>
      <c r="B1187" t="e">
        <f t="shared" ref="B1187:B1250" si="107">#REF!*#REF!</f>
        <v>#REF!</v>
      </c>
      <c r="C1187" t="e">
        <f t="shared" ca="1" si="67"/>
        <v>#REF!</v>
      </c>
    </row>
    <row r="1188" spans="1:3" x14ac:dyDescent="0.3">
      <c r="A1188">
        <f t="shared" ca="1" si="89"/>
        <v>78069.59</v>
      </c>
      <c r="B1188" t="e">
        <f t="shared" ref="B1188:B1251" si="108">#REF!*#REF!</f>
        <v>#REF!</v>
      </c>
      <c r="C1188" t="e">
        <f t="shared" ca="1" si="67"/>
        <v>#REF!</v>
      </c>
    </row>
    <row r="1189" spans="1:3" x14ac:dyDescent="0.3">
      <c r="A1189">
        <f t="shared" ca="1" si="89"/>
        <v>79311.34</v>
      </c>
      <c r="B1189" t="e">
        <f t="shared" ref="B1189:B1252" si="109">#REF!*#REF!</f>
        <v>#REF!</v>
      </c>
      <c r="C1189" t="e">
        <f t="shared" ca="1" si="67"/>
        <v>#REF!</v>
      </c>
    </row>
    <row r="1190" spans="1:3" x14ac:dyDescent="0.3">
      <c r="A1190">
        <f t="shared" ca="1" si="89"/>
        <v>79328.399999999994</v>
      </c>
      <c r="B1190" t="e">
        <f t="shared" ref="B1190:B1253" si="110">#REF!*#REF!</f>
        <v>#REF!</v>
      </c>
      <c r="C1190" t="e">
        <f t="shared" ca="1" si="67"/>
        <v>#REF!</v>
      </c>
    </row>
    <row r="1191" spans="1:3" x14ac:dyDescent="0.3">
      <c r="A1191">
        <f t="shared" ca="1" si="89"/>
        <v>80361.81</v>
      </c>
      <c r="B1191" t="e">
        <f t="shared" ref="B1191:B1254" si="111">#REF!*#REF!</f>
        <v>#REF!</v>
      </c>
      <c r="C1191" t="e">
        <f t="shared" ca="1" si="67"/>
        <v>#REF!</v>
      </c>
    </row>
    <row r="1192" spans="1:3" x14ac:dyDescent="0.3">
      <c r="A1192">
        <f t="shared" ca="1" si="89"/>
        <v>78755.67</v>
      </c>
      <c r="B1192" t="e">
        <f t="shared" ref="B1192:B1255" si="112">#REF!*#REF!</f>
        <v>#REF!</v>
      </c>
      <c r="C1192" t="e">
        <f t="shared" ca="1" si="67"/>
        <v>#REF!</v>
      </c>
    </row>
    <row r="1193" spans="1:3" x14ac:dyDescent="0.3">
      <c r="A1193">
        <f t="shared" ca="1" si="89"/>
        <v>79652.990000000005</v>
      </c>
      <c r="B1193" t="e">
        <f t="shared" ref="B1193:B1256" si="113">#REF!*#REF!</f>
        <v>#REF!</v>
      </c>
      <c r="C1193" t="e">
        <f t="shared" ca="1" si="67"/>
        <v>#REF!</v>
      </c>
    </row>
    <row r="1194" spans="1:3" x14ac:dyDescent="0.3">
      <c r="A1194">
        <f t="shared" ca="1" si="89"/>
        <v>79440.66</v>
      </c>
      <c r="B1194" t="e">
        <f t="shared" ref="B1194:B1257" si="114">#REF!*#REF!</f>
        <v>#REF!</v>
      </c>
      <c r="C1194" t="e">
        <f t="shared" ca="1" si="67"/>
        <v>#REF!</v>
      </c>
    </row>
    <row r="1195" spans="1:3" x14ac:dyDescent="0.3">
      <c r="A1195">
        <f t="shared" ca="1" si="89"/>
        <v>79102.39</v>
      </c>
      <c r="B1195" t="e">
        <f t="shared" ref="B1195:B1258" si="115">#REF!*#REF!</f>
        <v>#REF!</v>
      </c>
      <c r="C1195" t="e">
        <f t="shared" ca="1" si="67"/>
        <v>#REF!</v>
      </c>
    </row>
    <row r="1196" spans="1:3" x14ac:dyDescent="0.3">
      <c r="A1196">
        <f t="shared" ca="1" si="89"/>
        <v>79705.100000000006</v>
      </c>
      <c r="B1196" t="e">
        <f t="shared" ref="B1196:B1259" si="116">#REF!*#REF!</f>
        <v>#REF!</v>
      </c>
      <c r="C1196" t="e">
        <f t="shared" ca="1" si="67"/>
        <v>#REF!</v>
      </c>
    </row>
    <row r="1197" spans="1:3" x14ac:dyDescent="0.3">
      <c r="A1197">
        <f t="shared" ca="1" si="89"/>
        <v>80132.789999999994</v>
      </c>
      <c r="B1197" t="e">
        <f t="shared" ref="B1197:B1260" si="117">#REF!*#REF!</f>
        <v>#REF!</v>
      </c>
      <c r="C1197" t="e">
        <f t="shared" ca="1" si="67"/>
        <v>#REF!</v>
      </c>
    </row>
    <row r="1198" spans="1:3" x14ac:dyDescent="0.3">
      <c r="A1198">
        <f t="shared" ca="1" si="89"/>
        <v>79762.740000000005</v>
      </c>
      <c r="B1198" t="e">
        <f t="shared" ref="B1198:B1261" si="118">#REF!*#REF!</f>
        <v>#REF!</v>
      </c>
      <c r="C1198" t="e">
        <f t="shared" ca="1" si="67"/>
        <v>#REF!</v>
      </c>
    </row>
    <row r="1199" spans="1:3" x14ac:dyDescent="0.3">
      <c r="A1199">
        <f t="shared" ca="1" si="89"/>
        <v>80087.789999999994</v>
      </c>
      <c r="B1199" t="e">
        <f t="shared" ref="B1199:B1262" si="119">#REF!*#REF!</f>
        <v>#REF!</v>
      </c>
      <c r="C1199" t="e">
        <f t="shared" ca="1" si="67"/>
        <v>#REF!</v>
      </c>
    </row>
    <row r="1200" spans="1:3" x14ac:dyDescent="0.3">
      <c r="A1200">
        <f t="shared" ca="1" si="89"/>
        <v>79431.33</v>
      </c>
      <c r="B1200" t="e">
        <f t="shared" ref="B1200:B1263" si="120">#REF!*#REF!</f>
        <v>#REF!</v>
      </c>
      <c r="C1200" t="e">
        <f t="shared" ca="1" si="67"/>
        <v>#REF!</v>
      </c>
    </row>
    <row r="1201" spans="1:3" x14ac:dyDescent="0.3">
      <c r="A1201">
        <f t="shared" ca="1" si="89"/>
        <v>79042.91</v>
      </c>
      <c r="B1201" t="e">
        <f t="shared" ref="B1201:B1264" si="121">#REF!*#REF!</f>
        <v>#REF!</v>
      </c>
      <c r="C1201" t="e">
        <f t="shared" ca="1" si="67"/>
        <v>#REF!</v>
      </c>
    </row>
    <row r="1202" spans="1:3" x14ac:dyDescent="0.3">
      <c r="A1202">
        <f t="shared" ca="1" si="89"/>
        <v>78615.070000000007</v>
      </c>
      <c r="B1202" t="e">
        <f t="shared" ref="B1202:B1265" si="122">#REF!*#REF!</f>
        <v>#REF!</v>
      </c>
      <c r="C1202" t="e">
        <f t="shared" ca="1" si="67"/>
        <v>#REF!</v>
      </c>
    </row>
    <row r="1203" spans="1:3" x14ac:dyDescent="0.3">
      <c r="A1203">
        <f t="shared" ca="1" si="89"/>
        <v>78432.83</v>
      </c>
      <c r="B1203" t="e">
        <f t="shared" ref="B1203:B1266" si="123">#REF!*#REF!</f>
        <v>#REF!</v>
      </c>
      <c r="C1203" t="e">
        <f t="shared" ca="1" si="67"/>
        <v>#REF!</v>
      </c>
    </row>
    <row r="1204" spans="1:3" x14ac:dyDescent="0.3">
      <c r="A1204">
        <f ca="1">RANDBETWEEN(2000,10000)</f>
        <v>5382</v>
      </c>
      <c r="B1204" t="e">
        <f t="shared" ref="B1204:B1267" si="124">#REF!*#REF!</f>
        <v>#REF!</v>
      </c>
      <c r="C1204" t="e">
        <f t="shared" ca="1" si="67"/>
        <v>#REF!</v>
      </c>
    </row>
    <row r="1205" spans="1:3" x14ac:dyDescent="0.3">
      <c r="A1205">
        <f t="shared" ref="A1205:A1207" ca="1" si="125">RANDBETWEEN(2000,10000)</f>
        <v>2306</v>
      </c>
      <c r="B1205" t="e">
        <f t="shared" ref="B1205:B1268" si="126">#REF!*#REF!</f>
        <v>#REF!</v>
      </c>
      <c r="C1205" t="e">
        <f t="shared" ca="1" si="67"/>
        <v>#REF!</v>
      </c>
    </row>
    <row r="1206" spans="1:3" x14ac:dyDescent="0.3">
      <c r="A1206">
        <f t="shared" ca="1" si="125"/>
        <v>6122</v>
      </c>
      <c r="B1206" t="e">
        <f t="shared" ref="B1206:B1269" si="127">#REF!*#REF!</f>
        <v>#REF!</v>
      </c>
      <c r="C1206" t="e">
        <f t="shared" ca="1" si="67"/>
        <v>#REF!</v>
      </c>
    </row>
    <row r="1207" spans="1:3" x14ac:dyDescent="0.3">
      <c r="A1207">
        <f t="shared" ca="1" si="125"/>
        <v>8472</v>
      </c>
      <c r="B1207" t="e">
        <f t="shared" ref="B1207:B1270" si="128">#REF!*#REF!</f>
        <v>#REF!</v>
      </c>
      <c r="C1207" t="e">
        <f t="shared" ca="1" si="67"/>
        <v>#REF!</v>
      </c>
    </row>
    <row r="1208" spans="1:3" x14ac:dyDescent="0.3">
      <c r="A1208">
        <f ca="1">ROUND(RAND()*1000+5600,2)</f>
        <v>6451.32</v>
      </c>
      <c r="B1208" t="e">
        <f t="shared" ref="B1208:B1271" si="129">#REF!*#REF!</f>
        <v>#REF!</v>
      </c>
      <c r="C1208" t="e">
        <f t="shared" ca="1" si="67"/>
        <v>#REF!</v>
      </c>
    </row>
    <row r="1209" spans="1:3" x14ac:dyDescent="0.3">
      <c r="A1209">
        <f t="shared" ref="A1209:A1213" ca="1" si="130">ROUND(RAND()*1000+5600,2)</f>
        <v>6599.3</v>
      </c>
      <c r="B1209" t="e">
        <f t="shared" ref="B1209:B1272" si="131">#REF!*#REF!</f>
        <v>#REF!</v>
      </c>
      <c r="C1209" t="e">
        <f t="shared" ca="1" si="67"/>
        <v>#REF!</v>
      </c>
    </row>
    <row r="1210" spans="1:3" x14ac:dyDescent="0.3">
      <c r="A1210">
        <f t="shared" ca="1" si="130"/>
        <v>5983.05</v>
      </c>
      <c r="B1210" t="e">
        <f t="shared" ref="B1210:B1273" si="132">#REF!*#REF!</f>
        <v>#REF!</v>
      </c>
      <c r="C1210" t="e">
        <f t="shared" ca="1" si="67"/>
        <v>#REF!</v>
      </c>
    </row>
    <row r="1211" spans="1:3" x14ac:dyDescent="0.3">
      <c r="A1211">
        <f t="shared" ca="1" si="130"/>
        <v>5921.28</v>
      </c>
      <c r="B1211" t="e">
        <f t="shared" ref="B1211:B1274" si="133">#REF!*#REF!</f>
        <v>#REF!</v>
      </c>
      <c r="C1211" t="e">
        <f t="shared" ca="1" si="67"/>
        <v>#REF!</v>
      </c>
    </row>
    <row r="1212" spans="1:3" x14ac:dyDescent="0.3">
      <c r="A1212">
        <f t="shared" ca="1" si="130"/>
        <v>6453.44</v>
      </c>
      <c r="B1212" t="e">
        <f t="shared" ref="B1212:B1275" si="134">#REF!*#REF!</f>
        <v>#REF!</v>
      </c>
      <c r="C1212" t="e">
        <f t="shared" ref="C1212:C1220" ca="1" si="135">A1212-B1212</f>
        <v>#REF!</v>
      </c>
    </row>
    <row r="1213" spans="1:3" x14ac:dyDescent="0.3">
      <c r="A1213">
        <f t="shared" ca="1" si="130"/>
        <v>6215.02</v>
      </c>
      <c r="B1213" t="e">
        <f t="shared" ref="B1213:B1220" si="136">#REF!*#REF!</f>
        <v>#REF!</v>
      </c>
      <c r="C1213" t="e">
        <f t="shared" ca="1" si="135"/>
        <v>#REF!</v>
      </c>
    </row>
    <row r="1214" spans="1:3" x14ac:dyDescent="0.3">
      <c r="A1214">
        <f ca="1">RANDBETWEEN(1000,2500)</f>
        <v>1097</v>
      </c>
      <c r="B1214" t="e">
        <f t="shared" ref="B1214:B1221" si="137">#REF!*#REF!</f>
        <v>#REF!</v>
      </c>
      <c r="C1214" t="e">
        <f t="shared" ca="1" si="135"/>
        <v>#REF!</v>
      </c>
    </row>
    <row r="1215" spans="1:3" x14ac:dyDescent="0.3">
      <c r="A1215">
        <f t="shared" ref="A1215:A1216" ca="1" si="138">RANDBETWEEN(1000,2500)</f>
        <v>2205</v>
      </c>
      <c r="B1215" t="e">
        <f t="shared" ref="B1215:B1222" si="139">#REF!*#REF!</f>
        <v>#REF!</v>
      </c>
      <c r="C1215" t="e">
        <f t="shared" ca="1" si="135"/>
        <v>#REF!</v>
      </c>
    </row>
    <row r="1216" spans="1:3" x14ac:dyDescent="0.3">
      <c r="A1216">
        <f t="shared" ca="1" si="138"/>
        <v>2240</v>
      </c>
      <c r="B1216" t="e">
        <f t="shared" ref="B1216:B1223" si="140">#REF!*#REF!</f>
        <v>#REF!</v>
      </c>
      <c r="C1216" t="e">
        <f t="shared" ca="1" si="135"/>
        <v>#REF!</v>
      </c>
    </row>
    <row r="1217" spans="1:3" x14ac:dyDescent="0.3">
      <c r="A1217">
        <f ca="1">ROUND(RAND()*7000+10000,2)</f>
        <v>14288.27</v>
      </c>
      <c r="B1217" t="e">
        <f t="shared" ref="B1217:B1224" si="141">#REF!*#REF!</f>
        <v>#REF!</v>
      </c>
      <c r="C1217" t="e">
        <f t="shared" ca="1" si="135"/>
        <v>#REF!</v>
      </c>
    </row>
    <row r="1218" spans="1:3" x14ac:dyDescent="0.3">
      <c r="A1218">
        <f ca="1">ROUND(RAND()*7000+10000,2)</f>
        <v>15252.97</v>
      </c>
      <c r="B1218" t="e">
        <f t="shared" ref="B1218:B1225" si="142">#REF!*#REF!</f>
        <v>#REF!</v>
      </c>
      <c r="C1218" t="e">
        <f t="shared" ca="1" si="135"/>
        <v>#REF!</v>
      </c>
    </row>
    <row r="1219" spans="1:3" x14ac:dyDescent="0.3">
      <c r="A1219">
        <f t="shared" ref="A1219:A1220" ca="1" si="143">ROUND(RAND()*7000+10000,2)</f>
        <v>12259.07</v>
      </c>
      <c r="B1219" t="e">
        <f t="shared" ref="B1219:B1226" si="144">#REF!*#REF!</f>
        <v>#REF!</v>
      </c>
      <c r="C1219" t="e">
        <f t="shared" ca="1" si="135"/>
        <v>#REF!</v>
      </c>
    </row>
    <row r="1220" spans="1:3" x14ac:dyDescent="0.3">
      <c r="A1220">
        <f t="shared" ca="1" si="143"/>
        <v>14638.81</v>
      </c>
      <c r="B1220" t="e">
        <f t="shared" ref="B1220:B1227" si="145">#REF!*#REF!</f>
        <v>#REF!</v>
      </c>
      <c r="C1220" t="e">
        <f t="shared" ca="1" si="135"/>
        <v>#REF!</v>
      </c>
    </row>
  </sheetData>
  <conditionalFormatting sqref="C1:C1048576">
    <cfRule type="containsText" dxfId="1" priority="1" operator="containsText" text="NA">
      <formula>NOT(ISERROR(SEARCH("NA",C1)))</formula>
    </cfRule>
    <cfRule type="containsText" dxfId="0" priority="2" operator="containsText" text="NA">
      <formula>NOT(ISERROR(SEARCH("NA",C1)))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274E2-222B-45CF-BDC9-EBBEFC164BAF}">
  <dimension ref="A1:D1220"/>
  <sheetViews>
    <sheetView tabSelected="1" workbookViewId="0">
      <selection activeCell="I25" sqref="I25"/>
    </sheetView>
  </sheetViews>
  <sheetFormatPr defaultRowHeight="14.4" x14ac:dyDescent="0.3"/>
  <cols>
    <col min="1" max="1" width="12.6640625" bestFit="1" customWidth="1"/>
    <col min="2" max="2" width="9.109375" bestFit="1" customWidth="1"/>
    <col min="3" max="3" width="10.109375" bestFit="1" customWidth="1"/>
    <col min="4" max="4" width="9" bestFit="1" customWidth="1"/>
  </cols>
  <sheetData>
    <row r="1" spans="1:4" x14ac:dyDescent="0.3">
      <c r="A1" t="s">
        <v>4</v>
      </c>
      <c r="B1" t="s">
        <v>5</v>
      </c>
      <c r="C1" t="s">
        <v>8</v>
      </c>
      <c r="D1" t="s">
        <v>9</v>
      </c>
    </row>
    <row r="2" spans="1:4" x14ac:dyDescent="0.3">
      <c r="A2" t="s">
        <v>20</v>
      </c>
      <c r="B2">
        <v>1618.5</v>
      </c>
      <c r="C2">
        <v>32370</v>
      </c>
      <c r="D2">
        <v>0</v>
      </c>
    </row>
    <row r="3" spans="1:4" x14ac:dyDescent="0.3">
      <c r="A3" t="s">
        <v>20</v>
      </c>
      <c r="B3">
        <v>1321</v>
      </c>
      <c r="C3">
        <v>26420</v>
      </c>
      <c r="D3">
        <v>0</v>
      </c>
    </row>
    <row r="4" spans="1:4" x14ac:dyDescent="0.3">
      <c r="A4" t="s">
        <v>20</v>
      </c>
      <c r="B4">
        <v>2178</v>
      </c>
      <c r="C4">
        <v>32670</v>
      </c>
      <c r="D4">
        <v>0</v>
      </c>
    </row>
    <row r="5" spans="1:4" x14ac:dyDescent="0.3">
      <c r="A5" t="s">
        <v>20</v>
      </c>
      <c r="B5">
        <v>888</v>
      </c>
      <c r="C5">
        <v>13320</v>
      </c>
      <c r="D5">
        <v>0</v>
      </c>
    </row>
    <row r="6" spans="1:4" x14ac:dyDescent="0.3">
      <c r="A6" t="s">
        <v>20</v>
      </c>
      <c r="B6">
        <v>2470</v>
      </c>
      <c r="C6">
        <v>37050</v>
      </c>
      <c r="D6">
        <v>0</v>
      </c>
    </row>
    <row r="7" spans="1:4" x14ac:dyDescent="0.3">
      <c r="A7" t="s">
        <v>20</v>
      </c>
      <c r="B7">
        <v>1513</v>
      </c>
      <c r="C7">
        <v>529550</v>
      </c>
      <c r="D7">
        <v>0</v>
      </c>
    </row>
    <row r="8" spans="1:4" x14ac:dyDescent="0.3">
      <c r="A8" t="s">
        <v>20</v>
      </c>
      <c r="B8">
        <v>921</v>
      </c>
      <c r="C8">
        <v>13815</v>
      </c>
      <c r="D8">
        <v>0</v>
      </c>
    </row>
    <row r="9" spans="1:4" x14ac:dyDescent="0.3">
      <c r="A9" t="s">
        <v>20</v>
      </c>
      <c r="B9">
        <v>2518</v>
      </c>
      <c r="C9">
        <v>30216</v>
      </c>
      <c r="D9">
        <v>0</v>
      </c>
    </row>
    <row r="10" spans="1:4" x14ac:dyDescent="0.3">
      <c r="A10" t="s">
        <v>20</v>
      </c>
      <c r="B10">
        <v>1899</v>
      </c>
      <c r="C10">
        <v>37980</v>
      </c>
      <c r="D10">
        <v>0</v>
      </c>
    </row>
    <row r="11" spans="1:4" x14ac:dyDescent="0.3">
      <c r="A11" t="s">
        <v>20</v>
      </c>
      <c r="B11">
        <v>1545</v>
      </c>
      <c r="C11">
        <v>18540</v>
      </c>
      <c r="D11">
        <v>0</v>
      </c>
    </row>
    <row r="12" spans="1:4" x14ac:dyDescent="0.3">
      <c r="A12" t="s">
        <v>20</v>
      </c>
      <c r="B12">
        <v>2470</v>
      </c>
      <c r="C12">
        <v>37050</v>
      </c>
      <c r="D12">
        <v>0</v>
      </c>
    </row>
    <row r="13" spans="1:4" x14ac:dyDescent="0.3">
      <c r="A13" t="s">
        <v>20</v>
      </c>
      <c r="B13">
        <v>2665.5</v>
      </c>
      <c r="C13">
        <v>333187.5</v>
      </c>
      <c r="D13">
        <v>0</v>
      </c>
    </row>
    <row r="14" spans="1:4" x14ac:dyDescent="0.3">
      <c r="A14" t="s">
        <v>20</v>
      </c>
      <c r="B14">
        <v>958</v>
      </c>
      <c r="C14">
        <v>287400</v>
      </c>
      <c r="D14">
        <v>0</v>
      </c>
    </row>
    <row r="15" spans="1:4" x14ac:dyDescent="0.3">
      <c r="A15" t="s">
        <v>20</v>
      </c>
      <c r="B15">
        <v>2146</v>
      </c>
      <c r="C15">
        <v>15022</v>
      </c>
      <c r="D15">
        <v>0</v>
      </c>
    </row>
    <row r="16" spans="1:4" x14ac:dyDescent="0.3">
      <c r="A16" t="s">
        <v>20</v>
      </c>
      <c r="B16">
        <v>345</v>
      </c>
      <c r="C16">
        <v>43125</v>
      </c>
      <c r="D16">
        <v>0</v>
      </c>
    </row>
    <row r="17" spans="1:4" x14ac:dyDescent="0.3">
      <c r="A17" t="s">
        <v>20</v>
      </c>
      <c r="B17">
        <v>615</v>
      </c>
      <c r="C17">
        <v>9225</v>
      </c>
      <c r="D17">
        <v>0</v>
      </c>
    </row>
    <row r="18" spans="1:4" x14ac:dyDescent="0.3">
      <c r="A18" t="s">
        <v>20</v>
      </c>
      <c r="B18">
        <v>292</v>
      </c>
      <c r="C18">
        <v>5840</v>
      </c>
      <c r="D18">
        <v>0</v>
      </c>
    </row>
    <row r="19" spans="1:4" x14ac:dyDescent="0.3">
      <c r="A19" t="s">
        <v>20</v>
      </c>
      <c r="B19">
        <v>974</v>
      </c>
      <c r="C19">
        <v>14610</v>
      </c>
      <c r="D19">
        <v>0</v>
      </c>
    </row>
    <row r="20" spans="1:4" x14ac:dyDescent="0.3">
      <c r="A20" t="s">
        <v>20</v>
      </c>
      <c r="B20">
        <v>2518</v>
      </c>
      <c r="C20">
        <v>30216</v>
      </c>
      <c r="D20">
        <v>0</v>
      </c>
    </row>
    <row r="21" spans="1:4" x14ac:dyDescent="0.3">
      <c r="A21" t="s">
        <v>20</v>
      </c>
      <c r="B21">
        <v>1006</v>
      </c>
      <c r="C21">
        <v>352100</v>
      </c>
      <c r="D21">
        <v>0</v>
      </c>
    </row>
    <row r="22" spans="1:4" x14ac:dyDescent="0.3">
      <c r="A22" t="s">
        <v>20</v>
      </c>
      <c r="B22">
        <v>367</v>
      </c>
      <c r="C22">
        <v>4404</v>
      </c>
      <c r="D22">
        <v>0</v>
      </c>
    </row>
    <row r="23" spans="1:4" x14ac:dyDescent="0.3">
      <c r="A23" t="s">
        <v>20</v>
      </c>
      <c r="B23">
        <v>883</v>
      </c>
      <c r="C23">
        <v>6181</v>
      </c>
      <c r="D23">
        <v>0</v>
      </c>
    </row>
    <row r="24" spans="1:4" x14ac:dyDescent="0.3">
      <c r="A24" t="s">
        <v>20</v>
      </c>
      <c r="B24">
        <v>549</v>
      </c>
      <c r="C24">
        <v>8235</v>
      </c>
      <c r="D24">
        <v>0</v>
      </c>
    </row>
    <row r="25" spans="1:4" x14ac:dyDescent="0.3">
      <c r="A25" t="s">
        <v>20</v>
      </c>
      <c r="B25">
        <v>788</v>
      </c>
      <c r="C25">
        <v>236400</v>
      </c>
      <c r="D25">
        <v>0</v>
      </c>
    </row>
    <row r="26" spans="1:4" x14ac:dyDescent="0.3">
      <c r="A26" t="s">
        <v>20</v>
      </c>
      <c r="B26">
        <v>2472</v>
      </c>
      <c r="C26">
        <v>37080</v>
      </c>
      <c r="D26">
        <v>0</v>
      </c>
    </row>
    <row r="27" spans="1:4" x14ac:dyDescent="0.3">
      <c r="A27" t="s">
        <v>20</v>
      </c>
      <c r="B27">
        <v>1143</v>
      </c>
      <c r="C27">
        <v>8001</v>
      </c>
      <c r="D27">
        <v>0</v>
      </c>
    </row>
    <row r="28" spans="1:4" x14ac:dyDescent="0.3">
      <c r="A28" t="s">
        <v>20</v>
      </c>
      <c r="B28">
        <v>1725</v>
      </c>
      <c r="C28">
        <v>603750</v>
      </c>
      <c r="D28">
        <v>0</v>
      </c>
    </row>
    <row r="29" spans="1:4" x14ac:dyDescent="0.3">
      <c r="A29" t="s">
        <v>20</v>
      </c>
      <c r="B29">
        <v>912</v>
      </c>
      <c r="C29">
        <v>10944</v>
      </c>
      <c r="D29">
        <v>0</v>
      </c>
    </row>
    <row r="30" spans="1:4" x14ac:dyDescent="0.3">
      <c r="A30" t="s">
        <v>20</v>
      </c>
      <c r="B30">
        <v>2152</v>
      </c>
      <c r="C30">
        <v>32280</v>
      </c>
      <c r="D30">
        <v>0</v>
      </c>
    </row>
    <row r="31" spans="1:4" x14ac:dyDescent="0.3">
      <c r="A31" t="s">
        <v>20</v>
      </c>
      <c r="B31">
        <v>1817</v>
      </c>
      <c r="C31">
        <v>36340</v>
      </c>
      <c r="D31">
        <v>0</v>
      </c>
    </row>
    <row r="32" spans="1:4" x14ac:dyDescent="0.3">
      <c r="A32" t="s">
        <v>20</v>
      </c>
      <c r="B32">
        <v>1513</v>
      </c>
      <c r="C32">
        <v>529550</v>
      </c>
      <c r="D32">
        <v>0</v>
      </c>
    </row>
    <row r="33" spans="1:4" x14ac:dyDescent="0.3">
      <c r="A33" t="s">
        <v>20</v>
      </c>
      <c r="B33">
        <v>1493</v>
      </c>
      <c r="C33">
        <v>10451</v>
      </c>
      <c r="D33">
        <v>0</v>
      </c>
    </row>
    <row r="34" spans="1:4" x14ac:dyDescent="0.3">
      <c r="A34" t="s">
        <v>20</v>
      </c>
      <c r="B34">
        <v>1804</v>
      </c>
      <c r="C34">
        <v>225500</v>
      </c>
      <c r="D34">
        <v>0</v>
      </c>
    </row>
    <row r="35" spans="1:4" x14ac:dyDescent="0.3">
      <c r="A35" t="s">
        <v>20</v>
      </c>
      <c r="B35">
        <v>2161</v>
      </c>
      <c r="C35">
        <v>25932</v>
      </c>
      <c r="D35">
        <v>0</v>
      </c>
    </row>
    <row r="36" spans="1:4" x14ac:dyDescent="0.3">
      <c r="A36" t="s">
        <v>20</v>
      </c>
      <c r="B36">
        <v>1006</v>
      </c>
      <c r="C36">
        <v>352100</v>
      </c>
      <c r="D36">
        <v>0</v>
      </c>
    </row>
    <row r="37" spans="1:4" x14ac:dyDescent="0.3">
      <c r="A37" t="s">
        <v>20</v>
      </c>
      <c r="B37">
        <v>1545</v>
      </c>
      <c r="C37">
        <v>18540</v>
      </c>
      <c r="D37">
        <v>0</v>
      </c>
    </row>
    <row r="38" spans="1:4" x14ac:dyDescent="0.3">
      <c r="A38" t="s">
        <v>20</v>
      </c>
      <c r="B38">
        <v>2821</v>
      </c>
      <c r="C38">
        <v>352625</v>
      </c>
      <c r="D38">
        <v>0</v>
      </c>
    </row>
    <row r="39" spans="1:4" x14ac:dyDescent="0.3">
      <c r="A39" t="s">
        <v>20</v>
      </c>
      <c r="B39">
        <v>345</v>
      </c>
      <c r="C39">
        <v>43125</v>
      </c>
      <c r="D39">
        <v>0</v>
      </c>
    </row>
    <row r="40" spans="1:4" x14ac:dyDescent="0.3">
      <c r="A40" t="s">
        <v>20</v>
      </c>
      <c r="B40">
        <v>2001</v>
      </c>
      <c r="C40">
        <v>600300</v>
      </c>
      <c r="D40">
        <v>0</v>
      </c>
    </row>
    <row r="41" spans="1:4" x14ac:dyDescent="0.3">
      <c r="A41" t="s">
        <v>20</v>
      </c>
      <c r="B41">
        <v>2838</v>
      </c>
      <c r="C41">
        <v>34056</v>
      </c>
      <c r="D41">
        <v>0</v>
      </c>
    </row>
    <row r="42" spans="1:4" x14ac:dyDescent="0.3">
      <c r="A42" t="s">
        <v>20</v>
      </c>
      <c r="B42">
        <v>2178</v>
      </c>
      <c r="C42">
        <v>32670</v>
      </c>
      <c r="D42">
        <v>0</v>
      </c>
    </row>
    <row r="43" spans="1:4" x14ac:dyDescent="0.3">
      <c r="A43" t="s">
        <v>20</v>
      </c>
      <c r="B43">
        <v>888</v>
      </c>
      <c r="C43">
        <v>13320</v>
      </c>
      <c r="D43">
        <v>0</v>
      </c>
    </row>
    <row r="44" spans="1:4" x14ac:dyDescent="0.3">
      <c r="A44" t="s">
        <v>20</v>
      </c>
      <c r="B44">
        <v>1527</v>
      </c>
      <c r="C44">
        <v>534450</v>
      </c>
      <c r="D44">
        <v>0</v>
      </c>
    </row>
    <row r="45" spans="1:4" x14ac:dyDescent="0.3">
      <c r="A45" t="s">
        <v>20</v>
      </c>
      <c r="B45">
        <v>2151</v>
      </c>
      <c r="C45">
        <v>645300</v>
      </c>
      <c r="D45">
        <v>0</v>
      </c>
    </row>
    <row r="46" spans="1:4" x14ac:dyDescent="0.3">
      <c r="A46" t="s">
        <v>20</v>
      </c>
      <c r="B46">
        <v>1817</v>
      </c>
      <c r="C46">
        <v>36340</v>
      </c>
      <c r="D46">
        <v>0</v>
      </c>
    </row>
    <row r="47" spans="1:4" x14ac:dyDescent="0.3">
      <c r="A47" t="s">
        <v>20</v>
      </c>
      <c r="B47">
        <v>2750</v>
      </c>
      <c r="C47">
        <v>962500</v>
      </c>
      <c r="D47">
        <v>0</v>
      </c>
    </row>
    <row r="48" spans="1:4" x14ac:dyDescent="0.3">
      <c r="A48" t="s">
        <v>20</v>
      </c>
      <c r="B48">
        <v>1953</v>
      </c>
      <c r="C48">
        <v>23436</v>
      </c>
      <c r="D48">
        <v>0</v>
      </c>
    </row>
    <row r="49" spans="1:4" x14ac:dyDescent="0.3">
      <c r="A49" t="s">
        <v>20</v>
      </c>
      <c r="B49">
        <v>4219.5</v>
      </c>
      <c r="C49">
        <v>527437.5</v>
      </c>
      <c r="D49">
        <v>0</v>
      </c>
    </row>
    <row r="50" spans="1:4" x14ac:dyDescent="0.3">
      <c r="A50" t="s">
        <v>20</v>
      </c>
      <c r="B50">
        <v>1899</v>
      </c>
      <c r="C50">
        <v>37980</v>
      </c>
      <c r="D50">
        <v>0</v>
      </c>
    </row>
    <row r="51" spans="1:4" x14ac:dyDescent="0.3">
      <c r="A51" t="s">
        <v>20</v>
      </c>
      <c r="B51">
        <v>1686</v>
      </c>
      <c r="C51">
        <v>11802</v>
      </c>
      <c r="D51">
        <v>0</v>
      </c>
    </row>
    <row r="52" spans="1:4" x14ac:dyDescent="0.3">
      <c r="A52" t="s">
        <v>20</v>
      </c>
      <c r="B52">
        <v>2141</v>
      </c>
      <c r="C52">
        <v>25692</v>
      </c>
      <c r="D52">
        <v>0</v>
      </c>
    </row>
    <row r="53" spans="1:4" x14ac:dyDescent="0.3">
      <c r="A53" t="s">
        <v>20</v>
      </c>
      <c r="B53">
        <v>1143</v>
      </c>
      <c r="C53">
        <v>8001</v>
      </c>
      <c r="D53">
        <v>0</v>
      </c>
    </row>
    <row r="54" spans="1:4" x14ac:dyDescent="0.3">
      <c r="A54" t="s">
        <v>20</v>
      </c>
      <c r="B54">
        <v>615</v>
      </c>
      <c r="C54">
        <v>9225</v>
      </c>
      <c r="D54">
        <v>0</v>
      </c>
    </row>
    <row r="55" spans="1:4" x14ac:dyDescent="0.3">
      <c r="A55" t="s">
        <v>45</v>
      </c>
      <c r="B55">
        <v>3945</v>
      </c>
      <c r="C55">
        <v>27615</v>
      </c>
      <c r="D55">
        <v>276.14999999999998</v>
      </c>
    </row>
    <row r="56" spans="1:4" x14ac:dyDescent="0.3">
      <c r="A56" t="s">
        <v>45</v>
      </c>
      <c r="B56">
        <v>2296</v>
      </c>
      <c r="C56">
        <v>34440</v>
      </c>
      <c r="D56">
        <v>344.4</v>
      </c>
    </row>
    <row r="57" spans="1:4" x14ac:dyDescent="0.3">
      <c r="A57" t="s">
        <v>45</v>
      </c>
      <c r="B57">
        <v>1030</v>
      </c>
      <c r="C57">
        <v>7210</v>
      </c>
      <c r="D57">
        <v>72.099999999999994</v>
      </c>
    </row>
    <row r="58" spans="1:4" x14ac:dyDescent="0.3">
      <c r="A58" t="s">
        <v>45</v>
      </c>
      <c r="B58">
        <v>639</v>
      </c>
      <c r="C58">
        <v>4473</v>
      </c>
      <c r="D58">
        <v>44.73</v>
      </c>
    </row>
    <row r="59" spans="1:4" x14ac:dyDescent="0.3">
      <c r="A59" t="s">
        <v>45</v>
      </c>
      <c r="B59">
        <v>1326</v>
      </c>
      <c r="C59">
        <v>9282</v>
      </c>
      <c r="D59">
        <v>92.82</v>
      </c>
    </row>
    <row r="60" spans="1:4" x14ac:dyDescent="0.3">
      <c r="A60" t="s">
        <v>45</v>
      </c>
      <c r="B60">
        <v>1858</v>
      </c>
      <c r="C60">
        <v>22296</v>
      </c>
      <c r="D60">
        <v>222.96</v>
      </c>
    </row>
    <row r="61" spans="1:4" x14ac:dyDescent="0.3">
      <c r="A61" t="s">
        <v>45</v>
      </c>
      <c r="B61">
        <v>1210</v>
      </c>
      <c r="C61">
        <v>423500</v>
      </c>
      <c r="D61">
        <v>4235</v>
      </c>
    </row>
    <row r="62" spans="1:4" x14ac:dyDescent="0.3">
      <c r="A62" t="s">
        <v>45</v>
      </c>
      <c r="B62">
        <v>2529</v>
      </c>
      <c r="C62">
        <v>17703</v>
      </c>
      <c r="D62">
        <v>177.03</v>
      </c>
    </row>
    <row r="63" spans="1:4" x14ac:dyDescent="0.3">
      <c r="A63" t="s">
        <v>45</v>
      </c>
      <c r="B63">
        <v>1445</v>
      </c>
      <c r="C63">
        <v>17340</v>
      </c>
      <c r="D63">
        <v>173.4</v>
      </c>
    </row>
    <row r="64" spans="1:4" x14ac:dyDescent="0.3">
      <c r="A64" t="s">
        <v>45</v>
      </c>
      <c r="B64">
        <v>330</v>
      </c>
      <c r="C64">
        <v>41250</v>
      </c>
      <c r="D64">
        <v>412.5</v>
      </c>
    </row>
    <row r="65" spans="1:4" x14ac:dyDescent="0.3">
      <c r="A65" t="s">
        <v>45</v>
      </c>
      <c r="B65">
        <v>2671</v>
      </c>
      <c r="C65">
        <v>32052</v>
      </c>
      <c r="D65">
        <v>320.52</v>
      </c>
    </row>
    <row r="66" spans="1:4" x14ac:dyDescent="0.3">
      <c r="A66" t="s">
        <v>45</v>
      </c>
      <c r="B66">
        <v>766</v>
      </c>
      <c r="C66">
        <v>9192</v>
      </c>
      <c r="D66">
        <v>91.92</v>
      </c>
    </row>
    <row r="67" spans="1:4" x14ac:dyDescent="0.3">
      <c r="A67" t="s">
        <v>45</v>
      </c>
      <c r="B67">
        <v>494</v>
      </c>
      <c r="C67">
        <v>148200</v>
      </c>
      <c r="D67">
        <v>1482</v>
      </c>
    </row>
    <row r="68" spans="1:4" x14ac:dyDescent="0.3">
      <c r="A68" t="s">
        <v>45</v>
      </c>
      <c r="B68">
        <v>1397</v>
      </c>
      <c r="C68">
        <v>488950</v>
      </c>
      <c r="D68">
        <v>4889.5</v>
      </c>
    </row>
    <row r="69" spans="1:4" x14ac:dyDescent="0.3">
      <c r="A69" t="s">
        <v>45</v>
      </c>
      <c r="B69">
        <v>2155</v>
      </c>
      <c r="C69">
        <v>754250</v>
      </c>
      <c r="D69">
        <v>7542.5</v>
      </c>
    </row>
    <row r="70" spans="1:4" x14ac:dyDescent="0.3">
      <c r="A70" t="s">
        <v>45</v>
      </c>
      <c r="B70">
        <v>2214</v>
      </c>
      <c r="C70">
        <v>33210</v>
      </c>
      <c r="D70">
        <v>332.1</v>
      </c>
    </row>
    <row r="71" spans="1:4" x14ac:dyDescent="0.3">
      <c r="A71" t="s">
        <v>45</v>
      </c>
      <c r="B71">
        <v>2301</v>
      </c>
      <c r="C71">
        <v>690300</v>
      </c>
      <c r="D71">
        <v>6903</v>
      </c>
    </row>
    <row r="72" spans="1:4" x14ac:dyDescent="0.3">
      <c r="A72" t="s">
        <v>45</v>
      </c>
      <c r="B72">
        <v>1375.5</v>
      </c>
      <c r="C72">
        <v>27510</v>
      </c>
      <c r="D72">
        <v>275.10000000000002</v>
      </c>
    </row>
    <row r="73" spans="1:4" x14ac:dyDescent="0.3">
      <c r="A73" t="s">
        <v>45</v>
      </c>
      <c r="B73">
        <v>1830</v>
      </c>
      <c r="C73">
        <v>12810</v>
      </c>
      <c r="D73">
        <v>128.1</v>
      </c>
    </row>
    <row r="74" spans="1:4" x14ac:dyDescent="0.3">
      <c r="A74" t="s">
        <v>45</v>
      </c>
      <c r="B74">
        <v>2498</v>
      </c>
      <c r="C74">
        <v>749400</v>
      </c>
      <c r="D74">
        <v>7494</v>
      </c>
    </row>
    <row r="75" spans="1:4" x14ac:dyDescent="0.3">
      <c r="A75" t="s">
        <v>45</v>
      </c>
      <c r="B75">
        <v>663</v>
      </c>
      <c r="C75">
        <v>82875</v>
      </c>
      <c r="D75">
        <v>828.75</v>
      </c>
    </row>
    <row r="76" spans="1:4" x14ac:dyDescent="0.3">
      <c r="A76" t="s">
        <v>45</v>
      </c>
      <c r="B76">
        <v>1514</v>
      </c>
      <c r="C76">
        <v>22710</v>
      </c>
      <c r="D76">
        <v>227.1</v>
      </c>
    </row>
    <row r="77" spans="1:4" x14ac:dyDescent="0.3">
      <c r="A77" t="s">
        <v>45</v>
      </c>
      <c r="B77">
        <v>4492.5</v>
      </c>
      <c r="C77">
        <v>31447.5</v>
      </c>
      <c r="D77">
        <v>314.48</v>
      </c>
    </row>
    <row r="78" spans="1:4" x14ac:dyDescent="0.3">
      <c r="A78" t="s">
        <v>45</v>
      </c>
      <c r="B78">
        <v>727</v>
      </c>
      <c r="C78">
        <v>90875</v>
      </c>
      <c r="D78">
        <v>908.75</v>
      </c>
    </row>
    <row r="79" spans="1:4" x14ac:dyDescent="0.3">
      <c r="A79" t="s">
        <v>45</v>
      </c>
      <c r="B79">
        <v>787</v>
      </c>
      <c r="C79">
        <v>98375</v>
      </c>
      <c r="D79">
        <v>983.75</v>
      </c>
    </row>
    <row r="80" spans="1:4" x14ac:dyDescent="0.3">
      <c r="A80" t="s">
        <v>45</v>
      </c>
      <c r="B80">
        <v>1823</v>
      </c>
      <c r="C80">
        <v>227875</v>
      </c>
      <c r="D80">
        <v>2278.75</v>
      </c>
    </row>
    <row r="81" spans="1:4" x14ac:dyDescent="0.3">
      <c r="A81" t="s">
        <v>45</v>
      </c>
      <c r="B81">
        <v>747</v>
      </c>
      <c r="C81">
        <v>11205</v>
      </c>
      <c r="D81">
        <v>112.05</v>
      </c>
    </row>
    <row r="82" spans="1:4" x14ac:dyDescent="0.3">
      <c r="A82" t="s">
        <v>45</v>
      </c>
      <c r="B82">
        <v>766</v>
      </c>
      <c r="C82">
        <v>9192</v>
      </c>
      <c r="D82">
        <v>91.92</v>
      </c>
    </row>
    <row r="83" spans="1:4" x14ac:dyDescent="0.3">
      <c r="A83" t="s">
        <v>45</v>
      </c>
      <c r="B83">
        <v>2905</v>
      </c>
      <c r="C83">
        <v>871500</v>
      </c>
      <c r="D83">
        <v>8715</v>
      </c>
    </row>
    <row r="84" spans="1:4" x14ac:dyDescent="0.3">
      <c r="A84" t="s">
        <v>45</v>
      </c>
      <c r="B84">
        <v>2155</v>
      </c>
      <c r="C84">
        <v>754250</v>
      </c>
      <c r="D84">
        <v>7542.5</v>
      </c>
    </row>
    <row r="85" spans="1:4" x14ac:dyDescent="0.3">
      <c r="A85" t="s">
        <v>45</v>
      </c>
      <c r="B85">
        <v>3864</v>
      </c>
      <c r="C85">
        <v>77280</v>
      </c>
      <c r="D85">
        <v>772.8</v>
      </c>
    </row>
    <row r="86" spans="1:4" x14ac:dyDescent="0.3">
      <c r="A86" t="s">
        <v>45</v>
      </c>
      <c r="B86">
        <v>362</v>
      </c>
      <c r="C86">
        <v>2534</v>
      </c>
      <c r="D86">
        <v>25.34</v>
      </c>
    </row>
    <row r="87" spans="1:4" x14ac:dyDescent="0.3">
      <c r="A87" t="s">
        <v>45</v>
      </c>
      <c r="B87">
        <v>923</v>
      </c>
      <c r="C87">
        <v>115375</v>
      </c>
      <c r="D87">
        <v>1153.75</v>
      </c>
    </row>
    <row r="88" spans="1:4" x14ac:dyDescent="0.3">
      <c r="A88" t="s">
        <v>45</v>
      </c>
      <c r="B88">
        <v>663</v>
      </c>
      <c r="C88">
        <v>82875</v>
      </c>
      <c r="D88">
        <v>828.75</v>
      </c>
    </row>
    <row r="89" spans="1:4" x14ac:dyDescent="0.3">
      <c r="A89" t="s">
        <v>45</v>
      </c>
      <c r="B89">
        <v>2092</v>
      </c>
      <c r="C89">
        <v>14644</v>
      </c>
      <c r="D89">
        <v>146.44</v>
      </c>
    </row>
    <row r="90" spans="1:4" x14ac:dyDescent="0.3">
      <c r="A90" t="s">
        <v>45</v>
      </c>
      <c r="B90">
        <v>263</v>
      </c>
      <c r="C90">
        <v>1841</v>
      </c>
      <c r="D90">
        <v>18.41</v>
      </c>
    </row>
    <row r="91" spans="1:4" x14ac:dyDescent="0.3">
      <c r="A91" t="s">
        <v>45</v>
      </c>
      <c r="B91">
        <v>943.5</v>
      </c>
      <c r="C91">
        <v>330225</v>
      </c>
      <c r="D91">
        <v>3302.25</v>
      </c>
    </row>
    <row r="92" spans="1:4" x14ac:dyDescent="0.3">
      <c r="A92" t="s">
        <v>45</v>
      </c>
      <c r="B92">
        <v>727</v>
      </c>
      <c r="C92">
        <v>90875</v>
      </c>
      <c r="D92">
        <v>908.75</v>
      </c>
    </row>
    <row r="93" spans="1:4" x14ac:dyDescent="0.3">
      <c r="A93" t="s">
        <v>45</v>
      </c>
      <c r="B93">
        <v>787</v>
      </c>
      <c r="C93">
        <v>98375</v>
      </c>
      <c r="D93">
        <v>983.75</v>
      </c>
    </row>
    <row r="94" spans="1:4" x14ac:dyDescent="0.3">
      <c r="A94" t="s">
        <v>45</v>
      </c>
      <c r="B94">
        <v>986</v>
      </c>
      <c r="C94">
        <v>295800</v>
      </c>
      <c r="D94">
        <v>2958</v>
      </c>
    </row>
    <row r="95" spans="1:4" x14ac:dyDescent="0.3">
      <c r="A95" t="s">
        <v>45</v>
      </c>
      <c r="B95">
        <v>494</v>
      </c>
      <c r="C95">
        <v>148200</v>
      </c>
      <c r="D95">
        <v>1482</v>
      </c>
    </row>
    <row r="96" spans="1:4" x14ac:dyDescent="0.3">
      <c r="A96" t="s">
        <v>45</v>
      </c>
      <c r="B96">
        <v>1397</v>
      </c>
      <c r="C96">
        <v>488950</v>
      </c>
      <c r="D96">
        <v>4889.5</v>
      </c>
    </row>
    <row r="97" spans="1:4" x14ac:dyDescent="0.3">
      <c r="A97" t="s">
        <v>45</v>
      </c>
      <c r="B97">
        <v>1744</v>
      </c>
      <c r="C97">
        <v>218000</v>
      </c>
      <c r="D97">
        <v>2180</v>
      </c>
    </row>
    <row r="98" spans="1:4" x14ac:dyDescent="0.3">
      <c r="A98" t="s">
        <v>45</v>
      </c>
      <c r="B98">
        <v>1989</v>
      </c>
      <c r="C98">
        <v>23868</v>
      </c>
      <c r="D98">
        <v>238.68</v>
      </c>
    </row>
    <row r="99" spans="1:4" x14ac:dyDescent="0.3">
      <c r="A99" t="s">
        <v>45</v>
      </c>
      <c r="B99">
        <v>321</v>
      </c>
      <c r="C99">
        <v>4815</v>
      </c>
      <c r="D99">
        <v>48.15</v>
      </c>
    </row>
    <row r="100" spans="1:4" x14ac:dyDescent="0.3">
      <c r="A100" t="s">
        <v>45</v>
      </c>
      <c r="B100">
        <v>742.5</v>
      </c>
      <c r="C100">
        <v>92812.5</v>
      </c>
      <c r="D100">
        <v>1856.25</v>
      </c>
    </row>
    <row r="101" spans="1:4" x14ac:dyDescent="0.3">
      <c r="A101" t="s">
        <v>45</v>
      </c>
      <c r="B101">
        <v>1295</v>
      </c>
      <c r="C101">
        <v>15540</v>
      </c>
      <c r="D101">
        <v>310.8</v>
      </c>
    </row>
    <row r="102" spans="1:4" x14ac:dyDescent="0.3">
      <c r="A102" t="s">
        <v>45</v>
      </c>
      <c r="B102">
        <v>214</v>
      </c>
      <c r="C102">
        <v>64200</v>
      </c>
      <c r="D102">
        <v>1284</v>
      </c>
    </row>
    <row r="103" spans="1:4" x14ac:dyDescent="0.3">
      <c r="A103" t="s">
        <v>45</v>
      </c>
      <c r="B103">
        <v>2145</v>
      </c>
      <c r="C103">
        <v>15015</v>
      </c>
      <c r="D103">
        <v>300.3</v>
      </c>
    </row>
    <row r="104" spans="1:4" x14ac:dyDescent="0.3">
      <c r="A104" t="s">
        <v>45</v>
      </c>
      <c r="B104">
        <v>2852</v>
      </c>
      <c r="C104">
        <v>998200</v>
      </c>
      <c r="D104">
        <v>19964</v>
      </c>
    </row>
    <row r="105" spans="1:4" x14ac:dyDescent="0.3">
      <c r="A105" t="s">
        <v>45</v>
      </c>
      <c r="B105">
        <v>1142</v>
      </c>
      <c r="C105">
        <v>13704</v>
      </c>
      <c r="D105">
        <v>274.08</v>
      </c>
    </row>
    <row r="106" spans="1:4" x14ac:dyDescent="0.3">
      <c r="A106" t="s">
        <v>45</v>
      </c>
      <c r="B106">
        <v>1566</v>
      </c>
      <c r="C106">
        <v>31320</v>
      </c>
      <c r="D106">
        <v>626.4</v>
      </c>
    </row>
    <row r="107" spans="1:4" x14ac:dyDescent="0.3">
      <c r="A107" t="s">
        <v>45</v>
      </c>
      <c r="B107">
        <v>690</v>
      </c>
      <c r="C107">
        <v>8280</v>
      </c>
      <c r="D107">
        <v>165.6</v>
      </c>
    </row>
    <row r="108" spans="1:4" x14ac:dyDescent="0.3">
      <c r="A108" t="s">
        <v>45</v>
      </c>
      <c r="B108">
        <v>1660</v>
      </c>
      <c r="C108">
        <v>207500</v>
      </c>
      <c r="D108">
        <v>4150</v>
      </c>
    </row>
    <row r="109" spans="1:4" x14ac:dyDescent="0.3">
      <c r="A109" t="s">
        <v>45</v>
      </c>
      <c r="B109">
        <v>2363</v>
      </c>
      <c r="C109">
        <v>35445</v>
      </c>
      <c r="D109">
        <v>708.9</v>
      </c>
    </row>
    <row r="110" spans="1:4" x14ac:dyDescent="0.3">
      <c r="A110" t="s">
        <v>45</v>
      </c>
      <c r="B110">
        <v>918</v>
      </c>
      <c r="C110">
        <v>275400</v>
      </c>
      <c r="D110">
        <v>5508</v>
      </c>
    </row>
    <row r="111" spans="1:4" x14ac:dyDescent="0.3">
      <c r="A111" t="s">
        <v>45</v>
      </c>
      <c r="B111">
        <v>1728</v>
      </c>
      <c r="C111">
        <v>518400</v>
      </c>
      <c r="D111">
        <v>10368</v>
      </c>
    </row>
    <row r="112" spans="1:4" x14ac:dyDescent="0.3">
      <c r="A112" t="s">
        <v>45</v>
      </c>
      <c r="B112">
        <v>1142</v>
      </c>
      <c r="C112">
        <v>13704</v>
      </c>
      <c r="D112">
        <v>274.08</v>
      </c>
    </row>
    <row r="113" spans="1:4" x14ac:dyDescent="0.3">
      <c r="A113" t="s">
        <v>45</v>
      </c>
      <c r="B113">
        <v>662</v>
      </c>
      <c r="C113">
        <v>82750</v>
      </c>
      <c r="D113">
        <v>1655</v>
      </c>
    </row>
    <row r="114" spans="1:4" x14ac:dyDescent="0.3">
      <c r="A114" t="s">
        <v>45</v>
      </c>
      <c r="B114">
        <v>1295</v>
      </c>
      <c r="C114">
        <v>15540</v>
      </c>
      <c r="D114">
        <v>310.8</v>
      </c>
    </row>
    <row r="115" spans="1:4" x14ac:dyDescent="0.3">
      <c r="A115" t="s">
        <v>45</v>
      </c>
      <c r="B115">
        <v>809</v>
      </c>
      <c r="C115">
        <v>101125</v>
      </c>
      <c r="D115">
        <v>2022.5</v>
      </c>
    </row>
    <row r="116" spans="1:4" x14ac:dyDescent="0.3">
      <c r="A116" t="s">
        <v>45</v>
      </c>
      <c r="B116">
        <v>2145</v>
      </c>
      <c r="C116">
        <v>268125</v>
      </c>
      <c r="D116">
        <v>5362.5</v>
      </c>
    </row>
    <row r="117" spans="1:4" x14ac:dyDescent="0.3">
      <c r="A117" t="s">
        <v>45</v>
      </c>
      <c r="B117">
        <v>1785</v>
      </c>
      <c r="C117">
        <v>21420</v>
      </c>
      <c r="D117">
        <v>428.4</v>
      </c>
    </row>
    <row r="118" spans="1:4" x14ac:dyDescent="0.3">
      <c r="A118" t="s">
        <v>45</v>
      </c>
      <c r="B118">
        <v>1916</v>
      </c>
      <c r="C118">
        <v>574800</v>
      </c>
      <c r="D118">
        <v>11496</v>
      </c>
    </row>
    <row r="119" spans="1:4" x14ac:dyDescent="0.3">
      <c r="A119" t="s">
        <v>45</v>
      </c>
      <c r="B119">
        <v>2852</v>
      </c>
      <c r="C119">
        <v>998200</v>
      </c>
      <c r="D119">
        <v>19964</v>
      </c>
    </row>
    <row r="120" spans="1:4" x14ac:dyDescent="0.3">
      <c r="A120" t="s">
        <v>45</v>
      </c>
      <c r="B120">
        <v>2729</v>
      </c>
      <c r="C120">
        <v>341125</v>
      </c>
      <c r="D120">
        <v>6822.5</v>
      </c>
    </row>
    <row r="121" spans="1:4" x14ac:dyDescent="0.3">
      <c r="A121" t="s">
        <v>45</v>
      </c>
      <c r="B121">
        <v>1925</v>
      </c>
      <c r="C121">
        <v>28875</v>
      </c>
      <c r="D121">
        <v>577.5</v>
      </c>
    </row>
    <row r="122" spans="1:4" x14ac:dyDescent="0.3">
      <c r="A122" t="s">
        <v>45</v>
      </c>
      <c r="B122">
        <v>2013</v>
      </c>
      <c r="C122">
        <v>14091</v>
      </c>
      <c r="D122">
        <v>281.82</v>
      </c>
    </row>
    <row r="123" spans="1:4" x14ac:dyDescent="0.3">
      <c r="A123" t="s">
        <v>45</v>
      </c>
      <c r="B123">
        <v>1055</v>
      </c>
      <c r="C123">
        <v>12660</v>
      </c>
      <c r="D123">
        <v>253.2</v>
      </c>
    </row>
    <row r="124" spans="1:4" x14ac:dyDescent="0.3">
      <c r="A124" t="s">
        <v>45</v>
      </c>
      <c r="B124">
        <v>1084</v>
      </c>
      <c r="C124">
        <v>13008</v>
      </c>
      <c r="D124">
        <v>260.16000000000003</v>
      </c>
    </row>
    <row r="125" spans="1:4" x14ac:dyDescent="0.3">
      <c r="A125" t="s">
        <v>45</v>
      </c>
      <c r="B125">
        <v>1566</v>
      </c>
      <c r="C125">
        <v>31320</v>
      </c>
      <c r="D125">
        <v>626.4</v>
      </c>
    </row>
    <row r="126" spans="1:4" x14ac:dyDescent="0.3">
      <c r="A126" t="s">
        <v>45</v>
      </c>
      <c r="B126">
        <v>2966</v>
      </c>
      <c r="C126">
        <v>1038100</v>
      </c>
      <c r="D126">
        <v>20762</v>
      </c>
    </row>
    <row r="127" spans="1:4" x14ac:dyDescent="0.3">
      <c r="A127" t="s">
        <v>45</v>
      </c>
      <c r="B127">
        <v>2877</v>
      </c>
      <c r="C127">
        <v>1006950</v>
      </c>
      <c r="D127">
        <v>20139</v>
      </c>
    </row>
    <row r="128" spans="1:4" x14ac:dyDescent="0.3">
      <c r="A128" t="s">
        <v>45</v>
      </c>
      <c r="B128">
        <v>809</v>
      </c>
      <c r="C128">
        <v>101125</v>
      </c>
      <c r="D128">
        <v>2022.5</v>
      </c>
    </row>
    <row r="129" spans="1:4" x14ac:dyDescent="0.3">
      <c r="A129" t="s">
        <v>45</v>
      </c>
      <c r="B129">
        <v>2145</v>
      </c>
      <c r="C129">
        <v>268125</v>
      </c>
      <c r="D129">
        <v>5362.5</v>
      </c>
    </row>
    <row r="130" spans="1:4" x14ac:dyDescent="0.3">
      <c r="A130" t="s">
        <v>45</v>
      </c>
      <c r="B130">
        <v>1055</v>
      </c>
      <c r="C130">
        <v>12660</v>
      </c>
      <c r="D130">
        <v>253.2</v>
      </c>
    </row>
    <row r="131" spans="1:4" x14ac:dyDescent="0.3">
      <c r="A131" t="s">
        <v>45</v>
      </c>
      <c r="B131">
        <v>544</v>
      </c>
      <c r="C131">
        <v>10880</v>
      </c>
      <c r="D131">
        <v>217.6</v>
      </c>
    </row>
    <row r="132" spans="1:4" x14ac:dyDescent="0.3">
      <c r="A132" t="s">
        <v>45</v>
      </c>
      <c r="B132">
        <v>1084</v>
      </c>
      <c r="C132">
        <v>13008</v>
      </c>
      <c r="D132">
        <v>260.16000000000003</v>
      </c>
    </row>
    <row r="133" spans="1:4" x14ac:dyDescent="0.3">
      <c r="A133" t="s">
        <v>45</v>
      </c>
      <c r="B133">
        <v>662</v>
      </c>
      <c r="C133">
        <v>82750</v>
      </c>
      <c r="D133">
        <v>1655</v>
      </c>
    </row>
    <row r="134" spans="1:4" x14ac:dyDescent="0.3">
      <c r="A134" t="s">
        <v>45</v>
      </c>
      <c r="B134">
        <v>214</v>
      </c>
      <c r="C134">
        <v>64200</v>
      </c>
      <c r="D134">
        <v>1284</v>
      </c>
    </row>
    <row r="135" spans="1:4" x14ac:dyDescent="0.3">
      <c r="A135" t="s">
        <v>45</v>
      </c>
      <c r="B135">
        <v>2877</v>
      </c>
      <c r="C135">
        <v>1006950</v>
      </c>
      <c r="D135">
        <v>20139</v>
      </c>
    </row>
    <row r="136" spans="1:4" x14ac:dyDescent="0.3">
      <c r="A136" t="s">
        <v>45</v>
      </c>
      <c r="B136">
        <v>2729</v>
      </c>
      <c r="C136">
        <v>341125</v>
      </c>
      <c r="D136">
        <v>6822.5</v>
      </c>
    </row>
    <row r="137" spans="1:4" x14ac:dyDescent="0.3">
      <c r="A137" t="s">
        <v>45</v>
      </c>
      <c r="B137">
        <v>266</v>
      </c>
      <c r="C137">
        <v>93100</v>
      </c>
      <c r="D137">
        <v>1862</v>
      </c>
    </row>
    <row r="138" spans="1:4" x14ac:dyDescent="0.3">
      <c r="A138" t="s">
        <v>45</v>
      </c>
      <c r="B138">
        <v>1940</v>
      </c>
      <c r="C138">
        <v>679000</v>
      </c>
      <c r="D138">
        <v>13580</v>
      </c>
    </row>
    <row r="139" spans="1:4" x14ac:dyDescent="0.3">
      <c r="A139" t="s">
        <v>45</v>
      </c>
      <c r="B139">
        <v>259</v>
      </c>
      <c r="C139">
        <v>77700</v>
      </c>
      <c r="D139">
        <v>1554</v>
      </c>
    </row>
    <row r="140" spans="1:4" x14ac:dyDescent="0.3">
      <c r="A140" t="s">
        <v>45</v>
      </c>
      <c r="B140">
        <v>1101</v>
      </c>
      <c r="C140">
        <v>330300</v>
      </c>
      <c r="D140">
        <v>6606</v>
      </c>
    </row>
    <row r="141" spans="1:4" x14ac:dyDescent="0.3">
      <c r="A141" t="s">
        <v>45</v>
      </c>
      <c r="B141">
        <v>2276</v>
      </c>
      <c r="C141">
        <v>284500</v>
      </c>
      <c r="D141">
        <v>5690</v>
      </c>
    </row>
    <row r="142" spans="1:4" x14ac:dyDescent="0.3">
      <c r="A142" t="s">
        <v>45</v>
      </c>
      <c r="B142">
        <v>2966</v>
      </c>
      <c r="C142">
        <v>1038100</v>
      </c>
      <c r="D142">
        <v>20762</v>
      </c>
    </row>
    <row r="143" spans="1:4" x14ac:dyDescent="0.3">
      <c r="A143" t="s">
        <v>45</v>
      </c>
      <c r="B143">
        <v>1236</v>
      </c>
      <c r="C143">
        <v>24720</v>
      </c>
      <c r="D143">
        <v>494.4</v>
      </c>
    </row>
    <row r="144" spans="1:4" x14ac:dyDescent="0.3">
      <c r="A144" t="s">
        <v>45</v>
      </c>
      <c r="B144">
        <v>941</v>
      </c>
      <c r="C144">
        <v>18820</v>
      </c>
      <c r="D144">
        <v>376.4</v>
      </c>
    </row>
    <row r="145" spans="1:4" x14ac:dyDescent="0.3">
      <c r="A145" t="s">
        <v>45</v>
      </c>
      <c r="B145">
        <v>1916</v>
      </c>
      <c r="C145">
        <v>574800</v>
      </c>
      <c r="D145">
        <v>11496</v>
      </c>
    </row>
    <row r="146" spans="1:4" x14ac:dyDescent="0.3">
      <c r="A146" t="s">
        <v>45</v>
      </c>
      <c r="B146">
        <v>4243.5</v>
      </c>
      <c r="C146">
        <v>530437.5</v>
      </c>
      <c r="D146">
        <v>15913.13</v>
      </c>
    </row>
    <row r="147" spans="1:4" x14ac:dyDescent="0.3">
      <c r="A147" t="s">
        <v>45</v>
      </c>
      <c r="B147">
        <v>2580</v>
      </c>
      <c r="C147">
        <v>51600</v>
      </c>
      <c r="D147">
        <v>1548</v>
      </c>
    </row>
    <row r="148" spans="1:4" x14ac:dyDescent="0.3">
      <c r="A148" t="s">
        <v>45</v>
      </c>
      <c r="B148">
        <v>689</v>
      </c>
      <c r="C148">
        <v>206700</v>
      </c>
      <c r="D148">
        <v>6201</v>
      </c>
    </row>
    <row r="149" spans="1:4" x14ac:dyDescent="0.3">
      <c r="A149" t="s">
        <v>45</v>
      </c>
      <c r="B149">
        <v>1947</v>
      </c>
      <c r="C149">
        <v>23364</v>
      </c>
      <c r="D149">
        <v>700.92</v>
      </c>
    </row>
    <row r="150" spans="1:4" x14ac:dyDescent="0.3">
      <c r="A150" t="s">
        <v>45</v>
      </c>
      <c r="B150">
        <v>908</v>
      </c>
      <c r="C150">
        <v>10896</v>
      </c>
      <c r="D150">
        <v>326.88</v>
      </c>
    </row>
    <row r="151" spans="1:4" x14ac:dyDescent="0.3">
      <c r="A151" t="s">
        <v>45</v>
      </c>
      <c r="B151">
        <v>1958</v>
      </c>
      <c r="C151">
        <v>13706</v>
      </c>
      <c r="D151">
        <v>411.18</v>
      </c>
    </row>
    <row r="152" spans="1:4" x14ac:dyDescent="0.3">
      <c r="A152" t="s">
        <v>45</v>
      </c>
      <c r="B152">
        <v>1901</v>
      </c>
      <c r="C152">
        <v>22812</v>
      </c>
      <c r="D152">
        <v>684.36</v>
      </c>
    </row>
    <row r="153" spans="1:4" x14ac:dyDescent="0.3">
      <c r="A153" t="s">
        <v>45</v>
      </c>
      <c r="B153">
        <v>544</v>
      </c>
      <c r="C153">
        <v>3808</v>
      </c>
      <c r="D153">
        <v>114.24</v>
      </c>
    </row>
    <row r="154" spans="1:4" x14ac:dyDescent="0.3">
      <c r="A154" t="s">
        <v>45</v>
      </c>
      <c r="B154">
        <v>1797</v>
      </c>
      <c r="C154">
        <v>628950</v>
      </c>
      <c r="D154">
        <v>18868.5</v>
      </c>
    </row>
    <row r="155" spans="1:4" x14ac:dyDescent="0.3">
      <c r="A155" t="s">
        <v>45</v>
      </c>
      <c r="B155">
        <v>1287</v>
      </c>
      <c r="C155">
        <v>160875</v>
      </c>
      <c r="D155">
        <v>4826.25</v>
      </c>
    </row>
    <row r="156" spans="1:4" x14ac:dyDescent="0.3">
      <c r="A156" t="s">
        <v>45</v>
      </c>
      <c r="B156">
        <v>1706</v>
      </c>
      <c r="C156">
        <v>213250</v>
      </c>
      <c r="D156">
        <v>6397.5</v>
      </c>
    </row>
    <row r="157" spans="1:4" x14ac:dyDescent="0.3">
      <c r="A157" t="s">
        <v>45</v>
      </c>
      <c r="B157">
        <v>2434.5</v>
      </c>
      <c r="C157">
        <v>730350</v>
      </c>
      <c r="D157">
        <v>21910.5</v>
      </c>
    </row>
    <row r="158" spans="1:4" x14ac:dyDescent="0.3">
      <c r="A158" t="s">
        <v>45</v>
      </c>
      <c r="B158">
        <v>1774</v>
      </c>
      <c r="C158">
        <v>221750</v>
      </c>
      <c r="D158">
        <v>6652.5</v>
      </c>
    </row>
    <row r="159" spans="1:4" x14ac:dyDescent="0.3">
      <c r="A159" t="s">
        <v>45</v>
      </c>
      <c r="B159">
        <v>1901</v>
      </c>
      <c r="C159">
        <v>22812</v>
      </c>
      <c r="D159">
        <v>684.36</v>
      </c>
    </row>
    <row r="160" spans="1:4" x14ac:dyDescent="0.3">
      <c r="A160" t="s">
        <v>45</v>
      </c>
      <c r="B160">
        <v>689</v>
      </c>
      <c r="C160">
        <v>206700</v>
      </c>
      <c r="D160">
        <v>6201</v>
      </c>
    </row>
    <row r="161" spans="1:4" x14ac:dyDescent="0.3">
      <c r="A161" t="s">
        <v>45</v>
      </c>
      <c r="B161">
        <v>1570</v>
      </c>
      <c r="C161">
        <v>196250</v>
      </c>
      <c r="D161">
        <v>5887.5</v>
      </c>
    </row>
    <row r="162" spans="1:4" x14ac:dyDescent="0.3">
      <c r="A162" t="s">
        <v>45</v>
      </c>
      <c r="B162">
        <v>1369.5</v>
      </c>
      <c r="C162">
        <v>16434</v>
      </c>
      <c r="D162">
        <v>493.02</v>
      </c>
    </row>
    <row r="163" spans="1:4" x14ac:dyDescent="0.3">
      <c r="A163" t="s">
        <v>45</v>
      </c>
      <c r="B163">
        <v>2009</v>
      </c>
      <c r="C163">
        <v>251125</v>
      </c>
      <c r="D163">
        <v>7533.75</v>
      </c>
    </row>
    <row r="164" spans="1:4" x14ac:dyDescent="0.3">
      <c r="A164" t="s">
        <v>45</v>
      </c>
      <c r="B164">
        <v>1945</v>
      </c>
      <c r="C164">
        <v>29175</v>
      </c>
      <c r="D164">
        <v>875.25</v>
      </c>
    </row>
    <row r="165" spans="1:4" x14ac:dyDescent="0.3">
      <c r="A165" t="s">
        <v>45</v>
      </c>
      <c r="B165">
        <v>1287</v>
      </c>
      <c r="C165">
        <v>160875</v>
      </c>
      <c r="D165">
        <v>4826.25</v>
      </c>
    </row>
    <row r="166" spans="1:4" x14ac:dyDescent="0.3">
      <c r="A166" t="s">
        <v>45</v>
      </c>
      <c r="B166">
        <v>1706</v>
      </c>
      <c r="C166">
        <v>213250</v>
      </c>
      <c r="D166">
        <v>6397.5</v>
      </c>
    </row>
    <row r="167" spans="1:4" x14ac:dyDescent="0.3">
      <c r="A167" t="s">
        <v>45</v>
      </c>
      <c r="B167">
        <v>2009</v>
      </c>
      <c r="C167">
        <v>251125</v>
      </c>
      <c r="D167">
        <v>7533.75</v>
      </c>
    </row>
    <row r="168" spans="1:4" x14ac:dyDescent="0.3">
      <c r="A168" t="s">
        <v>45</v>
      </c>
      <c r="B168">
        <v>2844</v>
      </c>
      <c r="C168">
        <v>853200</v>
      </c>
      <c r="D168">
        <v>25596</v>
      </c>
    </row>
    <row r="169" spans="1:4" x14ac:dyDescent="0.3">
      <c r="A169" t="s">
        <v>45</v>
      </c>
      <c r="B169">
        <v>1916</v>
      </c>
      <c r="C169">
        <v>22992</v>
      </c>
      <c r="D169">
        <v>689.76</v>
      </c>
    </row>
    <row r="170" spans="1:4" x14ac:dyDescent="0.3">
      <c r="A170" t="s">
        <v>45</v>
      </c>
      <c r="B170">
        <v>1570</v>
      </c>
      <c r="C170">
        <v>196250</v>
      </c>
      <c r="D170">
        <v>5887.5</v>
      </c>
    </row>
    <row r="171" spans="1:4" x14ac:dyDescent="0.3">
      <c r="A171" t="s">
        <v>45</v>
      </c>
      <c r="B171">
        <v>1874</v>
      </c>
      <c r="C171">
        <v>562200</v>
      </c>
      <c r="D171">
        <v>16866</v>
      </c>
    </row>
    <row r="172" spans="1:4" x14ac:dyDescent="0.3">
      <c r="A172" t="s">
        <v>45</v>
      </c>
      <c r="B172">
        <v>1642</v>
      </c>
      <c r="C172">
        <v>574700</v>
      </c>
      <c r="D172">
        <v>17241</v>
      </c>
    </row>
    <row r="173" spans="1:4" x14ac:dyDescent="0.3">
      <c r="A173" t="s">
        <v>45</v>
      </c>
      <c r="B173">
        <v>1945</v>
      </c>
      <c r="C173">
        <v>29175</v>
      </c>
      <c r="D173">
        <v>875.25</v>
      </c>
    </row>
    <row r="174" spans="1:4" x14ac:dyDescent="0.3">
      <c r="A174" t="s">
        <v>45</v>
      </c>
      <c r="B174">
        <v>831</v>
      </c>
      <c r="C174">
        <v>16620</v>
      </c>
      <c r="D174">
        <v>498.6</v>
      </c>
    </row>
    <row r="175" spans="1:4" x14ac:dyDescent="0.3">
      <c r="A175" t="s">
        <v>45</v>
      </c>
      <c r="B175">
        <v>1760</v>
      </c>
      <c r="C175">
        <v>12320</v>
      </c>
      <c r="D175">
        <v>369.6</v>
      </c>
    </row>
    <row r="176" spans="1:4" x14ac:dyDescent="0.3">
      <c r="A176" t="s">
        <v>45</v>
      </c>
      <c r="B176">
        <v>3850.5</v>
      </c>
      <c r="C176">
        <v>77010</v>
      </c>
      <c r="D176">
        <v>2310.3000000000002</v>
      </c>
    </row>
    <row r="177" spans="1:4" x14ac:dyDescent="0.3">
      <c r="A177" t="s">
        <v>45</v>
      </c>
      <c r="B177">
        <v>2479</v>
      </c>
      <c r="C177">
        <v>29748</v>
      </c>
      <c r="D177">
        <v>892.44</v>
      </c>
    </row>
    <row r="178" spans="1:4" x14ac:dyDescent="0.3">
      <c r="A178" t="s">
        <v>45</v>
      </c>
      <c r="B178">
        <v>2031</v>
      </c>
      <c r="C178">
        <v>30465</v>
      </c>
      <c r="D178">
        <v>1218.5999999999999</v>
      </c>
    </row>
    <row r="179" spans="1:4" x14ac:dyDescent="0.3">
      <c r="A179" t="s">
        <v>45</v>
      </c>
      <c r="B179">
        <v>2031</v>
      </c>
      <c r="C179">
        <v>30465</v>
      </c>
      <c r="D179">
        <v>1218.5999999999999</v>
      </c>
    </row>
    <row r="180" spans="1:4" x14ac:dyDescent="0.3">
      <c r="A180" t="s">
        <v>45</v>
      </c>
      <c r="B180">
        <v>2261</v>
      </c>
      <c r="C180">
        <v>33915</v>
      </c>
      <c r="D180">
        <v>1356.6</v>
      </c>
    </row>
    <row r="181" spans="1:4" x14ac:dyDescent="0.3">
      <c r="A181" t="s">
        <v>45</v>
      </c>
      <c r="B181">
        <v>736</v>
      </c>
      <c r="C181">
        <v>14720</v>
      </c>
      <c r="D181">
        <v>588.79999999999995</v>
      </c>
    </row>
    <row r="182" spans="1:4" x14ac:dyDescent="0.3">
      <c r="A182" t="s">
        <v>45</v>
      </c>
      <c r="B182">
        <v>2851</v>
      </c>
      <c r="C182">
        <v>19957</v>
      </c>
      <c r="D182">
        <v>798.28</v>
      </c>
    </row>
    <row r="183" spans="1:4" x14ac:dyDescent="0.3">
      <c r="A183" t="s">
        <v>45</v>
      </c>
      <c r="B183">
        <v>2021</v>
      </c>
      <c r="C183">
        <v>606300</v>
      </c>
      <c r="D183">
        <v>24252</v>
      </c>
    </row>
    <row r="184" spans="1:4" x14ac:dyDescent="0.3">
      <c r="A184" t="s">
        <v>45</v>
      </c>
      <c r="B184">
        <v>274</v>
      </c>
      <c r="C184">
        <v>95900</v>
      </c>
      <c r="D184">
        <v>3836</v>
      </c>
    </row>
    <row r="185" spans="1:4" x14ac:dyDescent="0.3">
      <c r="A185" t="s">
        <v>45</v>
      </c>
      <c r="B185">
        <v>1967</v>
      </c>
      <c r="C185">
        <v>29505</v>
      </c>
      <c r="D185">
        <v>1180.2</v>
      </c>
    </row>
    <row r="186" spans="1:4" x14ac:dyDescent="0.3">
      <c r="A186" t="s">
        <v>45</v>
      </c>
      <c r="B186">
        <v>1859</v>
      </c>
      <c r="C186">
        <v>557700</v>
      </c>
      <c r="D186">
        <v>22308</v>
      </c>
    </row>
    <row r="187" spans="1:4" x14ac:dyDescent="0.3">
      <c r="A187" t="s">
        <v>45</v>
      </c>
      <c r="B187">
        <v>2851</v>
      </c>
      <c r="C187">
        <v>19957</v>
      </c>
      <c r="D187">
        <v>798.28</v>
      </c>
    </row>
    <row r="188" spans="1:4" x14ac:dyDescent="0.3">
      <c r="A188" t="s">
        <v>45</v>
      </c>
      <c r="B188">
        <v>2021</v>
      </c>
      <c r="C188">
        <v>606300</v>
      </c>
      <c r="D188">
        <v>24252</v>
      </c>
    </row>
    <row r="189" spans="1:4" x14ac:dyDescent="0.3">
      <c r="A189" t="s">
        <v>45</v>
      </c>
      <c r="B189">
        <v>1138</v>
      </c>
      <c r="C189">
        <v>142250</v>
      </c>
      <c r="D189">
        <v>5690</v>
      </c>
    </row>
    <row r="190" spans="1:4" x14ac:dyDescent="0.3">
      <c r="A190" t="s">
        <v>45</v>
      </c>
      <c r="B190">
        <v>4251</v>
      </c>
      <c r="C190">
        <v>29757</v>
      </c>
      <c r="D190">
        <v>1190.28</v>
      </c>
    </row>
    <row r="191" spans="1:4" x14ac:dyDescent="0.3">
      <c r="A191" t="s">
        <v>45</v>
      </c>
      <c r="B191">
        <v>795</v>
      </c>
      <c r="C191">
        <v>99375</v>
      </c>
      <c r="D191">
        <v>3975</v>
      </c>
    </row>
    <row r="192" spans="1:4" x14ac:dyDescent="0.3">
      <c r="A192" t="s">
        <v>45</v>
      </c>
      <c r="B192">
        <v>1414.5</v>
      </c>
      <c r="C192">
        <v>424350</v>
      </c>
      <c r="D192">
        <v>16974</v>
      </c>
    </row>
    <row r="193" spans="1:4" x14ac:dyDescent="0.3">
      <c r="A193" t="s">
        <v>45</v>
      </c>
      <c r="B193">
        <v>2918</v>
      </c>
      <c r="C193">
        <v>875400</v>
      </c>
      <c r="D193">
        <v>35016</v>
      </c>
    </row>
    <row r="194" spans="1:4" x14ac:dyDescent="0.3">
      <c r="A194" t="s">
        <v>45</v>
      </c>
      <c r="B194">
        <v>3450</v>
      </c>
      <c r="C194">
        <v>1207500</v>
      </c>
      <c r="D194">
        <v>48300</v>
      </c>
    </row>
    <row r="195" spans="1:4" x14ac:dyDescent="0.3">
      <c r="A195" t="s">
        <v>45</v>
      </c>
      <c r="B195">
        <v>2988</v>
      </c>
      <c r="C195">
        <v>373500</v>
      </c>
      <c r="D195">
        <v>14940</v>
      </c>
    </row>
    <row r="196" spans="1:4" x14ac:dyDescent="0.3">
      <c r="A196" t="s">
        <v>45</v>
      </c>
      <c r="B196">
        <v>218</v>
      </c>
      <c r="C196">
        <v>3270</v>
      </c>
      <c r="D196">
        <v>130.80000000000001</v>
      </c>
    </row>
    <row r="197" spans="1:4" x14ac:dyDescent="0.3">
      <c r="A197" t="s">
        <v>45</v>
      </c>
      <c r="B197">
        <v>2074</v>
      </c>
      <c r="C197">
        <v>41480</v>
      </c>
      <c r="D197">
        <v>1659.2</v>
      </c>
    </row>
    <row r="198" spans="1:4" x14ac:dyDescent="0.3">
      <c r="A198" t="s">
        <v>45</v>
      </c>
      <c r="B198">
        <v>1056</v>
      </c>
      <c r="C198">
        <v>21120</v>
      </c>
      <c r="D198">
        <v>844.8</v>
      </c>
    </row>
    <row r="199" spans="1:4" x14ac:dyDescent="0.3">
      <c r="A199" t="s">
        <v>45</v>
      </c>
      <c r="B199">
        <v>671</v>
      </c>
      <c r="C199">
        <v>10065</v>
      </c>
      <c r="D199">
        <v>402.6</v>
      </c>
    </row>
    <row r="200" spans="1:4" x14ac:dyDescent="0.3">
      <c r="A200" t="s">
        <v>45</v>
      </c>
      <c r="B200">
        <v>1514</v>
      </c>
      <c r="C200">
        <v>22710</v>
      </c>
      <c r="D200">
        <v>908.4</v>
      </c>
    </row>
    <row r="201" spans="1:4" x14ac:dyDescent="0.3">
      <c r="A201" t="s">
        <v>45</v>
      </c>
      <c r="B201">
        <v>274</v>
      </c>
      <c r="C201">
        <v>95900</v>
      </c>
      <c r="D201">
        <v>3836</v>
      </c>
    </row>
    <row r="202" spans="1:4" x14ac:dyDescent="0.3">
      <c r="A202" t="s">
        <v>45</v>
      </c>
      <c r="B202">
        <v>1138</v>
      </c>
      <c r="C202">
        <v>142250</v>
      </c>
      <c r="D202">
        <v>5690</v>
      </c>
    </row>
    <row r="203" spans="1:4" x14ac:dyDescent="0.3">
      <c r="A203" t="s">
        <v>45</v>
      </c>
      <c r="B203">
        <v>1465</v>
      </c>
      <c r="C203">
        <v>17580</v>
      </c>
      <c r="D203">
        <v>703.2</v>
      </c>
    </row>
    <row r="204" spans="1:4" x14ac:dyDescent="0.3">
      <c r="A204" t="s">
        <v>45</v>
      </c>
      <c r="B204">
        <v>2646</v>
      </c>
      <c r="C204">
        <v>52920</v>
      </c>
      <c r="D204">
        <v>2116.8000000000002</v>
      </c>
    </row>
    <row r="205" spans="1:4" x14ac:dyDescent="0.3">
      <c r="A205" t="s">
        <v>45</v>
      </c>
      <c r="B205">
        <v>2177</v>
      </c>
      <c r="C205">
        <v>761950</v>
      </c>
      <c r="D205">
        <v>30478</v>
      </c>
    </row>
    <row r="206" spans="1:4" x14ac:dyDescent="0.3">
      <c r="A206" t="s">
        <v>45</v>
      </c>
      <c r="B206">
        <v>866</v>
      </c>
      <c r="C206">
        <v>10392</v>
      </c>
      <c r="D206">
        <v>415.68</v>
      </c>
    </row>
    <row r="207" spans="1:4" x14ac:dyDescent="0.3">
      <c r="A207" t="s">
        <v>45</v>
      </c>
      <c r="B207">
        <v>349</v>
      </c>
      <c r="C207">
        <v>122150</v>
      </c>
      <c r="D207">
        <v>4886</v>
      </c>
    </row>
    <row r="208" spans="1:4" x14ac:dyDescent="0.3">
      <c r="A208" t="s">
        <v>45</v>
      </c>
      <c r="B208">
        <v>2177</v>
      </c>
      <c r="C208">
        <v>761950</v>
      </c>
      <c r="D208">
        <v>30478</v>
      </c>
    </row>
    <row r="209" spans="1:4" x14ac:dyDescent="0.3">
      <c r="A209" t="s">
        <v>45</v>
      </c>
      <c r="B209">
        <v>1514</v>
      </c>
      <c r="C209">
        <v>22710</v>
      </c>
      <c r="D209">
        <v>908.4</v>
      </c>
    </row>
    <row r="210" spans="1:4" x14ac:dyDescent="0.3">
      <c r="A210" t="s">
        <v>45</v>
      </c>
      <c r="B210">
        <v>1865</v>
      </c>
      <c r="C210">
        <v>652750</v>
      </c>
      <c r="D210">
        <v>26110</v>
      </c>
    </row>
    <row r="211" spans="1:4" x14ac:dyDescent="0.3">
      <c r="A211" t="s">
        <v>45</v>
      </c>
      <c r="B211">
        <v>1074</v>
      </c>
      <c r="C211">
        <v>134250</v>
      </c>
      <c r="D211">
        <v>5370</v>
      </c>
    </row>
    <row r="212" spans="1:4" x14ac:dyDescent="0.3">
      <c r="A212" t="s">
        <v>45</v>
      </c>
      <c r="B212">
        <v>1907</v>
      </c>
      <c r="C212">
        <v>667450</v>
      </c>
      <c r="D212">
        <v>26698</v>
      </c>
    </row>
    <row r="213" spans="1:4" x14ac:dyDescent="0.3">
      <c r="A213" t="s">
        <v>45</v>
      </c>
      <c r="B213">
        <v>671</v>
      </c>
      <c r="C213">
        <v>10065</v>
      </c>
      <c r="D213">
        <v>402.6</v>
      </c>
    </row>
    <row r="214" spans="1:4" x14ac:dyDescent="0.3">
      <c r="A214" t="s">
        <v>45</v>
      </c>
      <c r="B214">
        <v>1778</v>
      </c>
      <c r="C214">
        <v>622300</v>
      </c>
      <c r="D214">
        <v>24892</v>
      </c>
    </row>
    <row r="215" spans="1:4" x14ac:dyDescent="0.3">
      <c r="A215" t="s">
        <v>47</v>
      </c>
      <c r="B215">
        <v>1159</v>
      </c>
      <c r="C215">
        <v>8113</v>
      </c>
      <c r="D215">
        <v>405.65</v>
      </c>
    </row>
    <row r="216" spans="1:4" x14ac:dyDescent="0.3">
      <c r="A216" t="s">
        <v>47</v>
      </c>
      <c r="B216">
        <v>1372</v>
      </c>
      <c r="C216">
        <v>9604</v>
      </c>
      <c r="D216">
        <v>480.2</v>
      </c>
    </row>
    <row r="217" spans="1:4" x14ac:dyDescent="0.3">
      <c r="A217" t="s">
        <v>47</v>
      </c>
      <c r="B217">
        <v>2349</v>
      </c>
      <c r="C217">
        <v>16443</v>
      </c>
      <c r="D217">
        <v>822.15</v>
      </c>
    </row>
    <row r="218" spans="1:4" x14ac:dyDescent="0.3">
      <c r="A218" t="s">
        <v>47</v>
      </c>
      <c r="B218">
        <v>2689</v>
      </c>
      <c r="C218">
        <v>18823</v>
      </c>
      <c r="D218">
        <v>941.15</v>
      </c>
    </row>
    <row r="219" spans="1:4" x14ac:dyDescent="0.3">
      <c r="A219" t="s">
        <v>47</v>
      </c>
      <c r="B219">
        <v>2431</v>
      </c>
      <c r="C219">
        <v>29172</v>
      </c>
      <c r="D219">
        <v>1458.6</v>
      </c>
    </row>
    <row r="220" spans="1:4" x14ac:dyDescent="0.3">
      <c r="A220" t="s">
        <v>47</v>
      </c>
      <c r="B220">
        <v>2431</v>
      </c>
      <c r="C220">
        <v>29172</v>
      </c>
      <c r="D220">
        <v>1458.6</v>
      </c>
    </row>
    <row r="221" spans="1:4" x14ac:dyDescent="0.3">
      <c r="A221" t="s">
        <v>47</v>
      </c>
      <c r="B221">
        <v>2689</v>
      </c>
      <c r="C221">
        <v>18823</v>
      </c>
      <c r="D221">
        <v>941.15</v>
      </c>
    </row>
    <row r="222" spans="1:4" x14ac:dyDescent="0.3">
      <c r="A222" t="s">
        <v>47</v>
      </c>
      <c r="B222">
        <v>1683</v>
      </c>
      <c r="C222">
        <v>11781</v>
      </c>
      <c r="D222">
        <v>589.04999999999995</v>
      </c>
    </row>
    <row r="223" spans="1:4" x14ac:dyDescent="0.3">
      <c r="A223" t="s">
        <v>47</v>
      </c>
      <c r="B223">
        <v>1123</v>
      </c>
      <c r="C223">
        <v>13476</v>
      </c>
      <c r="D223">
        <v>673.8</v>
      </c>
    </row>
    <row r="224" spans="1:4" x14ac:dyDescent="0.3">
      <c r="A224" t="s">
        <v>47</v>
      </c>
      <c r="B224">
        <v>1159</v>
      </c>
      <c r="C224">
        <v>8113</v>
      </c>
      <c r="D224">
        <v>405.65</v>
      </c>
    </row>
    <row r="225" spans="1:4" x14ac:dyDescent="0.3">
      <c r="A225" t="s">
        <v>47</v>
      </c>
      <c r="B225">
        <v>1865</v>
      </c>
      <c r="C225">
        <v>22380</v>
      </c>
      <c r="D225">
        <v>1119</v>
      </c>
    </row>
    <row r="226" spans="1:4" x14ac:dyDescent="0.3">
      <c r="A226" t="s">
        <v>47</v>
      </c>
      <c r="B226">
        <v>1116</v>
      </c>
      <c r="C226">
        <v>13392</v>
      </c>
      <c r="D226">
        <v>669.6</v>
      </c>
    </row>
    <row r="227" spans="1:4" x14ac:dyDescent="0.3">
      <c r="A227" t="s">
        <v>47</v>
      </c>
      <c r="B227">
        <v>1563</v>
      </c>
      <c r="C227">
        <v>31260</v>
      </c>
      <c r="D227">
        <v>1563</v>
      </c>
    </row>
    <row r="228" spans="1:4" x14ac:dyDescent="0.3">
      <c r="A228" t="s">
        <v>47</v>
      </c>
      <c r="B228">
        <v>991</v>
      </c>
      <c r="C228">
        <v>297300</v>
      </c>
      <c r="D228">
        <v>14865</v>
      </c>
    </row>
    <row r="229" spans="1:4" x14ac:dyDescent="0.3">
      <c r="A229" t="s">
        <v>47</v>
      </c>
      <c r="B229">
        <v>1016</v>
      </c>
      <c r="C229">
        <v>7112</v>
      </c>
      <c r="D229">
        <v>355.6</v>
      </c>
    </row>
    <row r="230" spans="1:4" x14ac:dyDescent="0.3">
      <c r="A230" t="s">
        <v>47</v>
      </c>
      <c r="B230">
        <v>2791</v>
      </c>
      <c r="C230">
        <v>41865</v>
      </c>
      <c r="D230">
        <v>2093.25</v>
      </c>
    </row>
    <row r="231" spans="1:4" x14ac:dyDescent="0.3">
      <c r="A231" t="s">
        <v>47</v>
      </c>
      <c r="B231">
        <v>570</v>
      </c>
      <c r="C231">
        <v>3990</v>
      </c>
      <c r="D231">
        <v>199.5</v>
      </c>
    </row>
    <row r="232" spans="1:4" x14ac:dyDescent="0.3">
      <c r="A232" t="s">
        <v>47</v>
      </c>
      <c r="B232">
        <v>2487</v>
      </c>
      <c r="C232">
        <v>17409</v>
      </c>
      <c r="D232">
        <v>870.45</v>
      </c>
    </row>
    <row r="233" spans="1:4" x14ac:dyDescent="0.3">
      <c r="A233" t="s">
        <v>47</v>
      </c>
      <c r="B233">
        <v>1384.5</v>
      </c>
      <c r="C233">
        <v>484575</v>
      </c>
      <c r="D233">
        <v>24228.75</v>
      </c>
    </row>
    <row r="234" spans="1:4" x14ac:dyDescent="0.3">
      <c r="A234" t="s">
        <v>47</v>
      </c>
      <c r="B234">
        <v>3627</v>
      </c>
      <c r="C234">
        <v>453375</v>
      </c>
      <c r="D234">
        <v>22668.75</v>
      </c>
    </row>
    <row r="235" spans="1:4" x14ac:dyDescent="0.3">
      <c r="A235" t="s">
        <v>47</v>
      </c>
      <c r="B235">
        <v>720</v>
      </c>
      <c r="C235">
        <v>252000</v>
      </c>
      <c r="D235">
        <v>12600</v>
      </c>
    </row>
    <row r="236" spans="1:4" x14ac:dyDescent="0.3">
      <c r="A236" t="s">
        <v>47</v>
      </c>
      <c r="B236">
        <v>2342</v>
      </c>
      <c r="C236">
        <v>28104</v>
      </c>
      <c r="D236">
        <v>1405.2</v>
      </c>
    </row>
    <row r="237" spans="1:4" x14ac:dyDescent="0.3">
      <c r="A237" t="s">
        <v>47</v>
      </c>
      <c r="B237">
        <v>1100</v>
      </c>
      <c r="C237">
        <v>330000</v>
      </c>
      <c r="D237">
        <v>16500</v>
      </c>
    </row>
    <row r="238" spans="1:4" x14ac:dyDescent="0.3">
      <c r="A238" t="s">
        <v>47</v>
      </c>
      <c r="B238">
        <v>1303</v>
      </c>
      <c r="C238">
        <v>26060</v>
      </c>
      <c r="D238">
        <v>1303</v>
      </c>
    </row>
    <row r="239" spans="1:4" x14ac:dyDescent="0.3">
      <c r="A239" t="s">
        <v>47</v>
      </c>
      <c r="B239">
        <v>2992</v>
      </c>
      <c r="C239">
        <v>374000</v>
      </c>
      <c r="D239">
        <v>18700</v>
      </c>
    </row>
    <row r="240" spans="1:4" x14ac:dyDescent="0.3">
      <c r="A240" t="s">
        <v>47</v>
      </c>
      <c r="B240">
        <v>2385</v>
      </c>
      <c r="C240">
        <v>298125</v>
      </c>
      <c r="D240">
        <v>14906.25</v>
      </c>
    </row>
    <row r="241" spans="1:4" x14ac:dyDescent="0.3">
      <c r="A241" t="s">
        <v>47</v>
      </c>
      <c r="B241">
        <v>1607</v>
      </c>
      <c r="C241">
        <v>482100</v>
      </c>
      <c r="D241">
        <v>24105</v>
      </c>
    </row>
    <row r="242" spans="1:4" x14ac:dyDescent="0.3">
      <c r="A242" t="s">
        <v>47</v>
      </c>
      <c r="B242">
        <v>2327</v>
      </c>
      <c r="C242">
        <v>16289</v>
      </c>
      <c r="D242">
        <v>814.45</v>
      </c>
    </row>
    <row r="243" spans="1:4" x14ac:dyDescent="0.3">
      <c r="A243" t="s">
        <v>47</v>
      </c>
      <c r="B243">
        <v>991</v>
      </c>
      <c r="C243">
        <v>297300</v>
      </c>
      <c r="D243">
        <v>14865</v>
      </c>
    </row>
    <row r="244" spans="1:4" x14ac:dyDescent="0.3">
      <c r="A244" t="s">
        <v>47</v>
      </c>
      <c r="B244">
        <v>602</v>
      </c>
      <c r="C244">
        <v>210700</v>
      </c>
      <c r="D244">
        <v>10535</v>
      </c>
    </row>
    <row r="245" spans="1:4" x14ac:dyDescent="0.3">
      <c r="A245" t="s">
        <v>47</v>
      </c>
      <c r="B245">
        <v>2620</v>
      </c>
      <c r="C245">
        <v>39300</v>
      </c>
      <c r="D245">
        <v>1965</v>
      </c>
    </row>
    <row r="246" spans="1:4" x14ac:dyDescent="0.3">
      <c r="A246" t="s">
        <v>47</v>
      </c>
      <c r="B246">
        <v>1228</v>
      </c>
      <c r="C246">
        <v>429800</v>
      </c>
      <c r="D246">
        <v>21490</v>
      </c>
    </row>
    <row r="247" spans="1:4" x14ac:dyDescent="0.3">
      <c r="A247" t="s">
        <v>47</v>
      </c>
      <c r="B247">
        <v>1389</v>
      </c>
      <c r="C247">
        <v>27780</v>
      </c>
      <c r="D247">
        <v>1389</v>
      </c>
    </row>
    <row r="248" spans="1:4" x14ac:dyDescent="0.3">
      <c r="A248" t="s">
        <v>47</v>
      </c>
      <c r="B248">
        <v>861</v>
      </c>
      <c r="C248">
        <v>107625</v>
      </c>
      <c r="D248">
        <v>5381.25</v>
      </c>
    </row>
    <row r="249" spans="1:4" x14ac:dyDescent="0.3">
      <c r="A249" t="s">
        <v>47</v>
      </c>
      <c r="B249">
        <v>704</v>
      </c>
      <c r="C249">
        <v>88000</v>
      </c>
      <c r="D249">
        <v>4400</v>
      </c>
    </row>
    <row r="250" spans="1:4" x14ac:dyDescent="0.3">
      <c r="A250" t="s">
        <v>47</v>
      </c>
      <c r="B250">
        <v>1802</v>
      </c>
      <c r="C250">
        <v>36040</v>
      </c>
      <c r="D250">
        <v>1802</v>
      </c>
    </row>
    <row r="251" spans="1:4" x14ac:dyDescent="0.3">
      <c r="A251" t="s">
        <v>47</v>
      </c>
      <c r="B251">
        <v>2663</v>
      </c>
      <c r="C251">
        <v>53260</v>
      </c>
      <c r="D251">
        <v>2663</v>
      </c>
    </row>
    <row r="252" spans="1:4" x14ac:dyDescent="0.3">
      <c r="A252" t="s">
        <v>47</v>
      </c>
      <c r="B252">
        <v>2136</v>
      </c>
      <c r="C252">
        <v>14952</v>
      </c>
      <c r="D252">
        <v>747.6</v>
      </c>
    </row>
    <row r="253" spans="1:4" x14ac:dyDescent="0.3">
      <c r="A253" t="s">
        <v>47</v>
      </c>
      <c r="B253">
        <v>2116</v>
      </c>
      <c r="C253">
        <v>31740</v>
      </c>
      <c r="D253">
        <v>1587</v>
      </c>
    </row>
    <row r="254" spans="1:4" x14ac:dyDescent="0.3">
      <c r="A254" t="s">
        <v>47</v>
      </c>
      <c r="B254">
        <v>555</v>
      </c>
      <c r="C254">
        <v>8325</v>
      </c>
      <c r="D254">
        <v>416.25</v>
      </c>
    </row>
    <row r="255" spans="1:4" x14ac:dyDescent="0.3">
      <c r="A255" t="s">
        <v>47</v>
      </c>
      <c r="B255">
        <v>2861</v>
      </c>
      <c r="C255">
        <v>42915</v>
      </c>
      <c r="D255">
        <v>2145.75</v>
      </c>
    </row>
    <row r="256" spans="1:4" x14ac:dyDescent="0.3">
      <c r="A256" t="s">
        <v>47</v>
      </c>
      <c r="B256">
        <v>807</v>
      </c>
      <c r="C256">
        <v>100875</v>
      </c>
      <c r="D256">
        <v>5043.75</v>
      </c>
    </row>
    <row r="257" spans="1:4" x14ac:dyDescent="0.3">
      <c r="A257" t="s">
        <v>47</v>
      </c>
      <c r="B257">
        <v>602</v>
      </c>
      <c r="C257">
        <v>210700</v>
      </c>
      <c r="D257">
        <v>10535</v>
      </c>
    </row>
    <row r="258" spans="1:4" x14ac:dyDescent="0.3">
      <c r="A258" t="s">
        <v>47</v>
      </c>
      <c r="B258">
        <v>2832</v>
      </c>
      <c r="C258">
        <v>56640</v>
      </c>
      <c r="D258">
        <v>2832</v>
      </c>
    </row>
    <row r="259" spans="1:4" x14ac:dyDescent="0.3">
      <c r="A259" t="s">
        <v>47</v>
      </c>
      <c r="B259">
        <v>1579</v>
      </c>
      <c r="C259">
        <v>31580</v>
      </c>
      <c r="D259">
        <v>1579</v>
      </c>
    </row>
    <row r="260" spans="1:4" x14ac:dyDescent="0.3">
      <c r="A260" t="s">
        <v>47</v>
      </c>
      <c r="B260">
        <v>861</v>
      </c>
      <c r="C260">
        <v>107625</v>
      </c>
      <c r="D260">
        <v>5381.25</v>
      </c>
    </row>
    <row r="261" spans="1:4" x14ac:dyDescent="0.3">
      <c r="A261" t="s">
        <v>47</v>
      </c>
      <c r="B261">
        <v>704</v>
      </c>
      <c r="C261">
        <v>88000</v>
      </c>
      <c r="D261">
        <v>4400</v>
      </c>
    </row>
    <row r="262" spans="1:4" x14ac:dyDescent="0.3">
      <c r="A262" t="s">
        <v>47</v>
      </c>
      <c r="B262">
        <v>1033</v>
      </c>
      <c r="C262">
        <v>20660</v>
      </c>
      <c r="D262">
        <v>1033</v>
      </c>
    </row>
    <row r="263" spans="1:4" x14ac:dyDescent="0.3">
      <c r="A263" t="s">
        <v>47</v>
      </c>
      <c r="B263">
        <v>1250</v>
      </c>
      <c r="C263">
        <v>375000</v>
      </c>
      <c r="D263">
        <v>18750</v>
      </c>
    </row>
    <row r="264" spans="1:4" x14ac:dyDescent="0.3">
      <c r="A264" t="s">
        <v>47</v>
      </c>
      <c r="B264">
        <v>1389</v>
      </c>
      <c r="C264">
        <v>27780</v>
      </c>
      <c r="D264">
        <v>1389</v>
      </c>
    </row>
    <row r="265" spans="1:4" x14ac:dyDescent="0.3">
      <c r="A265" t="s">
        <v>47</v>
      </c>
      <c r="B265">
        <v>1265</v>
      </c>
      <c r="C265">
        <v>25300</v>
      </c>
      <c r="D265">
        <v>1265</v>
      </c>
    </row>
    <row r="266" spans="1:4" x14ac:dyDescent="0.3">
      <c r="A266" t="s">
        <v>47</v>
      </c>
      <c r="B266">
        <v>2297</v>
      </c>
      <c r="C266">
        <v>45940</v>
      </c>
      <c r="D266">
        <v>2297</v>
      </c>
    </row>
    <row r="267" spans="1:4" x14ac:dyDescent="0.3">
      <c r="A267" t="s">
        <v>47</v>
      </c>
      <c r="B267">
        <v>2663</v>
      </c>
      <c r="C267">
        <v>53260</v>
      </c>
      <c r="D267">
        <v>2663</v>
      </c>
    </row>
    <row r="268" spans="1:4" x14ac:dyDescent="0.3">
      <c r="A268" t="s">
        <v>47</v>
      </c>
      <c r="B268">
        <v>570</v>
      </c>
      <c r="C268">
        <v>3990</v>
      </c>
      <c r="D268">
        <v>199.5</v>
      </c>
    </row>
    <row r="269" spans="1:4" x14ac:dyDescent="0.3">
      <c r="A269" t="s">
        <v>47</v>
      </c>
      <c r="B269">
        <v>2487</v>
      </c>
      <c r="C269">
        <v>17409</v>
      </c>
      <c r="D269">
        <v>870.45</v>
      </c>
    </row>
    <row r="270" spans="1:4" x14ac:dyDescent="0.3">
      <c r="A270" t="s">
        <v>47</v>
      </c>
      <c r="B270">
        <v>1350</v>
      </c>
      <c r="C270">
        <v>472500</v>
      </c>
      <c r="D270">
        <v>23625</v>
      </c>
    </row>
    <row r="271" spans="1:4" x14ac:dyDescent="0.3">
      <c r="A271" t="s">
        <v>47</v>
      </c>
      <c r="B271">
        <v>552</v>
      </c>
      <c r="C271">
        <v>193200</v>
      </c>
      <c r="D271">
        <v>9660</v>
      </c>
    </row>
    <row r="272" spans="1:4" x14ac:dyDescent="0.3">
      <c r="A272" t="s">
        <v>47</v>
      </c>
      <c r="B272">
        <v>1228</v>
      </c>
      <c r="C272">
        <v>429800</v>
      </c>
      <c r="D272">
        <v>21490</v>
      </c>
    </row>
    <row r="273" spans="1:4" x14ac:dyDescent="0.3">
      <c r="A273" t="s">
        <v>47</v>
      </c>
      <c r="B273">
        <v>1250</v>
      </c>
      <c r="C273">
        <v>375000</v>
      </c>
      <c r="D273">
        <v>18750</v>
      </c>
    </row>
    <row r="274" spans="1:4" x14ac:dyDescent="0.3">
      <c r="A274" t="s">
        <v>47</v>
      </c>
      <c r="B274">
        <v>3801</v>
      </c>
      <c r="C274">
        <v>57015</v>
      </c>
      <c r="D274">
        <v>3420.9</v>
      </c>
    </row>
    <row r="275" spans="1:4" x14ac:dyDescent="0.3">
      <c r="A275" t="s">
        <v>47</v>
      </c>
      <c r="B275">
        <v>1117.5</v>
      </c>
      <c r="C275">
        <v>22350</v>
      </c>
      <c r="D275">
        <v>1341</v>
      </c>
    </row>
    <row r="276" spans="1:4" x14ac:dyDescent="0.3">
      <c r="A276" t="s">
        <v>47</v>
      </c>
      <c r="B276">
        <v>2844</v>
      </c>
      <c r="C276">
        <v>42660</v>
      </c>
      <c r="D276">
        <v>2559.6</v>
      </c>
    </row>
    <row r="277" spans="1:4" x14ac:dyDescent="0.3">
      <c r="A277" t="s">
        <v>47</v>
      </c>
      <c r="B277">
        <v>562</v>
      </c>
      <c r="C277">
        <v>6744</v>
      </c>
      <c r="D277">
        <v>404.64</v>
      </c>
    </row>
    <row r="278" spans="1:4" x14ac:dyDescent="0.3">
      <c r="A278" t="s">
        <v>47</v>
      </c>
      <c r="B278">
        <v>2299</v>
      </c>
      <c r="C278">
        <v>27588</v>
      </c>
      <c r="D278">
        <v>1655.28</v>
      </c>
    </row>
    <row r="279" spans="1:4" x14ac:dyDescent="0.3">
      <c r="A279" t="s">
        <v>47</v>
      </c>
      <c r="B279">
        <v>2030</v>
      </c>
      <c r="C279">
        <v>30450</v>
      </c>
      <c r="D279">
        <v>1827</v>
      </c>
    </row>
    <row r="280" spans="1:4" x14ac:dyDescent="0.3">
      <c r="A280" t="s">
        <v>47</v>
      </c>
      <c r="B280">
        <v>263</v>
      </c>
      <c r="C280">
        <v>1841</v>
      </c>
      <c r="D280">
        <v>110.46</v>
      </c>
    </row>
    <row r="281" spans="1:4" x14ac:dyDescent="0.3">
      <c r="A281" t="s">
        <v>47</v>
      </c>
      <c r="B281">
        <v>887</v>
      </c>
      <c r="C281">
        <v>110875</v>
      </c>
      <c r="D281">
        <v>6652.5</v>
      </c>
    </row>
    <row r="282" spans="1:4" x14ac:dyDescent="0.3">
      <c r="A282" t="s">
        <v>47</v>
      </c>
      <c r="B282">
        <v>980</v>
      </c>
      <c r="C282">
        <v>343000</v>
      </c>
      <c r="D282">
        <v>20580</v>
      </c>
    </row>
    <row r="283" spans="1:4" x14ac:dyDescent="0.3">
      <c r="A283" t="s">
        <v>47</v>
      </c>
      <c r="B283">
        <v>1460</v>
      </c>
      <c r="C283">
        <v>511000</v>
      </c>
      <c r="D283">
        <v>30660</v>
      </c>
    </row>
    <row r="284" spans="1:4" x14ac:dyDescent="0.3">
      <c r="A284" t="s">
        <v>47</v>
      </c>
      <c r="B284">
        <v>1403</v>
      </c>
      <c r="C284">
        <v>9821</v>
      </c>
      <c r="D284">
        <v>589.26</v>
      </c>
    </row>
    <row r="285" spans="1:4" x14ac:dyDescent="0.3">
      <c r="A285" t="s">
        <v>47</v>
      </c>
      <c r="B285">
        <v>2723</v>
      </c>
      <c r="C285">
        <v>32676</v>
      </c>
      <c r="D285">
        <v>1960.56</v>
      </c>
    </row>
    <row r="286" spans="1:4" x14ac:dyDescent="0.3">
      <c r="A286" t="s">
        <v>47</v>
      </c>
      <c r="B286">
        <v>1496</v>
      </c>
      <c r="C286">
        <v>523600</v>
      </c>
      <c r="D286">
        <v>31416</v>
      </c>
    </row>
    <row r="287" spans="1:4" x14ac:dyDescent="0.3">
      <c r="A287" t="s">
        <v>47</v>
      </c>
      <c r="B287">
        <v>2299</v>
      </c>
      <c r="C287">
        <v>27588</v>
      </c>
      <c r="D287">
        <v>1655.28</v>
      </c>
    </row>
    <row r="288" spans="1:4" x14ac:dyDescent="0.3">
      <c r="A288" t="s">
        <v>47</v>
      </c>
      <c r="B288">
        <v>727</v>
      </c>
      <c r="C288">
        <v>254450</v>
      </c>
      <c r="D288">
        <v>15267</v>
      </c>
    </row>
    <row r="289" spans="1:4" x14ac:dyDescent="0.3">
      <c r="A289" t="s">
        <v>47</v>
      </c>
      <c r="B289">
        <v>952</v>
      </c>
      <c r="C289">
        <v>119000</v>
      </c>
      <c r="D289">
        <v>7140</v>
      </c>
    </row>
    <row r="290" spans="1:4" x14ac:dyDescent="0.3">
      <c r="A290" t="s">
        <v>47</v>
      </c>
      <c r="B290">
        <v>2755</v>
      </c>
      <c r="C290">
        <v>344375</v>
      </c>
      <c r="D290">
        <v>20662.5</v>
      </c>
    </row>
    <row r="291" spans="1:4" x14ac:dyDescent="0.3">
      <c r="A291" t="s">
        <v>47</v>
      </c>
      <c r="B291">
        <v>1530</v>
      </c>
      <c r="C291">
        <v>22950</v>
      </c>
      <c r="D291">
        <v>1377</v>
      </c>
    </row>
    <row r="292" spans="1:4" x14ac:dyDescent="0.3">
      <c r="A292" t="s">
        <v>47</v>
      </c>
      <c r="B292">
        <v>1496</v>
      </c>
      <c r="C292">
        <v>523600</v>
      </c>
      <c r="D292">
        <v>31416</v>
      </c>
    </row>
    <row r="293" spans="1:4" x14ac:dyDescent="0.3">
      <c r="A293" t="s">
        <v>47</v>
      </c>
      <c r="B293">
        <v>1498</v>
      </c>
      <c r="C293">
        <v>10486</v>
      </c>
      <c r="D293">
        <v>629.16</v>
      </c>
    </row>
    <row r="294" spans="1:4" x14ac:dyDescent="0.3">
      <c r="A294" t="s">
        <v>47</v>
      </c>
      <c r="B294">
        <v>1221</v>
      </c>
      <c r="C294">
        <v>366300</v>
      </c>
      <c r="D294">
        <v>21978</v>
      </c>
    </row>
    <row r="295" spans="1:4" x14ac:dyDescent="0.3">
      <c r="A295" t="s">
        <v>47</v>
      </c>
      <c r="B295">
        <v>2076</v>
      </c>
      <c r="C295">
        <v>726600</v>
      </c>
      <c r="D295">
        <v>43596</v>
      </c>
    </row>
    <row r="296" spans="1:4" x14ac:dyDescent="0.3">
      <c r="A296" t="s">
        <v>47</v>
      </c>
      <c r="B296">
        <v>2844</v>
      </c>
      <c r="C296">
        <v>42660</v>
      </c>
      <c r="D296">
        <v>2559.6</v>
      </c>
    </row>
    <row r="297" spans="1:4" x14ac:dyDescent="0.3">
      <c r="A297" t="s">
        <v>47</v>
      </c>
      <c r="B297">
        <v>1498</v>
      </c>
      <c r="C297">
        <v>10486</v>
      </c>
      <c r="D297">
        <v>629.16</v>
      </c>
    </row>
    <row r="298" spans="1:4" x14ac:dyDescent="0.3">
      <c r="A298" t="s">
        <v>47</v>
      </c>
      <c r="B298">
        <v>1221</v>
      </c>
      <c r="C298">
        <v>366300</v>
      </c>
      <c r="D298">
        <v>21978</v>
      </c>
    </row>
    <row r="299" spans="1:4" x14ac:dyDescent="0.3">
      <c r="A299" t="s">
        <v>47</v>
      </c>
      <c r="B299">
        <v>1123</v>
      </c>
      <c r="C299">
        <v>22460</v>
      </c>
      <c r="D299">
        <v>1347.6</v>
      </c>
    </row>
    <row r="300" spans="1:4" x14ac:dyDescent="0.3">
      <c r="A300" t="s">
        <v>47</v>
      </c>
      <c r="B300">
        <v>2436</v>
      </c>
      <c r="C300">
        <v>730800</v>
      </c>
      <c r="D300">
        <v>43848</v>
      </c>
    </row>
    <row r="301" spans="1:4" x14ac:dyDescent="0.3">
      <c r="A301" t="s">
        <v>47</v>
      </c>
      <c r="B301">
        <v>1987.5</v>
      </c>
      <c r="C301">
        <v>248437.5</v>
      </c>
      <c r="D301">
        <v>14906.25</v>
      </c>
    </row>
    <row r="302" spans="1:4" x14ac:dyDescent="0.3">
      <c r="A302" t="s">
        <v>47</v>
      </c>
      <c r="B302">
        <v>1679</v>
      </c>
      <c r="C302">
        <v>587650</v>
      </c>
      <c r="D302">
        <v>35259</v>
      </c>
    </row>
    <row r="303" spans="1:4" x14ac:dyDescent="0.3">
      <c r="A303" t="s">
        <v>47</v>
      </c>
      <c r="B303">
        <v>727</v>
      </c>
      <c r="C303">
        <v>254450</v>
      </c>
      <c r="D303">
        <v>15267</v>
      </c>
    </row>
    <row r="304" spans="1:4" x14ac:dyDescent="0.3">
      <c r="A304" t="s">
        <v>47</v>
      </c>
      <c r="B304">
        <v>1403</v>
      </c>
      <c r="C304">
        <v>9821</v>
      </c>
      <c r="D304">
        <v>589.26</v>
      </c>
    </row>
    <row r="305" spans="1:4" x14ac:dyDescent="0.3">
      <c r="A305" t="s">
        <v>47</v>
      </c>
      <c r="B305">
        <v>2076</v>
      </c>
      <c r="C305">
        <v>726600</v>
      </c>
      <c r="D305">
        <v>43596</v>
      </c>
    </row>
    <row r="306" spans="1:4" x14ac:dyDescent="0.3">
      <c r="A306" t="s">
        <v>47</v>
      </c>
      <c r="B306">
        <v>1757</v>
      </c>
      <c r="C306">
        <v>35140</v>
      </c>
      <c r="D306">
        <v>2108.4</v>
      </c>
    </row>
    <row r="307" spans="1:4" x14ac:dyDescent="0.3">
      <c r="A307" t="s">
        <v>47</v>
      </c>
      <c r="B307">
        <v>2198</v>
      </c>
      <c r="C307">
        <v>32970</v>
      </c>
      <c r="D307">
        <v>1978.2</v>
      </c>
    </row>
    <row r="308" spans="1:4" x14ac:dyDescent="0.3">
      <c r="A308" t="s">
        <v>47</v>
      </c>
      <c r="B308">
        <v>1743</v>
      </c>
      <c r="C308">
        <v>26145</v>
      </c>
      <c r="D308">
        <v>1568.7</v>
      </c>
    </row>
    <row r="309" spans="1:4" x14ac:dyDescent="0.3">
      <c r="A309" t="s">
        <v>47</v>
      </c>
      <c r="B309">
        <v>1153</v>
      </c>
      <c r="C309">
        <v>17295</v>
      </c>
      <c r="D309">
        <v>1037.7</v>
      </c>
    </row>
    <row r="310" spans="1:4" x14ac:dyDescent="0.3">
      <c r="A310" t="s">
        <v>47</v>
      </c>
      <c r="B310">
        <v>1757</v>
      </c>
      <c r="C310">
        <v>35140</v>
      </c>
      <c r="D310">
        <v>2108.4</v>
      </c>
    </row>
    <row r="311" spans="1:4" x14ac:dyDescent="0.3">
      <c r="A311" t="s">
        <v>47</v>
      </c>
      <c r="B311">
        <v>1001</v>
      </c>
      <c r="C311">
        <v>20020</v>
      </c>
      <c r="D311">
        <v>1201.2</v>
      </c>
    </row>
    <row r="312" spans="1:4" x14ac:dyDescent="0.3">
      <c r="A312" t="s">
        <v>47</v>
      </c>
      <c r="B312">
        <v>1333</v>
      </c>
      <c r="C312">
        <v>9331</v>
      </c>
      <c r="D312">
        <v>559.86</v>
      </c>
    </row>
    <row r="313" spans="1:4" x14ac:dyDescent="0.3">
      <c r="A313" t="s">
        <v>47</v>
      </c>
      <c r="B313">
        <v>1153</v>
      </c>
      <c r="C313">
        <v>17295</v>
      </c>
      <c r="D313">
        <v>1037.7</v>
      </c>
    </row>
    <row r="314" spans="1:4" x14ac:dyDescent="0.3">
      <c r="A314" t="s">
        <v>47</v>
      </c>
      <c r="B314">
        <v>727</v>
      </c>
      <c r="C314">
        <v>8724</v>
      </c>
      <c r="D314">
        <v>610.67999999999995</v>
      </c>
    </row>
    <row r="315" spans="1:4" x14ac:dyDescent="0.3">
      <c r="A315" t="s">
        <v>47</v>
      </c>
      <c r="B315">
        <v>1884</v>
      </c>
      <c r="C315">
        <v>22608</v>
      </c>
      <c r="D315">
        <v>1582.56</v>
      </c>
    </row>
    <row r="316" spans="1:4" x14ac:dyDescent="0.3">
      <c r="A316" t="s">
        <v>47</v>
      </c>
      <c r="B316">
        <v>1834</v>
      </c>
      <c r="C316">
        <v>36680</v>
      </c>
      <c r="D316">
        <v>2567.6</v>
      </c>
    </row>
    <row r="317" spans="1:4" x14ac:dyDescent="0.3">
      <c r="A317" t="s">
        <v>47</v>
      </c>
      <c r="B317">
        <v>2340</v>
      </c>
      <c r="C317">
        <v>28080</v>
      </c>
      <c r="D317">
        <v>1965.6</v>
      </c>
    </row>
    <row r="318" spans="1:4" x14ac:dyDescent="0.3">
      <c r="A318" t="s">
        <v>47</v>
      </c>
      <c r="B318">
        <v>2342</v>
      </c>
      <c r="C318">
        <v>28104</v>
      </c>
      <c r="D318">
        <v>1967.28</v>
      </c>
    </row>
    <row r="319" spans="1:4" x14ac:dyDescent="0.3">
      <c r="A319" t="s">
        <v>47</v>
      </c>
      <c r="B319">
        <v>1031</v>
      </c>
      <c r="C319">
        <v>7217</v>
      </c>
      <c r="D319">
        <v>505.19</v>
      </c>
    </row>
    <row r="320" spans="1:4" x14ac:dyDescent="0.3">
      <c r="A320" t="s">
        <v>47</v>
      </c>
      <c r="B320">
        <v>1262</v>
      </c>
      <c r="C320">
        <v>18930</v>
      </c>
      <c r="D320">
        <v>1325.1</v>
      </c>
    </row>
    <row r="321" spans="1:4" x14ac:dyDescent="0.3">
      <c r="A321" t="s">
        <v>47</v>
      </c>
      <c r="B321">
        <v>1135</v>
      </c>
      <c r="C321">
        <v>7945</v>
      </c>
      <c r="D321">
        <v>556.15</v>
      </c>
    </row>
    <row r="322" spans="1:4" x14ac:dyDescent="0.3">
      <c r="A322" t="s">
        <v>47</v>
      </c>
      <c r="B322">
        <v>547</v>
      </c>
      <c r="C322">
        <v>3829</v>
      </c>
      <c r="D322">
        <v>268.02999999999997</v>
      </c>
    </row>
    <row r="323" spans="1:4" x14ac:dyDescent="0.3">
      <c r="A323" t="s">
        <v>47</v>
      </c>
      <c r="B323">
        <v>1582</v>
      </c>
      <c r="C323">
        <v>11074</v>
      </c>
      <c r="D323">
        <v>775.18</v>
      </c>
    </row>
    <row r="324" spans="1:4" x14ac:dyDescent="0.3">
      <c r="A324" t="s">
        <v>47</v>
      </c>
      <c r="B324">
        <v>1738.5</v>
      </c>
      <c r="C324">
        <v>20862</v>
      </c>
      <c r="D324">
        <v>1460.34</v>
      </c>
    </row>
    <row r="325" spans="1:4" x14ac:dyDescent="0.3">
      <c r="A325" t="s">
        <v>47</v>
      </c>
      <c r="B325">
        <v>2215</v>
      </c>
      <c r="C325">
        <v>26580</v>
      </c>
      <c r="D325">
        <v>1860.6</v>
      </c>
    </row>
    <row r="326" spans="1:4" x14ac:dyDescent="0.3">
      <c r="A326" t="s">
        <v>47</v>
      </c>
      <c r="B326">
        <v>1582</v>
      </c>
      <c r="C326">
        <v>11074</v>
      </c>
      <c r="D326">
        <v>775.18</v>
      </c>
    </row>
    <row r="327" spans="1:4" x14ac:dyDescent="0.3">
      <c r="A327" t="s">
        <v>47</v>
      </c>
      <c r="B327">
        <v>1135</v>
      </c>
      <c r="C327">
        <v>7945</v>
      </c>
      <c r="D327">
        <v>556.15</v>
      </c>
    </row>
    <row r="328" spans="1:4" x14ac:dyDescent="0.3">
      <c r="A328" t="s">
        <v>47</v>
      </c>
      <c r="B328">
        <v>1761</v>
      </c>
      <c r="C328">
        <v>616350</v>
      </c>
      <c r="D328">
        <v>43144.5</v>
      </c>
    </row>
    <row r="329" spans="1:4" x14ac:dyDescent="0.3">
      <c r="A329" t="s">
        <v>47</v>
      </c>
      <c r="B329">
        <v>448</v>
      </c>
      <c r="C329">
        <v>134400</v>
      </c>
      <c r="D329">
        <v>9408</v>
      </c>
    </row>
    <row r="330" spans="1:4" x14ac:dyDescent="0.3">
      <c r="A330" t="s">
        <v>47</v>
      </c>
      <c r="B330">
        <v>2181</v>
      </c>
      <c r="C330">
        <v>654300</v>
      </c>
      <c r="D330">
        <v>45801</v>
      </c>
    </row>
    <row r="331" spans="1:4" x14ac:dyDescent="0.3">
      <c r="A331" t="s">
        <v>47</v>
      </c>
      <c r="B331">
        <v>1976</v>
      </c>
      <c r="C331">
        <v>39520</v>
      </c>
      <c r="D331">
        <v>2766.4</v>
      </c>
    </row>
    <row r="332" spans="1:4" x14ac:dyDescent="0.3">
      <c r="A332" t="s">
        <v>47</v>
      </c>
      <c r="B332">
        <v>2181</v>
      </c>
      <c r="C332">
        <v>654300</v>
      </c>
      <c r="D332">
        <v>45801</v>
      </c>
    </row>
    <row r="333" spans="1:4" x14ac:dyDescent="0.3">
      <c r="A333" t="s">
        <v>47</v>
      </c>
      <c r="B333">
        <v>2500</v>
      </c>
      <c r="C333">
        <v>312500</v>
      </c>
      <c r="D333">
        <v>21875</v>
      </c>
    </row>
    <row r="334" spans="1:4" x14ac:dyDescent="0.3">
      <c r="A334" t="s">
        <v>47</v>
      </c>
      <c r="B334">
        <v>1702</v>
      </c>
      <c r="C334">
        <v>510600</v>
      </c>
      <c r="D334">
        <v>35742</v>
      </c>
    </row>
    <row r="335" spans="1:4" x14ac:dyDescent="0.3">
      <c r="A335" t="s">
        <v>47</v>
      </c>
      <c r="B335">
        <v>448</v>
      </c>
      <c r="C335">
        <v>134400</v>
      </c>
      <c r="D335">
        <v>9408</v>
      </c>
    </row>
    <row r="336" spans="1:4" x14ac:dyDescent="0.3">
      <c r="A336" t="s">
        <v>47</v>
      </c>
      <c r="B336">
        <v>3513</v>
      </c>
      <c r="C336">
        <v>439125</v>
      </c>
      <c r="D336">
        <v>30738.75</v>
      </c>
    </row>
    <row r="337" spans="1:4" x14ac:dyDescent="0.3">
      <c r="A337" t="s">
        <v>47</v>
      </c>
      <c r="B337">
        <v>2101</v>
      </c>
      <c r="C337">
        <v>31515</v>
      </c>
      <c r="D337">
        <v>2206.0500000000002</v>
      </c>
    </row>
    <row r="338" spans="1:4" x14ac:dyDescent="0.3">
      <c r="A338" t="s">
        <v>47</v>
      </c>
      <c r="B338">
        <v>2931</v>
      </c>
      <c r="C338">
        <v>43965</v>
      </c>
      <c r="D338">
        <v>3077.55</v>
      </c>
    </row>
    <row r="339" spans="1:4" x14ac:dyDescent="0.3">
      <c r="A339" t="s">
        <v>47</v>
      </c>
      <c r="B339">
        <v>1535</v>
      </c>
      <c r="C339">
        <v>30700</v>
      </c>
      <c r="D339">
        <v>2149</v>
      </c>
    </row>
    <row r="340" spans="1:4" x14ac:dyDescent="0.3">
      <c r="A340" t="s">
        <v>47</v>
      </c>
      <c r="B340">
        <v>1123</v>
      </c>
      <c r="C340">
        <v>336900</v>
      </c>
      <c r="D340">
        <v>23583</v>
      </c>
    </row>
    <row r="341" spans="1:4" x14ac:dyDescent="0.3">
      <c r="A341" t="s">
        <v>47</v>
      </c>
      <c r="B341">
        <v>1404</v>
      </c>
      <c r="C341">
        <v>421200</v>
      </c>
      <c r="D341">
        <v>29484</v>
      </c>
    </row>
    <row r="342" spans="1:4" x14ac:dyDescent="0.3">
      <c r="A342" t="s">
        <v>47</v>
      </c>
      <c r="B342">
        <v>2763</v>
      </c>
      <c r="C342">
        <v>33156</v>
      </c>
      <c r="D342">
        <v>2320.92</v>
      </c>
    </row>
    <row r="343" spans="1:4" x14ac:dyDescent="0.3">
      <c r="A343" t="s">
        <v>47</v>
      </c>
      <c r="B343">
        <v>2125</v>
      </c>
      <c r="C343">
        <v>14875</v>
      </c>
      <c r="D343">
        <v>1041.25</v>
      </c>
    </row>
    <row r="344" spans="1:4" x14ac:dyDescent="0.3">
      <c r="A344" t="s">
        <v>47</v>
      </c>
      <c r="B344">
        <v>1659</v>
      </c>
      <c r="C344">
        <v>497700</v>
      </c>
      <c r="D344">
        <v>34839</v>
      </c>
    </row>
    <row r="345" spans="1:4" x14ac:dyDescent="0.3">
      <c r="A345" t="s">
        <v>47</v>
      </c>
      <c r="B345">
        <v>609</v>
      </c>
      <c r="C345">
        <v>12180</v>
      </c>
      <c r="D345">
        <v>852.6</v>
      </c>
    </row>
    <row r="346" spans="1:4" x14ac:dyDescent="0.3">
      <c r="A346" t="s">
        <v>47</v>
      </c>
      <c r="B346">
        <v>2087</v>
      </c>
      <c r="C346">
        <v>260875</v>
      </c>
      <c r="D346">
        <v>18261.25</v>
      </c>
    </row>
    <row r="347" spans="1:4" x14ac:dyDescent="0.3">
      <c r="A347" t="s">
        <v>47</v>
      </c>
      <c r="B347">
        <v>1976</v>
      </c>
      <c r="C347">
        <v>39520</v>
      </c>
      <c r="D347">
        <v>2766.4</v>
      </c>
    </row>
    <row r="348" spans="1:4" x14ac:dyDescent="0.3">
      <c r="A348" t="s">
        <v>47</v>
      </c>
      <c r="B348">
        <v>1421</v>
      </c>
      <c r="C348">
        <v>28420</v>
      </c>
      <c r="D348">
        <v>1989.4</v>
      </c>
    </row>
    <row r="349" spans="1:4" x14ac:dyDescent="0.3">
      <c r="A349" t="s">
        <v>47</v>
      </c>
      <c r="B349">
        <v>1372</v>
      </c>
      <c r="C349">
        <v>411600</v>
      </c>
      <c r="D349">
        <v>28812</v>
      </c>
    </row>
    <row r="350" spans="1:4" x14ac:dyDescent="0.3">
      <c r="A350" t="s">
        <v>47</v>
      </c>
      <c r="B350">
        <v>588</v>
      </c>
      <c r="C350">
        <v>11760</v>
      </c>
      <c r="D350">
        <v>823.2</v>
      </c>
    </row>
    <row r="351" spans="1:4" x14ac:dyDescent="0.3">
      <c r="A351" t="s">
        <v>47</v>
      </c>
      <c r="B351">
        <v>3244.5</v>
      </c>
      <c r="C351">
        <v>38934</v>
      </c>
      <c r="D351">
        <v>2725.38</v>
      </c>
    </row>
    <row r="352" spans="1:4" x14ac:dyDescent="0.3">
      <c r="A352" t="s">
        <v>47</v>
      </c>
      <c r="B352">
        <v>959</v>
      </c>
      <c r="C352">
        <v>287700</v>
      </c>
      <c r="D352">
        <v>20139</v>
      </c>
    </row>
    <row r="353" spans="1:4" x14ac:dyDescent="0.3">
      <c r="A353" t="s">
        <v>47</v>
      </c>
      <c r="B353">
        <v>2747</v>
      </c>
      <c r="C353">
        <v>824100</v>
      </c>
      <c r="D353">
        <v>57687</v>
      </c>
    </row>
    <row r="354" spans="1:4" x14ac:dyDescent="0.3">
      <c r="A354" t="s">
        <v>47</v>
      </c>
      <c r="B354">
        <v>1645</v>
      </c>
      <c r="C354">
        <v>205625</v>
      </c>
      <c r="D354">
        <v>14393.75</v>
      </c>
    </row>
    <row r="355" spans="1:4" x14ac:dyDescent="0.3">
      <c r="A355" t="s">
        <v>47</v>
      </c>
      <c r="B355">
        <v>2876</v>
      </c>
      <c r="C355">
        <v>1006600</v>
      </c>
      <c r="D355">
        <v>70462</v>
      </c>
    </row>
    <row r="356" spans="1:4" x14ac:dyDescent="0.3">
      <c r="A356" t="s">
        <v>47</v>
      </c>
      <c r="B356">
        <v>994</v>
      </c>
      <c r="C356">
        <v>124250</v>
      </c>
      <c r="D356">
        <v>8697.5</v>
      </c>
    </row>
    <row r="357" spans="1:4" x14ac:dyDescent="0.3">
      <c r="A357" t="s">
        <v>47</v>
      </c>
      <c r="B357">
        <v>1118</v>
      </c>
      <c r="C357">
        <v>22360</v>
      </c>
      <c r="D357">
        <v>1565.2</v>
      </c>
    </row>
    <row r="358" spans="1:4" x14ac:dyDescent="0.3">
      <c r="A358" t="s">
        <v>47</v>
      </c>
      <c r="B358">
        <v>1372</v>
      </c>
      <c r="C358">
        <v>411600</v>
      </c>
      <c r="D358">
        <v>28812</v>
      </c>
    </row>
    <row r="359" spans="1:4" x14ac:dyDescent="0.3">
      <c r="A359" t="s">
        <v>47</v>
      </c>
      <c r="B359">
        <v>488</v>
      </c>
      <c r="C359">
        <v>3416</v>
      </c>
      <c r="D359">
        <v>273.27999999999997</v>
      </c>
    </row>
    <row r="360" spans="1:4" x14ac:dyDescent="0.3">
      <c r="A360" t="s">
        <v>47</v>
      </c>
      <c r="B360">
        <v>1282</v>
      </c>
      <c r="C360">
        <v>25640</v>
      </c>
      <c r="D360">
        <v>2051.1999999999998</v>
      </c>
    </row>
    <row r="361" spans="1:4" x14ac:dyDescent="0.3">
      <c r="A361" t="s">
        <v>47</v>
      </c>
      <c r="B361">
        <v>257</v>
      </c>
      <c r="C361">
        <v>1799</v>
      </c>
      <c r="D361">
        <v>143.91999999999999</v>
      </c>
    </row>
    <row r="362" spans="1:4" x14ac:dyDescent="0.3">
      <c r="A362" t="s">
        <v>47</v>
      </c>
      <c r="B362">
        <v>1282</v>
      </c>
      <c r="C362">
        <v>25640</v>
      </c>
      <c r="D362">
        <v>2051.1999999999998</v>
      </c>
    </row>
    <row r="363" spans="1:4" x14ac:dyDescent="0.3">
      <c r="A363" t="s">
        <v>47</v>
      </c>
      <c r="B363">
        <v>1540</v>
      </c>
      <c r="C363">
        <v>192500</v>
      </c>
      <c r="D363">
        <v>15400</v>
      </c>
    </row>
    <row r="364" spans="1:4" x14ac:dyDescent="0.3">
      <c r="A364" t="s">
        <v>47</v>
      </c>
      <c r="B364">
        <v>490</v>
      </c>
      <c r="C364">
        <v>7350</v>
      </c>
      <c r="D364">
        <v>588</v>
      </c>
    </row>
    <row r="365" spans="1:4" x14ac:dyDescent="0.3">
      <c r="A365" t="s">
        <v>47</v>
      </c>
      <c r="B365">
        <v>1362</v>
      </c>
      <c r="C365">
        <v>476700</v>
      </c>
      <c r="D365">
        <v>38136</v>
      </c>
    </row>
    <row r="366" spans="1:4" x14ac:dyDescent="0.3">
      <c r="A366" t="s">
        <v>47</v>
      </c>
      <c r="B366">
        <v>2501</v>
      </c>
      <c r="C366">
        <v>37515</v>
      </c>
      <c r="D366">
        <v>3001.2</v>
      </c>
    </row>
    <row r="367" spans="1:4" x14ac:dyDescent="0.3">
      <c r="A367" t="s">
        <v>47</v>
      </c>
      <c r="B367">
        <v>708</v>
      </c>
      <c r="C367">
        <v>14160</v>
      </c>
      <c r="D367">
        <v>1132.8</v>
      </c>
    </row>
    <row r="368" spans="1:4" x14ac:dyDescent="0.3">
      <c r="A368" t="s">
        <v>47</v>
      </c>
      <c r="B368">
        <v>645</v>
      </c>
      <c r="C368">
        <v>12900</v>
      </c>
      <c r="D368">
        <v>1032</v>
      </c>
    </row>
    <row r="369" spans="1:4" x14ac:dyDescent="0.3">
      <c r="A369" t="s">
        <v>47</v>
      </c>
      <c r="B369">
        <v>1562</v>
      </c>
      <c r="C369">
        <v>468600</v>
      </c>
      <c r="D369">
        <v>37488</v>
      </c>
    </row>
    <row r="370" spans="1:4" x14ac:dyDescent="0.3">
      <c r="A370" t="s">
        <v>47</v>
      </c>
      <c r="B370">
        <v>1283</v>
      </c>
      <c r="C370">
        <v>384900</v>
      </c>
      <c r="D370">
        <v>30792</v>
      </c>
    </row>
    <row r="371" spans="1:4" x14ac:dyDescent="0.3">
      <c r="A371" t="s">
        <v>47</v>
      </c>
      <c r="B371">
        <v>711</v>
      </c>
      <c r="C371">
        <v>10665</v>
      </c>
      <c r="D371">
        <v>853.2</v>
      </c>
    </row>
    <row r="372" spans="1:4" x14ac:dyDescent="0.3">
      <c r="A372" t="s">
        <v>47</v>
      </c>
      <c r="B372">
        <v>1114</v>
      </c>
      <c r="C372">
        <v>139250</v>
      </c>
      <c r="D372">
        <v>11140</v>
      </c>
    </row>
    <row r="373" spans="1:4" x14ac:dyDescent="0.3">
      <c r="A373" t="s">
        <v>47</v>
      </c>
      <c r="B373">
        <v>1259</v>
      </c>
      <c r="C373">
        <v>8813</v>
      </c>
      <c r="D373">
        <v>705.04</v>
      </c>
    </row>
    <row r="374" spans="1:4" x14ac:dyDescent="0.3">
      <c r="A374" t="s">
        <v>47</v>
      </c>
      <c r="B374">
        <v>1095</v>
      </c>
      <c r="C374">
        <v>7665</v>
      </c>
      <c r="D374">
        <v>613.20000000000005</v>
      </c>
    </row>
    <row r="375" spans="1:4" x14ac:dyDescent="0.3">
      <c r="A375" t="s">
        <v>47</v>
      </c>
      <c r="B375">
        <v>1366</v>
      </c>
      <c r="C375">
        <v>27320</v>
      </c>
      <c r="D375">
        <v>2185.6</v>
      </c>
    </row>
    <row r="376" spans="1:4" x14ac:dyDescent="0.3">
      <c r="A376" t="s">
        <v>47</v>
      </c>
      <c r="B376">
        <v>2460</v>
      </c>
      <c r="C376">
        <v>738000</v>
      </c>
      <c r="D376">
        <v>59040</v>
      </c>
    </row>
    <row r="377" spans="1:4" x14ac:dyDescent="0.3">
      <c r="A377" t="s">
        <v>47</v>
      </c>
      <c r="B377">
        <v>678</v>
      </c>
      <c r="C377">
        <v>4746</v>
      </c>
      <c r="D377">
        <v>379.68</v>
      </c>
    </row>
    <row r="378" spans="1:4" x14ac:dyDescent="0.3">
      <c r="A378" t="s">
        <v>47</v>
      </c>
      <c r="B378">
        <v>1598</v>
      </c>
      <c r="C378">
        <v>11186</v>
      </c>
      <c r="D378">
        <v>894.88</v>
      </c>
    </row>
    <row r="379" spans="1:4" x14ac:dyDescent="0.3">
      <c r="A379" t="s">
        <v>47</v>
      </c>
      <c r="B379">
        <v>2409</v>
      </c>
      <c r="C379">
        <v>16863</v>
      </c>
      <c r="D379">
        <v>1349.04</v>
      </c>
    </row>
    <row r="380" spans="1:4" x14ac:dyDescent="0.3">
      <c r="A380" t="s">
        <v>47</v>
      </c>
      <c r="B380">
        <v>1934</v>
      </c>
      <c r="C380">
        <v>38680</v>
      </c>
      <c r="D380">
        <v>3094.4</v>
      </c>
    </row>
    <row r="381" spans="1:4" x14ac:dyDescent="0.3">
      <c r="A381" t="s">
        <v>47</v>
      </c>
      <c r="B381">
        <v>2993</v>
      </c>
      <c r="C381">
        <v>59860</v>
      </c>
      <c r="D381">
        <v>4788.8</v>
      </c>
    </row>
    <row r="382" spans="1:4" x14ac:dyDescent="0.3">
      <c r="A382" t="s">
        <v>47</v>
      </c>
      <c r="B382">
        <v>2146</v>
      </c>
      <c r="C382">
        <v>751100</v>
      </c>
      <c r="D382">
        <v>60088</v>
      </c>
    </row>
    <row r="383" spans="1:4" x14ac:dyDescent="0.3">
      <c r="A383" t="s">
        <v>47</v>
      </c>
      <c r="B383">
        <v>1946</v>
      </c>
      <c r="C383">
        <v>13622</v>
      </c>
      <c r="D383">
        <v>1089.76</v>
      </c>
    </row>
    <row r="384" spans="1:4" x14ac:dyDescent="0.3">
      <c r="A384" t="s">
        <v>47</v>
      </c>
      <c r="B384">
        <v>1362</v>
      </c>
      <c r="C384">
        <v>476700</v>
      </c>
      <c r="D384">
        <v>38136</v>
      </c>
    </row>
    <row r="385" spans="1:4" x14ac:dyDescent="0.3">
      <c r="A385" t="s">
        <v>47</v>
      </c>
      <c r="B385">
        <v>598</v>
      </c>
      <c r="C385">
        <v>7176</v>
      </c>
      <c r="D385">
        <v>574.08000000000004</v>
      </c>
    </row>
    <row r="386" spans="1:4" x14ac:dyDescent="0.3">
      <c r="A386" t="s">
        <v>47</v>
      </c>
      <c r="B386">
        <v>2907</v>
      </c>
      <c r="C386">
        <v>20349</v>
      </c>
      <c r="D386">
        <v>1627.92</v>
      </c>
    </row>
    <row r="387" spans="1:4" x14ac:dyDescent="0.3">
      <c r="A387" t="s">
        <v>47</v>
      </c>
      <c r="B387">
        <v>2338</v>
      </c>
      <c r="C387">
        <v>16366</v>
      </c>
      <c r="D387">
        <v>1309.28</v>
      </c>
    </row>
    <row r="388" spans="1:4" x14ac:dyDescent="0.3">
      <c r="A388" t="s">
        <v>47</v>
      </c>
      <c r="B388">
        <v>386</v>
      </c>
      <c r="C388">
        <v>115800</v>
      </c>
      <c r="D388">
        <v>9264</v>
      </c>
    </row>
    <row r="389" spans="1:4" x14ac:dyDescent="0.3">
      <c r="A389" t="s">
        <v>47</v>
      </c>
      <c r="B389">
        <v>635</v>
      </c>
      <c r="C389">
        <v>190500</v>
      </c>
      <c r="D389">
        <v>15240</v>
      </c>
    </row>
    <row r="390" spans="1:4" x14ac:dyDescent="0.3">
      <c r="A390" t="s">
        <v>47</v>
      </c>
      <c r="B390">
        <v>574.5</v>
      </c>
      <c r="C390">
        <v>201075</v>
      </c>
      <c r="D390">
        <v>16086</v>
      </c>
    </row>
    <row r="391" spans="1:4" x14ac:dyDescent="0.3">
      <c r="A391" t="s">
        <v>47</v>
      </c>
      <c r="B391">
        <v>2338</v>
      </c>
      <c r="C391">
        <v>16366</v>
      </c>
      <c r="D391">
        <v>1309.28</v>
      </c>
    </row>
    <row r="392" spans="1:4" x14ac:dyDescent="0.3">
      <c r="A392" t="s">
        <v>47</v>
      </c>
      <c r="B392">
        <v>381</v>
      </c>
      <c r="C392">
        <v>133350</v>
      </c>
      <c r="D392">
        <v>10668</v>
      </c>
    </row>
    <row r="393" spans="1:4" x14ac:dyDescent="0.3">
      <c r="A393" t="s">
        <v>47</v>
      </c>
      <c r="B393">
        <v>422</v>
      </c>
      <c r="C393">
        <v>147700</v>
      </c>
      <c r="D393">
        <v>11816</v>
      </c>
    </row>
    <row r="394" spans="1:4" x14ac:dyDescent="0.3">
      <c r="A394" t="s">
        <v>47</v>
      </c>
      <c r="B394">
        <v>2134</v>
      </c>
      <c r="C394">
        <v>640200</v>
      </c>
      <c r="D394">
        <v>51216</v>
      </c>
    </row>
    <row r="395" spans="1:4" x14ac:dyDescent="0.3">
      <c r="A395" t="s">
        <v>47</v>
      </c>
      <c r="B395">
        <v>808</v>
      </c>
      <c r="C395">
        <v>242400</v>
      </c>
      <c r="D395">
        <v>19392</v>
      </c>
    </row>
    <row r="396" spans="1:4" x14ac:dyDescent="0.3">
      <c r="A396" t="s">
        <v>47</v>
      </c>
      <c r="B396">
        <v>708</v>
      </c>
      <c r="C396">
        <v>14160</v>
      </c>
      <c r="D396">
        <v>1132.8</v>
      </c>
    </row>
    <row r="397" spans="1:4" x14ac:dyDescent="0.3">
      <c r="A397" t="s">
        <v>47</v>
      </c>
      <c r="B397">
        <v>2907</v>
      </c>
      <c r="C397">
        <v>20349</v>
      </c>
      <c r="D397">
        <v>1627.92</v>
      </c>
    </row>
    <row r="398" spans="1:4" x14ac:dyDescent="0.3">
      <c r="A398" t="s">
        <v>47</v>
      </c>
      <c r="B398">
        <v>1366</v>
      </c>
      <c r="C398">
        <v>27320</v>
      </c>
      <c r="D398">
        <v>2185.6</v>
      </c>
    </row>
    <row r="399" spans="1:4" x14ac:dyDescent="0.3">
      <c r="A399" t="s">
        <v>47</v>
      </c>
      <c r="B399">
        <v>2460</v>
      </c>
      <c r="C399">
        <v>738000</v>
      </c>
      <c r="D399">
        <v>59040</v>
      </c>
    </row>
    <row r="400" spans="1:4" x14ac:dyDescent="0.3">
      <c r="A400" t="s">
        <v>47</v>
      </c>
      <c r="B400">
        <v>1520</v>
      </c>
      <c r="C400">
        <v>30400</v>
      </c>
      <c r="D400">
        <v>2432</v>
      </c>
    </row>
    <row r="401" spans="1:4" x14ac:dyDescent="0.3">
      <c r="A401" t="s">
        <v>47</v>
      </c>
      <c r="B401">
        <v>711</v>
      </c>
      <c r="C401">
        <v>10665</v>
      </c>
      <c r="D401">
        <v>853.2</v>
      </c>
    </row>
    <row r="402" spans="1:4" x14ac:dyDescent="0.3">
      <c r="A402" t="s">
        <v>47</v>
      </c>
      <c r="B402">
        <v>1375</v>
      </c>
      <c r="C402">
        <v>16500</v>
      </c>
      <c r="D402">
        <v>1320</v>
      </c>
    </row>
    <row r="403" spans="1:4" x14ac:dyDescent="0.3">
      <c r="A403" t="s">
        <v>47</v>
      </c>
      <c r="B403">
        <v>635</v>
      </c>
      <c r="C403">
        <v>190500</v>
      </c>
      <c r="D403">
        <v>15240</v>
      </c>
    </row>
    <row r="404" spans="1:4" x14ac:dyDescent="0.3">
      <c r="A404" t="s">
        <v>47</v>
      </c>
      <c r="B404">
        <v>436.5</v>
      </c>
      <c r="C404">
        <v>8730</v>
      </c>
      <c r="D404">
        <v>698.4</v>
      </c>
    </row>
    <row r="405" spans="1:4" x14ac:dyDescent="0.3">
      <c r="A405" t="s">
        <v>47</v>
      </c>
      <c r="B405">
        <v>1094</v>
      </c>
      <c r="C405">
        <v>328200</v>
      </c>
      <c r="D405">
        <v>29538</v>
      </c>
    </row>
    <row r="406" spans="1:4" x14ac:dyDescent="0.3">
      <c r="A406" t="s">
        <v>47</v>
      </c>
      <c r="B406">
        <v>367</v>
      </c>
      <c r="C406">
        <v>4404</v>
      </c>
      <c r="D406">
        <v>396.36</v>
      </c>
    </row>
    <row r="407" spans="1:4" x14ac:dyDescent="0.3">
      <c r="A407" t="s">
        <v>47</v>
      </c>
      <c r="B407">
        <v>3802.5</v>
      </c>
      <c r="C407">
        <v>1140750</v>
      </c>
      <c r="D407">
        <v>102667.5</v>
      </c>
    </row>
    <row r="408" spans="1:4" x14ac:dyDescent="0.3">
      <c r="A408" t="s">
        <v>47</v>
      </c>
      <c r="B408">
        <v>1666</v>
      </c>
      <c r="C408">
        <v>583100</v>
      </c>
      <c r="D408">
        <v>52479</v>
      </c>
    </row>
    <row r="409" spans="1:4" x14ac:dyDescent="0.3">
      <c r="A409" t="s">
        <v>47</v>
      </c>
      <c r="B409">
        <v>322</v>
      </c>
      <c r="C409">
        <v>96600</v>
      </c>
      <c r="D409">
        <v>8694</v>
      </c>
    </row>
    <row r="410" spans="1:4" x14ac:dyDescent="0.3">
      <c r="A410" t="s">
        <v>47</v>
      </c>
      <c r="B410">
        <v>2321</v>
      </c>
      <c r="C410">
        <v>27852</v>
      </c>
      <c r="D410">
        <v>2506.6799999999998</v>
      </c>
    </row>
    <row r="411" spans="1:4" x14ac:dyDescent="0.3">
      <c r="A411" t="s">
        <v>47</v>
      </c>
      <c r="B411">
        <v>1857</v>
      </c>
      <c r="C411">
        <v>232125</v>
      </c>
      <c r="D411">
        <v>20891.25</v>
      </c>
    </row>
    <row r="412" spans="1:4" x14ac:dyDescent="0.3">
      <c r="A412" t="s">
        <v>47</v>
      </c>
      <c r="B412">
        <v>1611</v>
      </c>
      <c r="C412">
        <v>11277</v>
      </c>
      <c r="D412">
        <v>1014.93</v>
      </c>
    </row>
    <row r="413" spans="1:4" x14ac:dyDescent="0.3">
      <c r="A413" t="s">
        <v>47</v>
      </c>
      <c r="B413">
        <v>2797</v>
      </c>
      <c r="C413">
        <v>349625</v>
      </c>
      <c r="D413">
        <v>31466.25</v>
      </c>
    </row>
    <row r="414" spans="1:4" x14ac:dyDescent="0.3">
      <c r="A414" t="s">
        <v>47</v>
      </c>
      <c r="B414">
        <v>334</v>
      </c>
      <c r="C414">
        <v>100200</v>
      </c>
      <c r="D414">
        <v>9018</v>
      </c>
    </row>
    <row r="415" spans="1:4" x14ac:dyDescent="0.3">
      <c r="A415" t="s">
        <v>47</v>
      </c>
      <c r="B415">
        <v>2565</v>
      </c>
      <c r="C415">
        <v>769500</v>
      </c>
      <c r="D415">
        <v>69255</v>
      </c>
    </row>
    <row r="416" spans="1:4" x14ac:dyDescent="0.3">
      <c r="A416" t="s">
        <v>47</v>
      </c>
      <c r="B416">
        <v>2417</v>
      </c>
      <c r="C416">
        <v>845950</v>
      </c>
      <c r="D416">
        <v>76135.5</v>
      </c>
    </row>
    <row r="417" spans="1:4" x14ac:dyDescent="0.3">
      <c r="A417" t="s">
        <v>47</v>
      </c>
      <c r="B417">
        <v>3675</v>
      </c>
      <c r="C417">
        <v>55125</v>
      </c>
      <c r="D417">
        <v>4961.25</v>
      </c>
    </row>
    <row r="418" spans="1:4" x14ac:dyDescent="0.3">
      <c r="A418" t="s">
        <v>47</v>
      </c>
      <c r="B418">
        <v>1094</v>
      </c>
      <c r="C418">
        <v>328200</v>
      </c>
      <c r="D418">
        <v>29538</v>
      </c>
    </row>
    <row r="419" spans="1:4" x14ac:dyDescent="0.3">
      <c r="A419" t="s">
        <v>47</v>
      </c>
      <c r="B419">
        <v>1227</v>
      </c>
      <c r="C419">
        <v>18405</v>
      </c>
      <c r="D419">
        <v>1656.45</v>
      </c>
    </row>
    <row r="420" spans="1:4" x14ac:dyDescent="0.3">
      <c r="A420" t="s">
        <v>47</v>
      </c>
      <c r="B420">
        <v>367</v>
      </c>
      <c r="C420">
        <v>4404</v>
      </c>
      <c r="D420">
        <v>396.36</v>
      </c>
    </row>
    <row r="421" spans="1:4" x14ac:dyDescent="0.3">
      <c r="A421" t="s">
        <v>47</v>
      </c>
      <c r="B421">
        <v>1324</v>
      </c>
      <c r="C421">
        <v>397200</v>
      </c>
      <c r="D421">
        <v>35748</v>
      </c>
    </row>
    <row r="422" spans="1:4" x14ac:dyDescent="0.3">
      <c r="A422" t="s">
        <v>47</v>
      </c>
      <c r="B422">
        <v>1775</v>
      </c>
      <c r="C422">
        <v>21300</v>
      </c>
      <c r="D422">
        <v>1917</v>
      </c>
    </row>
    <row r="423" spans="1:4" x14ac:dyDescent="0.3">
      <c r="A423" t="s">
        <v>47</v>
      </c>
      <c r="B423">
        <v>2797</v>
      </c>
      <c r="C423">
        <v>349625</v>
      </c>
      <c r="D423">
        <v>31466.25</v>
      </c>
    </row>
    <row r="424" spans="1:4" x14ac:dyDescent="0.3">
      <c r="A424" t="s">
        <v>47</v>
      </c>
      <c r="B424">
        <v>245</v>
      </c>
      <c r="C424">
        <v>3675</v>
      </c>
      <c r="D424">
        <v>330.75</v>
      </c>
    </row>
    <row r="425" spans="1:4" x14ac:dyDescent="0.3">
      <c r="A425" t="s">
        <v>47</v>
      </c>
      <c r="B425">
        <v>3793.5</v>
      </c>
      <c r="C425">
        <v>1138050</v>
      </c>
      <c r="D425">
        <v>102424.5</v>
      </c>
    </row>
    <row r="426" spans="1:4" x14ac:dyDescent="0.3">
      <c r="A426" t="s">
        <v>47</v>
      </c>
      <c r="B426">
        <v>1307</v>
      </c>
      <c r="C426">
        <v>457450</v>
      </c>
      <c r="D426">
        <v>41170.5</v>
      </c>
    </row>
    <row r="427" spans="1:4" x14ac:dyDescent="0.3">
      <c r="A427" t="s">
        <v>47</v>
      </c>
      <c r="B427">
        <v>567</v>
      </c>
      <c r="C427">
        <v>70875</v>
      </c>
      <c r="D427">
        <v>6378.75</v>
      </c>
    </row>
    <row r="428" spans="1:4" x14ac:dyDescent="0.3">
      <c r="A428" t="s">
        <v>47</v>
      </c>
      <c r="B428">
        <v>2110</v>
      </c>
      <c r="C428">
        <v>263750</v>
      </c>
      <c r="D428">
        <v>23737.5</v>
      </c>
    </row>
    <row r="429" spans="1:4" x14ac:dyDescent="0.3">
      <c r="A429" t="s">
        <v>47</v>
      </c>
      <c r="B429">
        <v>1269</v>
      </c>
      <c r="C429">
        <v>444150</v>
      </c>
      <c r="D429">
        <v>39973.5</v>
      </c>
    </row>
    <row r="430" spans="1:4" x14ac:dyDescent="0.3">
      <c r="A430" t="s">
        <v>47</v>
      </c>
      <c r="B430">
        <v>1956</v>
      </c>
      <c r="C430">
        <v>23472</v>
      </c>
      <c r="D430">
        <v>2112.48</v>
      </c>
    </row>
    <row r="431" spans="1:4" x14ac:dyDescent="0.3">
      <c r="A431" t="s">
        <v>47</v>
      </c>
      <c r="B431">
        <v>2659</v>
      </c>
      <c r="C431">
        <v>797700</v>
      </c>
      <c r="D431">
        <v>71793</v>
      </c>
    </row>
    <row r="432" spans="1:4" x14ac:dyDescent="0.3">
      <c r="A432" t="s">
        <v>47</v>
      </c>
      <c r="B432">
        <v>1351.5</v>
      </c>
      <c r="C432">
        <v>473025</v>
      </c>
      <c r="D432">
        <v>42572.25</v>
      </c>
    </row>
    <row r="433" spans="1:4" x14ac:dyDescent="0.3">
      <c r="A433" t="s">
        <v>47</v>
      </c>
      <c r="B433">
        <v>880</v>
      </c>
      <c r="C433">
        <v>10560</v>
      </c>
      <c r="D433">
        <v>950.4</v>
      </c>
    </row>
    <row r="434" spans="1:4" x14ac:dyDescent="0.3">
      <c r="A434" t="s">
        <v>47</v>
      </c>
      <c r="B434">
        <v>1867</v>
      </c>
      <c r="C434">
        <v>560100</v>
      </c>
      <c r="D434">
        <v>50409</v>
      </c>
    </row>
    <row r="435" spans="1:4" x14ac:dyDescent="0.3">
      <c r="A435" t="s">
        <v>47</v>
      </c>
      <c r="B435">
        <v>2234</v>
      </c>
      <c r="C435">
        <v>26808</v>
      </c>
      <c r="D435">
        <v>2412.7199999999998</v>
      </c>
    </row>
    <row r="436" spans="1:4" x14ac:dyDescent="0.3">
      <c r="A436" t="s">
        <v>47</v>
      </c>
      <c r="B436">
        <v>1227</v>
      </c>
      <c r="C436">
        <v>18405</v>
      </c>
      <c r="D436">
        <v>1656.45</v>
      </c>
    </row>
    <row r="437" spans="1:4" x14ac:dyDescent="0.3">
      <c r="A437" t="s">
        <v>47</v>
      </c>
      <c r="B437">
        <v>877</v>
      </c>
      <c r="C437">
        <v>109625</v>
      </c>
      <c r="D437">
        <v>9866.25</v>
      </c>
    </row>
    <row r="438" spans="1:4" x14ac:dyDescent="0.3">
      <c r="A438" t="s">
        <v>47</v>
      </c>
      <c r="B438">
        <v>2071</v>
      </c>
      <c r="C438">
        <v>724850</v>
      </c>
      <c r="D438">
        <v>65236.5</v>
      </c>
    </row>
    <row r="439" spans="1:4" x14ac:dyDescent="0.3">
      <c r="A439" t="s">
        <v>47</v>
      </c>
      <c r="B439">
        <v>1269</v>
      </c>
      <c r="C439">
        <v>444150</v>
      </c>
      <c r="D439">
        <v>39973.5</v>
      </c>
    </row>
    <row r="440" spans="1:4" x14ac:dyDescent="0.3">
      <c r="A440" t="s">
        <v>47</v>
      </c>
      <c r="B440">
        <v>970</v>
      </c>
      <c r="C440">
        <v>14550</v>
      </c>
      <c r="D440">
        <v>1309.5</v>
      </c>
    </row>
    <row r="441" spans="1:4" x14ac:dyDescent="0.3">
      <c r="A441" t="s">
        <v>47</v>
      </c>
      <c r="B441">
        <v>1694</v>
      </c>
      <c r="C441">
        <v>33880</v>
      </c>
      <c r="D441">
        <v>3049.2</v>
      </c>
    </row>
    <row r="442" spans="1:4" x14ac:dyDescent="0.3">
      <c r="A442" t="s">
        <v>47</v>
      </c>
      <c r="B442">
        <v>663</v>
      </c>
      <c r="C442">
        <v>13260</v>
      </c>
      <c r="D442">
        <v>1193.4000000000001</v>
      </c>
    </row>
    <row r="443" spans="1:4" x14ac:dyDescent="0.3">
      <c r="A443" t="s">
        <v>47</v>
      </c>
      <c r="B443">
        <v>819</v>
      </c>
      <c r="C443">
        <v>5733</v>
      </c>
      <c r="D443">
        <v>515.97</v>
      </c>
    </row>
    <row r="444" spans="1:4" x14ac:dyDescent="0.3">
      <c r="A444" t="s">
        <v>47</v>
      </c>
      <c r="B444">
        <v>1580</v>
      </c>
      <c r="C444">
        <v>18960</v>
      </c>
      <c r="D444">
        <v>1706.4</v>
      </c>
    </row>
    <row r="445" spans="1:4" x14ac:dyDescent="0.3">
      <c r="A445" t="s">
        <v>47</v>
      </c>
      <c r="B445">
        <v>521</v>
      </c>
      <c r="C445">
        <v>3647</v>
      </c>
      <c r="D445">
        <v>328.23</v>
      </c>
    </row>
    <row r="446" spans="1:4" x14ac:dyDescent="0.3">
      <c r="A446" t="s">
        <v>47</v>
      </c>
      <c r="B446">
        <v>973</v>
      </c>
      <c r="C446">
        <v>19460</v>
      </c>
      <c r="D446">
        <v>1751.4</v>
      </c>
    </row>
    <row r="447" spans="1:4" x14ac:dyDescent="0.3">
      <c r="A447" t="s">
        <v>47</v>
      </c>
      <c r="B447">
        <v>1038</v>
      </c>
      <c r="C447">
        <v>20760</v>
      </c>
      <c r="D447">
        <v>1868.4</v>
      </c>
    </row>
    <row r="448" spans="1:4" x14ac:dyDescent="0.3">
      <c r="A448" t="s">
        <v>47</v>
      </c>
      <c r="B448">
        <v>360</v>
      </c>
      <c r="C448">
        <v>2520</v>
      </c>
      <c r="D448">
        <v>226.8</v>
      </c>
    </row>
    <row r="449" spans="1:4" x14ac:dyDescent="0.3">
      <c r="A449" t="s">
        <v>47</v>
      </c>
      <c r="B449">
        <v>1967</v>
      </c>
      <c r="C449">
        <v>23604</v>
      </c>
      <c r="D449">
        <v>2124.36</v>
      </c>
    </row>
    <row r="450" spans="1:4" x14ac:dyDescent="0.3">
      <c r="A450" t="s">
        <v>47</v>
      </c>
      <c r="B450">
        <v>2628</v>
      </c>
      <c r="C450">
        <v>39420</v>
      </c>
      <c r="D450">
        <v>3547.8</v>
      </c>
    </row>
    <row r="451" spans="1:4" x14ac:dyDescent="0.3">
      <c r="A451" t="s">
        <v>47</v>
      </c>
      <c r="B451">
        <v>360</v>
      </c>
      <c r="C451">
        <v>2520</v>
      </c>
      <c r="D451">
        <v>226.8</v>
      </c>
    </row>
    <row r="452" spans="1:4" x14ac:dyDescent="0.3">
      <c r="A452" t="s">
        <v>47</v>
      </c>
      <c r="B452">
        <v>2682</v>
      </c>
      <c r="C452">
        <v>53640</v>
      </c>
      <c r="D452">
        <v>4827.6000000000004</v>
      </c>
    </row>
    <row r="453" spans="1:4" x14ac:dyDescent="0.3">
      <c r="A453" t="s">
        <v>47</v>
      </c>
      <c r="B453">
        <v>521</v>
      </c>
      <c r="C453">
        <v>3647</v>
      </c>
      <c r="D453">
        <v>328.23</v>
      </c>
    </row>
    <row r="454" spans="1:4" x14ac:dyDescent="0.3">
      <c r="A454" t="s">
        <v>47</v>
      </c>
      <c r="B454">
        <v>1038</v>
      </c>
      <c r="C454">
        <v>20760</v>
      </c>
      <c r="D454">
        <v>1868.4</v>
      </c>
    </row>
    <row r="455" spans="1:4" x14ac:dyDescent="0.3">
      <c r="A455" t="s">
        <v>47</v>
      </c>
      <c r="B455">
        <v>1630.5</v>
      </c>
      <c r="C455">
        <v>24457.5</v>
      </c>
      <c r="D455">
        <v>2201.1799999999998</v>
      </c>
    </row>
    <row r="456" spans="1:4" x14ac:dyDescent="0.3">
      <c r="A456" t="s">
        <v>47</v>
      </c>
      <c r="B456">
        <v>306</v>
      </c>
      <c r="C456">
        <v>3672</v>
      </c>
      <c r="D456">
        <v>330.48</v>
      </c>
    </row>
    <row r="457" spans="1:4" x14ac:dyDescent="0.3">
      <c r="A457" t="s">
        <v>48</v>
      </c>
      <c r="B457">
        <v>386</v>
      </c>
      <c r="C457">
        <v>4632</v>
      </c>
      <c r="D457">
        <v>463.2</v>
      </c>
    </row>
    <row r="458" spans="1:4" x14ac:dyDescent="0.3">
      <c r="A458" t="s">
        <v>48</v>
      </c>
      <c r="B458">
        <v>2328</v>
      </c>
      <c r="C458">
        <v>16296</v>
      </c>
      <c r="D458">
        <v>1629.6</v>
      </c>
    </row>
    <row r="459" spans="1:4" x14ac:dyDescent="0.3">
      <c r="A459" t="s">
        <v>48</v>
      </c>
      <c r="B459">
        <v>386</v>
      </c>
      <c r="C459">
        <v>4632</v>
      </c>
      <c r="D459">
        <v>463.2</v>
      </c>
    </row>
    <row r="460" spans="1:4" x14ac:dyDescent="0.3">
      <c r="A460" t="s">
        <v>48</v>
      </c>
      <c r="B460">
        <v>3445.5</v>
      </c>
      <c r="C460">
        <v>430687.5</v>
      </c>
      <c r="D460">
        <v>43068.75</v>
      </c>
    </row>
    <row r="461" spans="1:4" x14ac:dyDescent="0.3">
      <c r="A461" t="s">
        <v>48</v>
      </c>
      <c r="B461">
        <v>1482</v>
      </c>
      <c r="C461">
        <v>185250</v>
      </c>
      <c r="D461">
        <v>18525</v>
      </c>
    </row>
    <row r="462" spans="1:4" x14ac:dyDescent="0.3">
      <c r="A462" t="s">
        <v>48</v>
      </c>
      <c r="B462">
        <v>2313</v>
      </c>
      <c r="C462">
        <v>809550</v>
      </c>
      <c r="D462">
        <v>80955</v>
      </c>
    </row>
    <row r="463" spans="1:4" x14ac:dyDescent="0.3">
      <c r="A463" t="s">
        <v>48</v>
      </c>
      <c r="B463">
        <v>1804</v>
      </c>
      <c r="C463">
        <v>225500</v>
      </c>
      <c r="D463">
        <v>22550</v>
      </c>
    </row>
    <row r="464" spans="1:4" x14ac:dyDescent="0.3">
      <c r="A464" t="s">
        <v>48</v>
      </c>
      <c r="B464">
        <v>2072</v>
      </c>
      <c r="C464">
        <v>31080</v>
      </c>
      <c r="D464">
        <v>3108</v>
      </c>
    </row>
    <row r="465" spans="1:4" x14ac:dyDescent="0.3">
      <c r="A465" t="s">
        <v>48</v>
      </c>
      <c r="B465">
        <v>1954</v>
      </c>
      <c r="C465">
        <v>39080</v>
      </c>
      <c r="D465">
        <v>3908</v>
      </c>
    </row>
    <row r="466" spans="1:4" x14ac:dyDescent="0.3">
      <c r="A466" t="s">
        <v>48</v>
      </c>
      <c r="B466">
        <v>591</v>
      </c>
      <c r="C466">
        <v>177300</v>
      </c>
      <c r="D466">
        <v>17730</v>
      </c>
    </row>
    <row r="467" spans="1:4" x14ac:dyDescent="0.3">
      <c r="A467" t="s">
        <v>48</v>
      </c>
      <c r="B467">
        <v>2167</v>
      </c>
      <c r="C467">
        <v>32505</v>
      </c>
      <c r="D467">
        <v>3250.5</v>
      </c>
    </row>
    <row r="468" spans="1:4" x14ac:dyDescent="0.3">
      <c r="A468" t="s">
        <v>48</v>
      </c>
      <c r="B468">
        <v>241</v>
      </c>
      <c r="C468">
        <v>4820</v>
      </c>
      <c r="D468">
        <v>482</v>
      </c>
    </row>
    <row r="469" spans="1:4" x14ac:dyDescent="0.3">
      <c r="A469" t="s">
        <v>48</v>
      </c>
      <c r="B469">
        <v>681</v>
      </c>
      <c r="C469">
        <v>10215</v>
      </c>
      <c r="D469">
        <v>1021.5</v>
      </c>
    </row>
    <row r="470" spans="1:4" x14ac:dyDescent="0.3">
      <c r="A470" t="s">
        <v>48</v>
      </c>
      <c r="B470">
        <v>510</v>
      </c>
      <c r="C470">
        <v>7650</v>
      </c>
      <c r="D470">
        <v>765</v>
      </c>
    </row>
    <row r="471" spans="1:4" x14ac:dyDescent="0.3">
      <c r="A471" t="s">
        <v>48</v>
      </c>
      <c r="B471">
        <v>790</v>
      </c>
      <c r="C471">
        <v>11850</v>
      </c>
      <c r="D471">
        <v>1185</v>
      </c>
    </row>
    <row r="472" spans="1:4" x14ac:dyDescent="0.3">
      <c r="A472" t="s">
        <v>48</v>
      </c>
      <c r="B472">
        <v>639</v>
      </c>
      <c r="C472">
        <v>223650</v>
      </c>
      <c r="D472">
        <v>22365</v>
      </c>
    </row>
    <row r="473" spans="1:4" x14ac:dyDescent="0.3">
      <c r="A473" t="s">
        <v>48</v>
      </c>
      <c r="B473">
        <v>1596</v>
      </c>
      <c r="C473">
        <v>199500</v>
      </c>
      <c r="D473">
        <v>19950</v>
      </c>
    </row>
    <row r="474" spans="1:4" x14ac:dyDescent="0.3">
      <c r="A474" t="s">
        <v>48</v>
      </c>
      <c r="B474">
        <v>2294</v>
      </c>
      <c r="C474">
        <v>688200</v>
      </c>
      <c r="D474">
        <v>68820</v>
      </c>
    </row>
    <row r="475" spans="1:4" x14ac:dyDescent="0.3">
      <c r="A475" t="s">
        <v>48</v>
      </c>
      <c r="B475">
        <v>241</v>
      </c>
      <c r="C475">
        <v>4820</v>
      </c>
      <c r="D475">
        <v>482</v>
      </c>
    </row>
    <row r="476" spans="1:4" x14ac:dyDescent="0.3">
      <c r="A476" t="s">
        <v>48</v>
      </c>
      <c r="B476">
        <v>2665</v>
      </c>
      <c r="C476">
        <v>18655</v>
      </c>
      <c r="D476">
        <v>1865.5</v>
      </c>
    </row>
    <row r="477" spans="1:4" x14ac:dyDescent="0.3">
      <c r="A477" t="s">
        <v>48</v>
      </c>
      <c r="B477">
        <v>1916</v>
      </c>
      <c r="C477">
        <v>239500</v>
      </c>
      <c r="D477">
        <v>23950</v>
      </c>
    </row>
    <row r="478" spans="1:4" x14ac:dyDescent="0.3">
      <c r="A478" t="s">
        <v>48</v>
      </c>
      <c r="B478">
        <v>853</v>
      </c>
      <c r="C478">
        <v>255900</v>
      </c>
      <c r="D478">
        <v>25590</v>
      </c>
    </row>
    <row r="479" spans="1:4" x14ac:dyDescent="0.3">
      <c r="A479" t="s">
        <v>48</v>
      </c>
      <c r="B479">
        <v>341</v>
      </c>
      <c r="C479">
        <v>42625</v>
      </c>
      <c r="D479">
        <v>4262.5</v>
      </c>
    </row>
    <row r="480" spans="1:4" x14ac:dyDescent="0.3">
      <c r="A480" t="s">
        <v>48</v>
      </c>
      <c r="B480">
        <v>641</v>
      </c>
      <c r="C480">
        <v>9615</v>
      </c>
      <c r="D480">
        <v>961.5</v>
      </c>
    </row>
    <row r="481" spans="1:4" x14ac:dyDescent="0.3">
      <c r="A481" t="s">
        <v>48</v>
      </c>
      <c r="B481">
        <v>2807</v>
      </c>
      <c r="C481">
        <v>982450</v>
      </c>
      <c r="D481">
        <v>98245</v>
      </c>
    </row>
    <row r="482" spans="1:4" x14ac:dyDescent="0.3">
      <c r="A482" t="s">
        <v>48</v>
      </c>
      <c r="B482">
        <v>432</v>
      </c>
      <c r="C482">
        <v>129600</v>
      </c>
      <c r="D482">
        <v>12960</v>
      </c>
    </row>
    <row r="483" spans="1:4" x14ac:dyDescent="0.3">
      <c r="A483" t="s">
        <v>48</v>
      </c>
      <c r="B483">
        <v>2294</v>
      </c>
      <c r="C483">
        <v>688200</v>
      </c>
      <c r="D483">
        <v>68820</v>
      </c>
    </row>
    <row r="484" spans="1:4" x14ac:dyDescent="0.3">
      <c r="A484" t="s">
        <v>48</v>
      </c>
      <c r="B484">
        <v>2167</v>
      </c>
      <c r="C484">
        <v>32505</v>
      </c>
      <c r="D484">
        <v>3250.5</v>
      </c>
    </row>
    <row r="485" spans="1:4" x14ac:dyDescent="0.3">
      <c r="A485" t="s">
        <v>48</v>
      </c>
      <c r="B485">
        <v>2529</v>
      </c>
      <c r="C485">
        <v>316125</v>
      </c>
      <c r="D485">
        <v>31612.5</v>
      </c>
    </row>
    <row r="486" spans="1:4" x14ac:dyDescent="0.3">
      <c r="A486" t="s">
        <v>48</v>
      </c>
      <c r="B486">
        <v>1870</v>
      </c>
      <c r="C486">
        <v>654500</v>
      </c>
      <c r="D486">
        <v>65450</v>
      </c>
    </row>
    <row r="487" spans="1:4" x14ac:dyDescent="0.3">
      <c r="A487" t="s">
        <v>48</v>
      </c>
      <c r="B487">
        <v>579</v>
      </c>
      <c r="C487">
        <v>72375</v>
      </c>
      <c r="D487">
        <v>7237.5</v>
      </c>
    </row>
    <row r="488" spans="1:4" x14ac:dyDescent="0.3">
      <c r="A488" t="s">
        <v>48</v>
      </c>
      <c r="B488">
        <v>2240</v>
      </c>
      <c r="C488">
        <v>784000</v>
      </c>
      <c r="D488">
        <v>78400</v>
      </c>
    </row>
    <row r="489" spans="1:4" x14ac:dyDescent="0.3">
      <c r="A489" t="s">
        <v>48</v>
      </c>
      <c r="B489">
        <v>2993</v>
      </c>
      <c r="C489">
        <v>897900</v>
      </c>
      <c r="D489">
        <v>89790</v>
      </c>
    </row>
    <row r="490" spans="1:4" x14ac:dyDescent="0.3">
      <c r="A490" t="s">
        <v>48</v>
      </c>
      <c r="B490">
        <v>3520.5</v>
      </c>
      <c r="C490">
        <v>42246</v>
      </c>
      <c r="D490">
        <v>4224.6000000000004</v>
      </c>
    </row>
    <row r="491" spans="1:4" x14ac:dyDescent="0.3">
      <c r="A491" t="s">
        <v>48</v>
      </c>
      <c r="B491">
        <v>2039</v>
      </c>
      <c r="C491">
        <v>40780</v>
      </c>
      <c r="D491">
        <v>4078</v>
      </c>
    </row>
    <row r="492" spans="1:4" x14ac:dyDescent="0.3">
      <c r="A492" t="s">
        <v>48</v>
      </c>
      <c r="B492">
        <v>2574</v>
      </c>
      <c r="C492">
        <v>30888</v>
      </c>
      <c r="D492">
        <v>3088.8</v>
      </c>
    </row>
    <row r="493" spans="1:4" x14ac:dyDescent="0.3">
      <c r="A493" t="s">
        <v>48</v>
      </c>
      <c r="B493">
        <v>707</v>
      </c>
      <c r="C493">
        <v>247450</v>
      </c>
      <c r="D493">
        <v>24745</v>
      </c>
    </row>
    <row r="494" spans="1:4" x14ac:dyDescent="0.3">
      <c r="A494" t="s">
        <v>48</v>
      </c>
      <c r="B494">
        <v>2072</v>
      </c>
      <c r="C494">
        <v>31080</v>
      </c>
      <c r="D494">
        <v>3108</v>
      </c>
    </row>
    <row r="495" spans="1:4" x14ac:dyDescent="0.3">
      <c r="A495" t="s">
        <v>48</v>
      </c>
      <c r="B495">
        <v>853</v>
      </c>
      <c r="C495">
        <v>255900</v>
      </c>
      <c r="D495">
        <v>25590</v>
      </c>
    </row>
    <row r="496" spans="1:4" x14ac:dyDescent="0.3">
      <c r="A496" t="s">
        <v>48</v>
      </c>
      <c r="B496">
        <v>1198</v>
      </c>
      <c r="C496">
        <v>14376</v>
      </c>
      <c r="D496">
        <v>1581.36</v>
      </c>
    </row>
    <row r="497" spans="1:4" x14ac:dyDescent="0.3">
      <c r="A497" t="s">
        <v>48</v>
      </c>
      <c r="B497">
        <v>2532</v>
      </c>
      <c r="C497">
        <v>17724</v>
      </c>
      <c r="D497">
        <v>1949.64</v>
      </c>
    </row>
    <row r="498" spans="1:4" x14ac:dyDescent="0.3">
      <c r="A498" t="s">
        <v>48</v>
      </c>
      <c r="B498">
        <v>1198</v>
      </c>
      <c r="C498">
        <v>14376</v>
      </c>
      <c r="D498">
        <v>1581.36</v>
      </c>
    </row>
    <row r="499" spans="1:4" x14ac:dyDescent="0.3">
      <c r="A499" t="s">
        <v>48</v>
      </c>
      <c r="B499">
        <v>384</v>
      </c>
      <c r="C499">
        <v>5760</v>
      </c>
      <c r="D499">
        <v>633.6</v>
      </c>
    </row>
    <row r="500" spans="1:4" x14ac:dyDescent="0.3">
      <c r="A500" t="s">
        <v>48</v>
      </c>
      <c r="B500">
        <v>472</v>
      </c>
      <c r="C500">
        <v>5664</v>
      </c>
      <c r="D500">
        <v>623.04</v>
      </c>
    </row>
    <row r="501" spans="1:4" x14ac:dyDescent="0.3">
      <c r="A501" t="s">
        <v>48</v>
      </c>
      <c r="B501">
        <v>1579</v>
      </c>
      <c r="C501">
        <v>11053</v>
      </c>
      <c r="D501">
        <v>1215.83</v>
      </c>
    </row>
    <row r="502" spans="1:4" x14ac:dyDescent="0.3">
      <c r="A502" t="s">
        <v>48</v>
      </c>
      <c r="B502">
        <v>1005</v>
      </c>
      <c r="C502">
        <v>12060</v>
      </c>
      <c r="D502">
        <v>1326.6</v>
      </c>
    </row>
    <row r="503" spans="1:4" x14ac:dyDescent="0.3">
      <c r="A503" t="s">
        <v>48</v>
      </c>
      <c r="B503">
        <v>3199.5</v>
      </c>
      <c r="C503">
        <v>47992.5</v>
      </c>
      <c r="D503">
        <v>5279.18</v>
      </c>
    </row>
    <row r="504" spans="1:4" x14ac:dyDescent="0.3">
      <c r="A504" t="s">
        <v>48</v>
      </c>
      <c r="B504">
        <v>472</v>
      </c>
      <c r="C504">
        <v>5664</v>
      </c>
      <c r="D504">
        <v>623.04</v>
      </c>
    </row>
    <row r="505" spans="1:4" x14ac:dyDescent="0.3">
      <c r="A505" t="s">
        <v>48</v>
      </c>
      <c r="B505">
        <v>1937</v>
      </c>
      <c r="C505">
        <v>23244</v>
      </c>
      <c r="D505">
        <v>2556.84</v>
      </c>
    </row>
    <row r="506" spans="1:4" x14ac:dyDescent="0.3">
      <c r="A506" t="s">
        <v>48</v>
      </c>
      <c r="B506">
        <v>792</v>
      </c>
      <c r="C506">
        <v>277200</v>
      </c>
      <c r="D506">
        <v>30492</v>
      </c>
    </row>
    <row r="507" spans="1:4" x14ac:dyDescent="0.3">
      <c r="A507" t="s">
        <v>48</v>
      </c>
      <c r="B507">
        <v>2811</v>
      </c>
      <c r="C507">
        <v>843300</v>
      </c>
      <c r="D507">
        <v>92763</v>
      </c>
    </row>
    <row r="508" spans="1:4" x14ac:dyDescent="0.3">
      <c r="A508" t="s">
        <v>48</v>
      </c>
      <c r="B508">
        <v>2441</v>
      </c>
      <c r="C508">
        <v>305125</v>
      </c>
      <c r="D508">
        <v>33563.75</v>
      </c>
    </row>
    <row r="509" spans="1:4" x14ac:dyDescent="0.3">
      <c r="A509" t="s">
        <v>48</v>
      </c>
      <c r="B509">
        <v>1560</v>
      </c>
      <c r="C509">
        <v>23400</v>
      </c>
      <c r="D509">
        <v>2574</v>
      </c>
    </row>
    <row r="510" spans="1:4" x14ac:dyDescent="0.3">
      <c r="A510" t="s">
        <v>48</v>
      </c>
      <c r="B510">
        <v>2706</v>
      </c>
      <c r="C510">
        <v>18942</v>
      </c>
      <c r="D510">
        <v>2083.62</v>
      </c>
    </row>
    <row r="511" spans="1:4" x14ac:dyDescent="0.3">
      <c r="A511" t="s">
        <v>48</v>
      </c>
      <c r="B511">
        <v>766</v>
      </c>
      <c r="C511">
        <v>268100</v>
      </c>
      <c r="D511">
        <v>29491</v>
      </c>
    </row>
    <row r="512" spans="1:4" x14ac:dyDescent="0.3">
      <c r="A512" t="s">
        <v>48</v>
      </c>
      <c r="B512">
        <v>2992</v>
      </c>
      <c r="C512">
        <v>59840</v>
      </c>
      <c r="D512">
        <v>6582.4</v>
      </c>
    </row>
    <row r="513" spans="1:4" x14ac:dyDescent="0.3">
      <c r="A513" t="s">
        <v>48</v>
      </c>
      <c r="B513">
        <v>2157</v>
      </c>
      <c r="C513">
        <v>32355</v>
      </c>
      <c r="D513">
        <v>3559.05</v>
      </c>
    </row>
    <row r="514" spans="1:4" x14ac:dyDescent="0.3">
      <c r="A514" t="s">
        <v>48</v>
      </c>
      <c r="B514">
        <v>873</v>
      </c>
      <c r="C514">
        <v>261900</v>
      </c>
      <c r="D514">
        <v>28809</v>
      </c>
    </row>
    <row r="515" spans="1:4" x14ac:dyDescent="0.3">
      <c r="A515" t="s">
        <v>48</v>
      </c>
      <c r="B515">
        <v>1122</v>
      </c>
      <c r="C515">
        <v>22440</v>
      </c>
      <c r="D515">
        <v>2468.4</v>
      </c>
    </row>
    <row r="516" spans="1:4" x14ac:dyDescent="0.3">
      <c r="A516" t="s">
        <v>48</v>
      </c>
      <c r="B516">
        <v>2104.5</v>
      </c>
      <c r="C516">
        <v>736575</v>
      </c>
      <c r="D516">
        <v>81023.25</v>
      </c>
    </row>
    <row r="517" spans="1:4" x14ac:dyDescent="0.3">
      <c r="A517" t="s">
        <v>48</v>
      </c>
      <c r="B517">
        <v>4026</v>
      </c>
      <c r="C517">
        <v>48312</v>
      </c>
      <c r="D517">
        <v>5314.32</v>
      </c>
    </row>
    <row r="518" spans="1:4" x14ac:dyDescent="0.3">
      <c r="A518" t="s">
        <v>48</v>
      </c>
      <c r="B518">
        <v>2425.5</v>
      </c>
      <c r="C518">
        <v>29106</v>
      </c>
      <c r="D518">
        <v>3201.66</v>
      </c>
    </row>
    <row r="519" spans="1:4" x14ac:dyDescent="0.3">
      <c r="A519" t="s">
        <v>48</v>
      </c>
      <c r="B519">
        <v>2394</v>
      </c>
      <c r="C519">
        <v>47880</v>
      </c>
      <c r="D519">
        <v>5266.8</v>
      </c>
    </row>
    <row r="520" spans="1:4" x14ac:dyDescent="0.3">
      <c r="A520" t="s">
        <v>48</v>
      </c>
      <c r="B520">
        <v>1984</v>
      </c>
      <c r="C520">
        <v>29760</v>
      </c>
      <c r="D520">
        <v>3273.6</v>
      </c>
    </row>
    <row r="521" spans="1:4" x14ac:dyDescent="0.3">
      <c r="A521" t="s">
        <v>48</v>
      </c>
      <c r="B521">
        <v>2441</v>
      </c>
      <c r="C521">
        <v>305125</v>
      </c>
      <c r="D521">
        <v>33563.75</v>
      </c>
    </row>
    <row r="522" spans="1:4" x14ac:dyDescent="0.3">
      <c r="A522" t="s">
        <v>48</v>
      </c>
      <c r="B522">
        <v>2992</v>
      </c>
      <c r="C522">
        <v>59840</v>
      </c>
      <c r="D522">
        <v>6582.4</v>
      </c>
    </row>
    <row r="523" spans="1:4" x14ac:dyDescent="0.3">
      <c r="A523" t="s">
        <v>48</v>
      </c>
      <c r="B523">
        <v>1366</v>
      </c>
      <c r="C523">
        <v>409800</v>
      </c>
      <c r="D523">
        <v>45078</v>
      </c>
    </row>
    <row r="524" spans="1:4" x14ac:dyDescent="0.3">
      <c r="A524" t="s">
        <v>48</v>
      </c>
      <c r="B524">
        <v>2805</v>
      </c>
      <c r="C524">
        <v>56100</v>
      </c>
      <c r="D524">
        <v>6171</v>
      </c>
    </row>
    <row r="525" spans="1:4" x14ac:dyDescent="0.3">
      <c r="A525" t="s">
        <v>48</v>
      </c>
      <c r="B525">
        <v>655</v>
      </c>
      <c r="C525">
        <v>9825</v>
      </c>
      <c r="D525">
        <v>1080.75</v>
      </c>
    </row>
    <row r="526" spans="1:4" x14ac:dyDescent="0.3">
      <c r="A526" t="s">
        <v>48</v>
      </c>
      <c r="B526">
        <v>344</v>
      </c>
      <c r="C526">
        <v>120400</v>
      </c>
      <c r="D526">
        <v>13244</v>
      </c>
    </row>
    <row r="527" spans="1:4" x14ac:dyDescent="0.3">
      <c r="A527" t="s">
        <v>48</v>
      </c>
      <c r="B527">
        <v>1808</v>
      </c>
      <c r="C527">
        <v>12656</v>
      </c>
      <c r="D527">
        <v>1392.16</v>
      </c>
    </row>
    <row r="528" spans="1:4" x14ac:dyDescent="0.3">
      <c r="A528" t="s">
        <v>48</v>
      </c>
      <c r="B528">
        <v>1734</v>
      </c>
      <c r="C528">
        <v>20808</v>
      </c>
      <c r="D528">
        <v>2288.88</v>
      </c>
    </row>
    <row r="529" spans="1:4" x14ac:dyDescent="0.3">
      <c r="A529" t="s">
        <v>48</v>
      </c>
      <c r="B529">
        <v>554</v>
      </c>
      <c r="C529">
        <v>69250</v>
      </c>
      <c r="D529">
        <v>7617.5</v>
      </c>
    </row>
    <row r="530" spans="1:4" x14ac:dyDescent="0.3">
      <c r="A530" t="s">
        <v>48</v>
      </c>
      <c r="B530">
        <v>2935</v>
      </c>
      <c r="C530">
        <v>58700</v>
      </c>
      <c r="D530">
        <v>6457</v>
      </c>
    </row>
    <row r="531" spans="1:4" x14ac:dyDescent="0.3">
      <c r="A531" t="s">
        <v>48</v>
      </c>
      <c r="B531">
        <v>3165</v>
      </c>
      <c r="C531">
        <v>395625</v>
      </c>
      <c r="D531">
        <v>43518.75</v>
      </c>
    </row>
    <row r="532" spans="1:4" x14ac:dyDescent="0.3">
      <c r="A532" t="s">
        <v>48</v>
      </c>
      <c r="B532">
        <v>2629</v>
      </c>
      <c r="C532">
        <v>52580</v>
      </c>
      <c r="D532">
        <v>5783.8</v>
      </c>
    </row>
    <row r="533" spans="1:4" x14ac:dyDescent="0.3">
      <c r="A533" t="s">
        <v>48</v>
      </c>
      <c r="B533">
        <v>1433</v>
      </c>
      <c r="C533">
        <v>179125</v>
      </c>
      <c r="D533">
        <v>19703.75</v>
      </c>
    </row>
    <row r="534" spans="1:4" x14ac:dyDescent="0.3">
      <c r="A534" t="s">
        <v>48</v>
      </c>
      <c r="B534">
        <v>947</v>
      </c>
      <c r="C534">
        <v>118375</v>
      </c>
      <c r="D534">
        <v>13021.25</v>
      </c>
    </row>
    <row r="535" spans="1:4" x14ac:dyDescent="0.3">
      <c r="A535" t="s">
        <v>48</v>
      </c>
      <c r="B535">
        <v>344</v>
      </c>
      <c r="C535">
        <v>120400</v>
      </c>
      <c r="D535">
        <v>13244</v>
      </c>
    </row>
    <row r="536" spans="1:4" x14ac:dyDescent="0.3">
      <c r="A536" t="s">
        <v>48</v>
      </c>
      <c r="B536">
        <v>2157</v>
      </c>
      <c r="C536">
        <v>32355</v>
      </c>
      <c r="D536">
        <v>3559.05</v>
      </c>
    </row>
    <row r="537" spans="1:4" x14ac:dyDescent="0.3">
      <c r="A537" t="s">
        <v>48</v>
      </c>
      <c r="B537">
        <v>380</v>
      </c>
      <c r="C537">
        <v>2660</v>
      </c>
      <c r="D537">
        <v>292.60000000000002</v>
      </c>
    </row>
    <row r="538" spans="1:4" x14ac:dyDescent="0.3">
      <c r="A538" t="s">
        <v>48</v>
      </c>
      <c r="B538">
        <v>886</v>
      </c>
      <c r="C538">
        <v>310100</v>
      </c>
      <c r="D538">
        <v>37212</v>
      </c>
    </row>
    <row r="539" spans="1:4" x14ac:dyDescent="0.3">
      <c r="A539" t="s">
        <v>48</v>
      </c>
      <c r="B539">
        <v>2416</v>
      </c>
      <c r="C539">
        <v>302000</v>
      </c>
      <c r="D539">
        <v>36240</v>
      </c>
    </row>
    <row r="540" spans="1:4" x14ac:dyDescent="0.3">
      <c r="A540" t="s">
        <v>48</v>
      </c>
      <c r="B540">
        <v>2156</v>
      </c>
      <c r="C540">
        <v>269500</v>
      </c>
      <c r="D540">
        <v>32340</v>
      </c>
    </row>
    <row r="541" spans="1:4" x14ac:dyDescent="0.3">
      <c r="A541" t="s">
        <v>48</v>
      </c>
      <c r="B541">
        <v>2689</v>
      </c>
      <c r="C541">
        <v>40335</v>
      </c>
      <c r="D541">
        <v>4840.2</v>
      </c>
    </row>
    <row r="542" spans="1:4" x14ac:dyDescent="0.3">
      <c r="A542" t="s">
        <v>48</v>
      </c>
      <c r="B542">
        <v>677</v>
      </c>
      <c r="C542">
        <v>10155</v>
      </c>
      <c r="D542">
        <v>1218.5999999999999</v>
      </c>
    </row>
    <row r="543" spans="1:4" x14ac:dyDescent="0.3">
      <c r="A543" t="s">
        <v>48</v>
      </c>
      <c r="B543">
        <v>1773</v>
      </c>
      <c r="C543">
        <v>531900</v>
      </c>
      <c r="D543">
        <v>63828</v>
      </c>
    </row>
    <row r="544" spans="1:4" x14ac:dyDescent="0.3">
      <c r="A544" t="s">
        <v>48</v>
      </c>
      <c r="B544">
        <v>2420</v>
      </c>
      <c r="C544">
        <v>16940</v>
      </c>
      <c r="D544">
        <v>2032.8</v>
      </c>
    </row>
    <row r="545" spans="1:4" x14ac:dyDescent="0.3">
      <c r="A545" t="s">
        <v>48</v>
      </c>
      <c r="B545">
        <v>2734</v>
      </c>
      <c r="C545">
        <v>19138</v>
      </c>
      <c r="D545">
        <v>2296.56</v>
      </c>
    </row>
    <row r="546" spans="1:4" x14ac:dyDescent="0.3">
      <c r="A546" t="s">
        <v>48</v>
      </c>
      <c r="B546">
        <v>1715</v>
      </c>
      <c r="C546">
        <v>34300</v>
      </c>
      <c r="D546">
        <v>4116</v>
      </c>
    </row>
    <row r="547" spans="1:4" x14ac:dyDescent="0.3">
      <c r="A547" t="s">
        <v>48</v>
      </c>
      <c r="B547">
        <v>1186</v>
      </c>
      <c r="C547">
        <v>355800</v>
      </c>
      <c r="D547">
        <v>42696</v>
      </c>
    </row>
    <row r="548" spans="1:4" x14ac:dyDescent="0.3">
      <c r="A548" t="s">
        <v>48</v>
      </c>
      <c r="B548">
        <v>3495</v>
      </c>
      <c r="C548">
        <v>1048500</v>
      </c>
      <c r="D548">
        <v>125820</v>
      </c>
    </row>
    <row r="549" spans="1:4" x14ac:dyDescent="0.3">
      <c r="A549" t="s">
        <v>48</v>
      </c>
      <c r="B549">
        <v>886</v>
      </c>
      <c r="C549">
        <v>310100</v>
      </c>
      <c r="D549">
        <v>37212</v>
      </c>
    </row>
    <row r="550" spans="1:4" x14ac:dyDescent="0.3">
      <c r="A550" t="s">
        <v>48</v>
      </c>
      <c r="B550">
        <v>2156</v>
      </c>
      <c r="C550">
        <v>269500</v>
      </c>
      <c r="D550">
        <v>32340</v>
      </c>
    </row>
    <row r="551" spans="1:4" x14ac:dyDescent="0.3">
      <c r="A551" t="s">
        <v>48</v>
      </c>
      <c r="B551">
        <v>905</v>
      </c>
      <c r="C551">
        <v>18100</v>
      </c>
      <c r="D551">
        <v>2172</v>
      </c>
    </row>
    <row r="552" spans="1:4" x14ac:dyDescent="0.3">
      <c r="A552" t="s">
        <v>48</v>
      </c>
      <c r="B552">
        <v>1715</v>
      </c>
      <c r="C552">
        <v>34300</v>
      </c>
      <c r="D552">
        <v>4116</v>
      </c>
    </row>
    <row r="553" spans="1:4" x14ac:dyDescent="0.3">
      <c r="A553" t="s">
        <v>48</v>
      </c>
      <c r="B553">
        <v>1594</v>
      </c>
      <c r="C553">
        <v>557900</v>
      </c>
      <c r="D553">
        <v>66948</v>
      </c>
    </row>
    <row r="554" spans="1:4" x14ac:dyDescent="0.3">
      <c r="A554" t="s">
        <v>48</v>
      </c>
      <c r="B554">
        <v>1359</v>
      </c>
      <c r="C554">
        <v>407700</v>
      </c>
      <c r="D554">
        <v>48924</v>
      </c>
    </row>
    <row r="555" spans="1:4" x14ac:dyDescent="0.3">
      <c r="A555" t="s">
        <v>48</v>
      </c>
      <c r="B555">
        <v>2150</v>
      </c>
      <c r="C555">
        <v>645000</v>
      </c>
      <c r="D555">
        <v>77400</v>
      </c>
    </row>
    <row r="556" spans="1:4" x14ac:dyDescent="0.3">
      <c r="A556" t="s">
        <v>48</v>
      </c>
      <c r="B556">
        <v>1197</v>
      </c>
      <c r="C556">
        <v>418950</v>
      </c>
      <c r="D556">
        <v>50274</v>
      </c>
    </row>
    <row r="557" spans="1:4" x14ac:dyDescent="0.3">
      <c r="A557" t="s">
        <v>48</v>
      </c>
      <c r="B557">
        <v>380</v>
      </c>
      <c r="C557">
        <v>5700</v>
      </c>
      <c r="D557">
        <v>684</v>
      </c>
    </row>
    <row r="558" spans="1:4" x14ac:dyDescent="0.3">
      <c r="A558" t="s">
        <v>48</v>
      </c>
      <c r="B558">
        <v>1233</v>
      </c>
      <c r="C558">
        <v>24660</v>
      </c>
      <c r="D558">
        <v>2959.2</v>
      </c>
    </row>
    <row r="559" spans="1:4" x14ac:dyDescent="0.3">
      <c r="A559" t="s">
        <v>48</v>
      </c>
      <c r="B559">
        <v>1395</v>
      </c>
      <c r="C559">
        <v>488250</v>
      </c>
      <c r="D559">
        <v>58590</v>
      </c>
    </row>
    <row r="560" spans="1:4" x14ac:dyDescent="0.3">
      <c r="A560" t="s">
        <v>48</v>
      </c>
      <c r="B560">
        <v>986</v>
      </c>
      <c r="C560">
        <v>345100</v>
      </c>
      <c r="D560">
        <v>41412</v>
      </c>
    </row>
    <row r="561" spans="1:4" x14ac:dyDescent="0.3">
      <c r="A561" t="s">
        <v>48</v>
      </c>
      <c r="B561">
        <v>905</v>
      </c>
      <c r="C561">
        <v>18100</v>
      </c>
      <c r="D561">
        <v>2172</v>
      </c>
    </row>
    <row r="562" spans="1:4" x14ac:dyDescent="0.3">
      <c r="A562" t="s">
        <v>48</v>
      </c>
      <c r="B562">
        <v>2109</v>
      </c>
      <c r="C562">
        <v>25308</v>
      </c>
      <c r="D562">
        <v>3036.96</v>
      </c>
    </row>
    <row r="563" spans="1:4" x14ac:dyDescent="0.3">
      <c r="A563" t="s">
        <v>48</v>
      </c>
      <c r="B563">
        <v>3874.5</v>
      </c>
      <c r="C563">
        <v>58117.5</v>
      </c>
      <c r="D563">
        <v>6974.1</v>
      </c>
    </row>
    <row r="564" spans="1:4" x14ac:dyDescent="0.3">
      <c r="A564" t="s">
        <v>48</v>
      </c>
      <c r="B564">
        <v>623</v>
      </c>
      <c r="C564">
        <v>218050</v>
      </c>
      <c r="D564">
        <v>26166</v>
      </c>
    </row>
    <row r="565" spans="1:4" x14ac:dyDescent="0.3">
      <c r="A565" t="s">
        <v>48</v>
      </c>
      <c r="B565">
        <v>986</v>
      </c>
      <c r="C565">
        <v>345100</v>
      </c>
      <c r="D565">
        <v>41412</v>
      </c>
    </row>
    <row r="566" spans="1:4" x14ac:dyDescent="0.3">
      <c r="A566" t="s">
        <v>48</v>
      </c>
      <c r="B566">
        <v>2387</v>
      </c>
      <c r="C566">
        <v>298375</v>
      </c>
      <c r="D566">
        <v>35805</v>
      </c>
    </row>
    <row r="567" spans="1:4" x14ac:dyDescent="0.3">
      <c r="A567" t="s">
        <v>48</v>
      </c>
      <c r="B567">
        <v>1233</v>
      </c>
      <c r="C567">
        <v>24660</v>
      </c>
      <c r="D567">
        <v>2959.2</v>
      </c>
    </row>
    <row r="568" spans="1:4" x14ac:dyDescent="0.3">
      <c r="A568" t="s">
        <v>48</v>
      </c>
      <c r="B568">
        <v>270</v>
      </c>
      <c r="C568">
        <v>94500</v>
      </c>
      <c r="D568">
        <v>11340</v>
      </c>
    </row>
    <row r="569" spans="1:4" x14ac:dyDescent="0.3">
      <c r="A569" t="s">
        <v>48</v>
      </c>
      <c r="B569">
        <v>3421.5</v>
      </c>
      <c r="C569">
        <v>23950.5</v>
      </c>
      <c r="D569">
        <v>2874.06</v>
      </c>
    </row>
    <row r="570" spans="1:4" x14ac:dyDescent="0.3">
      <c r="A570" t="s">
        <v>48</v>
      </c>
      <c r="B570">
        <v>2734</v>
      </c>
      <c r="C570">
        <v>19138</v>
      </c>
      <c r="D570">
        <v>2296.56</v>
      </c>
    </row>
    <row r="571" spans="1:4" x14ac:dyDescent="0.3">
      <c r="A571" t="s">
        <v>48</v>
      </c>
      <c r="B571">
        <v>2548</v>
      </c>
      <c r="C571">
        <v>38220</v>
      </c>
      <c r="D571">
        <v>4586.3999999999996</v>
      </c>
    </row>
    <row r="572" spans="1:4" x14ac:dyDescent="0.3">
      <c r="A572" t="s">
        <v>48</v>
      </c>
      <c r="B572">
        <v>2521.5</v>
      </c>
      <c r="C572">
        <v>50430</v>
      </c>
      <c r="D572">
        <v>6051.6</v>
      </c>
    </row>
    <row r="573" spans="1:4" x14ac:dyDescent="0.3">
      <c r="A573" t="s">
        <v>48</v>
      </c>
      <c r="B573">
        <v>2661</v>
      </c>
      <c r="C573">
        <v>31932</v>
      </c>
      <c r="D573">
        <v>3831.84</v>
      </c>
    </row>
    <row r="574" spans="1:4" x14ac:dyDescent="0.3">
      <c r="A574" t="s">
        <v>48</v>
      </c>
      <c r="B574">
        <v>1531</v>
      </c>
      <c r="C574">
        <v>30620</v>
      </c>
      <c r="D574">
        <v>3674.4</v>
      </c>
    </row>
    <row r="575" spans="1:4" x14ac:dyDescent="0.3">
      <c r="A575" t="s">
        <v>48</v>
      </c>
      <c r="B575">
        <v>1491</v>
      </c>
      <c r="C575">
        <v>10437</v>
      </c>
      <c r="D575">
        <v>1252.44</v>
      </c>
    </row>
    <row r="576" spans="1:4" x14ac:dyDescent="0.3">
      <c r="A576" t="s">
        <v>48</v>
      </c>
      <c r="B576">
        <v>1531</v>
      </c>
      <c r="C576">
        <v>30620</v>
      </c>
      <c r="D576">
        <v>3674.4</v>
      </c>
    </row>
    <row r="577" spans="1:4" x14ac:dyDescent="0.3">
      <c r="A577" t="s">
        <v>48</v>
      </c>
      <c r="B577">
        <v>2761</v>
      </c>
      <c r="C577">
        <v>33132</v>
      </c>
      <c r="D577">
        <v>3975.84</v>
      </c>
    </row>
    <row r="578" spans="1:4" x14ac:dyDescent="0.3">
      <c r="A578" t="s">
        <v>48</v>
      </c>
      <c r="B578">
        <v>2567</v>
      </c>
      <c r="C578">
        <v>38505</v>
      </c>
      <c r="D578">
        <v>5005.6499999999996</v>
      </c>
    </row>
    <row r="579" spans="1:4" x14ac:dyDescent="0.3">
      <c r="A579" t="s">
        <v>48</v>
      </c>
      <c r="B579">
        <v>2567</v>
      </c>
      <c r="C579">
        <v>38505</v>
      </c>
      <c r="D579">
        <v>5005.6499999999996</v>
      </c>
    </row>
    <row r="580" spans="1:4" x14ac:dyDescent="0.3">
      <c r="A580" t="s">
        <v>48</v>
      </c>
      <c r="B580">
        <v>923</v>
      </c>
      <c r="C580">
        <v>323050</v>
      </c>
      <c r="D580">
        <v>41996.5</v>
      </c>
    </row>
    <row r="581" spans="1:4" x14ac:dyDescent="0.3">
      <c r="A581" t="s">
        <v>48</v>
      </c>
      <c r="B581">
        <v>1790</v>
      </c>
      <c r="C581">
        <v>626500</v>
      </c>
      <c r="D581">
        <v>81445</v>
      </c>
    </row>
    <row r="582" spans="1:4" x14ac:dyDescent="0.3">
      <c r="A582" t="s">
        <v>48</v>
      </c>
      <c r="B582">
        <v>442</v>
      </c>
      <c r="C582">
        <v>8840</v>
      </c>
      <c r="D582">
        <v>1149.2</v>
      </c>
    </row>
    <row r="583" spans="1:4" x14ac:dyDescent="0.3">
      <c r="A583" t="s">
        <v>48</v>
      </c>
      <c r="B583">
        <v>982.5</v>
      </c>
      <c r="C583">
        <v>343875</v>
      </c>
      <c r="D583">
        <v>44703.75</v>
      </c>
    </row>
    <row r="584" spans="1:4" x14ac:dyDescent="0.3">
      <c r="A584" t="s">
        <v>48</v>
      </c>
      <c r="B584">
        <v>1298</v>
      </c>
      <c r="C584">
        <v>9086</v>
      </c>
      <c r="D584">
        <v>1181.18</v>
      </c>
    </row>
    <row r="585" spans="1:4" x14ac:dyDescent="0.3">
      <c r="A585" t="s">
        <v>48</v>
      </c>
      <c r="B585">
        <v>604</v>
      </c>
      <c r="C585">
        <v>7248</v>
      </c>
      <c r="D585">
        <v>942.24</v>
      </c>
    </row>
    <row r="586" spans="1:4" x14ac:dyDescent="0.3">
      <c r="A586" t="s">
        <v>48</v>
      </c>
      <c r="B586">
        <v>2255</v>
      </c>
      <c r="C586">
        <v>45100</v>
      </c>
      <c r="D586">
        <v>5863</v>
      </c>
    </row>
    <row r="587" spans="1:4" x14ac:dyDescent="0.3">
      <c r="A587" t="s">
        <v>48</v>
      </c>
      <c r="B587">
        <v>1249</v>
      </c>
      <c r="C587">
        <v>24980</v>
      </c>
      <c r="D587">
        <v>3247.4</v>
      </c>
    </row>
    <row r="588" spans="1:4" x14ac:dyDescent="0.3">
      <c r="A588" t="s">
        <v>48</v>
      </c>
      <c r="B588">
        <v>1438.5</v>
      </c>
      <c r="C588">
        <v>10069.5</v>
      </c>
      <c r="D588">
        <v>1309.04</v>
      </c>
    </row>
    <row r="589" spans="1:4" x14ac:dyDescent="0.3">
      <c r="A589" t="s">
        <v>48</v>
      </c>
      <c r="B589">
        <v>807</v>
      </c>
      <c r="C589">
        <v>242100</v>
      </c>
      <c r="D589">
        <v>31473</v>
      </c>
    </row>
    <row r="590" spans="1:4" x14ac:dyDescent="0.3">
      <c r="A590" t="s">
        <v>48</v>
      </c>
      <c r="B590">
        <v>2641</v>
      </c>
      <c r="C590">
        <v>52820</v>
      </c>
      <c r="D590">
        <v>6866.6</v>
      </c>
    </row>
    <row r="591" spans="1:4" x14ac:dyDescent="0.3">
      <c r="A591" t="s">
        <v>48</v>
      </c>
      <c r="B591">
        <v>2708</v>
      </c>
      <c r="C591">
        <v>54160</v>
      </c>
      <c r="D591">
        <v>7040.8</v>
      </c>
    </row>
    <row r="592" spans="1:4" x14ac:dyDescent="0.3">
      <c r="A592" t="s">
        <v>48</v>
      </c>
      <c r="B592">
        <v>2632</v>
      </c>
      <c r="C592">
        <v>921200</v>
      </c>
      <c r="D592">
        <v>119756</v>
      </c>
    </row>
    <row r="593" spans="1:4" x14ac:dyDescent="0.3">
      <c r="A593" t="s">
        <v>48</v>
      </c>
      <c r="B593">
        <v>1583</v>
      </c>
      <c r="C593">
        <v>197875</v>
      </c>
      <c r="D593">
        <v>25723.75</v>
      </c>
    </row>
    <row r="594" spans="1:4" x14ac:dyDescent="0.3">
      <c r="A594" t="s">
        <v>48</v>
      </c>
      <c r="B594">
        <v>571</v>
      </c>
      <c r="C594">
        <v>6852</v>
      </c>
      <c r="D594">
        <v>890.76</v>
      </c>
    </row>
    <row r="595" spans="1:4" x14ac:dyDescent="0.3">
      <c r="A595" t="s">
        <v>48</v>
      </c>
      <c r="B595">
        <v>2696</v>
      </c>
      <c r="C595">
        <v>18872</v>
      </c>
      <c r="D595">
        <v>2453.36</v>
      </c>
    </row>
    <row r="596" spans="1:4" x14ac:dyDescent="0.3">
      <c r="A596" t="s">
        <v>48</v>
      </c>
      <c r="B596">
        <v>1565</v>
      </c>
      <c r="C596">
        <v>23475</v>
      </c>
      <c r="D596">
        <v>3051.75</v>
      </c>
    </row>
    <row r="597" spans="1:4" x14ac:dyDescent="0.3">
      <c r="A597" t="s">
        <v>48</v>
      </c>
      <c r="B597">
        <v>1249</v>
      </c>
      <c r="C597">
        <v>24980</v>
      </c>
      <c r="D597">
        <v>3247.4</v>
      </c>
    </row>
    <row r="598" spans="1:4" x14ac:dyDescent="0.3">
      <c r="A598" t="s">
        <v>48</v>
      </c>
      <c r="B598">
        <v>357</v>
      </c>
      <c r="C598">
        <v>124950</v>
      </c>
      <c r="D598">
        <v>16243.5</v>
      </c>
    </row>
    <row r="599" spans="1:4" x14ac:dyDescent="0.3">
      <c r="A599" t="s">
        <v>48</v>
      </c>
      <c r="B599">
        <v>1013</v>
      </c>
      <c r="C599">
        <v>12156</v>
      </c>
      <c r="D599">
        <v>1580.28</v>
      </c>
    </row>
    <row r="600" spans="1:4" x14ac:dyDescent="0.3">
      <c r="A600" t="s">
        <v>48</v>
      </c>
      <c r="B600">
        <v>3997.5</v>
      </c>
      <c r="C600">
        <v>59962.5</v>
      </c>
      <c r="D600">
        <v>7795.13</v>
      </c>
    </row>
    <row r="601" spans="1:4" x14ac:dyDescent="0.3">
      <c r="A601" t="s">
        <v>48</v>
      </c>
      <c r="B601">
        <v>2632</v>
      </c>
      <c r="C601">
        <v>921200</v>
      </c>
      <c r="D601">
        <v>119756</v>
      </c>
    </row>
    <row r="602" spans="1:4" x14ac:dyDescent="0.3">
      <c r="A602" t="s">
        <v>48</v>
      </c>
      <c r="B602">
        <v>1190</v>
      </c>
      <c r="C602">
        <v>8330</v>
      </c>
      <c r="D602">
        <v>1082.9000000000001</v>
      </c>
    </row>
    <row r="603" spans="1:4" x14ac:dyDescent="0.3">
      <c r="A603" t="s">
        <v>48</v>
      </c>
      <c r="B603">
        <v>604</v>
      </c>
      <c r="C603">
        <v>7248</v>
      </c>
      <c r="D603">
        <v>942.24</v>
      </c>
    </row>
    <row r="604" spans="1:4" x14ac:dyDescent="0.3">
      <c r="A604" t="s">
        <v>48</v>
      </c>
      <c r="B604">
        <v>660</v>
      </c>
      <c r="C604">
        <v>9900</v>
      </c>
      <c r="D604">
        <v>1287</v>
      </c>
    </row>
    <row r="605" spans="1:4" x14ac:dyDescent="0.3">
      <c r="A605" t="s">
        <v>48</v>
      </c>
      <c r="B605">
        <v>410</v>
      </c>
      <c r="C605">
        <v>4920</v>
      </c>
      <c r="D605">
        <v>639.6</v>
      </c>
    </row>
    <row r="606" spans="1:4" x14ac:dyDescent="0.3">
      <c r="A606" t="s">
        <v>48</v>
      </c>
      <c r="B606">
        <v>2605</v>
      </c>
      <c r="C606">
        <v>781500</v>
      </c>
      <c r="D606">
        <v>101595</v>
      </c>
    </row>
    <row r="607" spans="1:4" x14ac:dyDescent="0.3">
      <c r="A607" t="s">
        <v>48</v>
      </c>
      <c r="B607">
        <v>1013</v>
      </c>
      <c r="C607">
        <v>12156</v>
      </c>
      <c r="D607">
        <v>1580.28</v>
      </c>
    </row>
    <row r="608" spans="1:4" x14ac:dyDescent="0.3">
      <c r="A608" t="s">
        <v>48</v>
      </c>
      <c r="B608">
        <v>1583</v>
      </c>
      <c r="C608">
        <v>197875</v>
      </c>
      <c r="D608">
        <v>25723.75</v>
      </c>
    </row>
    <row r="609" spans="1:4" x14ac:dyDescent="0.3">
      <c r="A609" t="s">
        <v>48</v>
      </c>
      <c r="B609">
        <v>1565</v>
      </c>
      <c r="C609">
        <v>23475</v>
      </c>
      <c r="D609">
        <v>3051.75</v>
      </c>
    </row>
    <row r="610" spans="1:4" x14ac:dyDescent="0.3">
      <c r="A610" t="s">
        <v>48</v>
      </c>
      <c r="B610">
        <v>1659</v>
      </c>
      <c r="C610">
        <v>207375</v>
      </c>
      <c r="D610">
        <v>26958.75</v>
      </c>
    </row>
    <row r="611" spans="1:4" x14ac:dyDescent="0.3">
      <c r="A611" t="s">
        <v>48</v>
      </c>
      <c r="B611">
        <v>1190</v>
      </c>
      <c r="C611">
        <v>8330</v>
      </c>
      <c r="D611">
        <v>1082.9000000000001</v>
      </c>
    </row>
    <row r="612" spans="1:4" x14ac:dyDescent="0.3">
      <c r="A612" t="s">
        <v>48</v>
      </c>
      <c r="B612">
        <v>410</v>
      </c>
      <c r="C612">
        <v>4920</v>
      </c>
      <c r="D612">
        <v>639.6</v>
      </c>
    </row>
    <row r="613" spans="1:4" x14ac:dyDescent="0.3">
      <c r="A613" t="s">
        <v>48</v>
      </c>
      <c r="B613">
        <v>1770</v>
      </c>
      <c r="C613">
        <v>21240</v>
      </c>
      <c r="D613">
        <v>2761.2</v>
      </c>
    </row>
    <row r="614" spans="1:4" x14ac:dyDescent="0.3">
      <c r="A614" t="s">
        <v>48</v>
      </c>
      <c r="B614">
        <v>2579</v>
      </c>
      <c r="C614">
        <v>51580</v>
      </c>
      <c r="D614">
        <v>7221.2</v>
      </c>
    </row>
    <row r="615" spans="1:4" x14ac:dyDescent="0.3">
      <c r="A615" t="s">
        <v>48</v>
      </c>
      <c r="B615">
        <v>1743</v>
      </c>
      <c r="C615">
        <v>34860</v>
      </c>
      <c r="D615">
        <v>4880.3999999999996</v>
      </c>
    </row>
    <row r="616" spans="1:4" x14ac:dyDescent="0.3">
      <c r="A616" t="s">
        <v>48</v>
      </c>
      <c r="B616">
        <v>2996</v>
      </c>
      <c r="C616">
        <v>20972</v>
      </c>
      <c r="D616">
        <v>2936.08</v>
      </c>
    </row>
    <row r="617" spans="1:4" x14ac:dyDescent="0.3">
      <c r="A617" t="s">
        <v>48</v>
      </c>
      <c r="B617">
        <v>280</v>
      </c>
      <c r="C617">
        <v>1960</v>
      </c>
      <c r="D617">
        <v>274.39999999999998</v>
      </c>
    </row>
    <row r="618" spans="1:4" x14ac:dyDescent="0.3">
      <c r="A618" t="s">
        <v>48</v>
      </c>
      <c r="B618">
        <v>293</v>
      </c>
      <c r="C618">
        <v>2051</v>
      </c>
      <c r="D618">
        <v>287.14</v>
      </c>
    </row>
    <row r="619" spans="1:4" x14ac:dyDescent="0.3">
      <c r="A619" t="s">
        <v>48</v>
      </c>
      <c r="B619">
        <v>2996</v>
      </c>
      <c r="C619">
        <v>20972</v>
      </c>
      <c r="D619">
        <v>2936.08</v>
      </c>
    </row>
    <row r="620" spans="1:4" x14ac:dyDescent="0.3">
      <c r="A620" t="s">
        <v>48</v>
      </c>
      <c r="B620">
        <v>278</v>
      </c>
      <c r="C620">
        <v>4170</v>
      </c>
      <c r="D620">
        <v>583.79999999999995</v>
      </c>
    </row>
    <row r="621" spans="1:4" x14ac:dyDescent="0.3">
      <c r="A621" t="s">
        <v>48</v>
      </c>
      <c r="B621">
        <v>2428</v>
      </c>
      <c r="C621">
        <v>48560</v>
      </c>
      <c r="D621">
        <v>6798.4</v>
      </c>
    </row>
    <row r="622" spans="1:4" x14ac:dyDescent="0.3">
      <c r="A622" t="s">
        <v>48</v>
      </c>
      <c r="B622">
        <v>1767</v>
      </c>
      <c r="C622">
        <v>26505</v>
      </c>
      <c r="D622">
        <v>3710.7</v>
      </c>
    </row>
    <row r="623" spans="1:4" x14ac:dyDescent="0.3">
      <c r="A623" t="s">
        <v>48</v>
      </c>
      <c r="B623">
        <v>1393</v>
      </c>
      <c r="C623">
        <v>16716</v>
      </c>
      <c r="D623">
        <v>2340.2399999999998</v>
      </c>
    </row>
    <row r="624" spans="1:4" x14ac:dyDescent="0.3">
      <c r="A624" t="s">
        <v>48</v>
      </c>
      <c r="B624">
        <v>280</v>
      </c>
      <c r="C624">
        <v>1960</v>
      </c>
      <c r="D624">
        <v>274.39999999999998</v>
      </c>
    </row>
    <row r="625" spans="1:4" x14ac:dyDescent="0.3">
      <c r="A625" t="s">
        <v>48</v>
      </c>
      <c r="B625">
        <v>1393</v>
      </c>
      <c r="C625">
        <v>16716</v>
      </c>
      <c r="D625">
        <v>2340.2399999999998</v>
      </c>
    </row>
    <row r="626" spans="1:4" x14ac:dyDescent="0.3">
      <c r="A626" t="s">
        <v>48</v>
      </c>
      <c r="B626">
        <v>2015</v>
      </c>
      <c r="C626">
        <v>24180</v>
      </c>
      <c r="D626">
        <v>3385.2</v>
      </c>
    </row>
    <row r="627" spans="1:4" x14ac:dyDescent="0.3">
      <c r="A627" t="s">
        <v>48</v>
      </c>
      <c r="B627">
        <v>801</v>
      </c>
      <c r="C627">
        <v>240300</v>
      </c>
      <c r="D627">
        <v>33642</v>
      </c>
    </row>
    <row r="628" spans="1:4" x14ac:dyDescent="0.3">
      <c r="A628" t="s">
        <v>48</v>
      </c>
      <c r="B628">
        <v>1023</v>
      </c>
      <c r="C628">
        <v>127875</v>
      </c>
      <c r="D628">
        <v>17902.5</v>
      </c>
    </row>
    <row r="629" spans="1:4" x14ac:dyDescent="0.3">
      <c r="A629" t="s">
        <v>48</v>
      </c>
      <c r="B629">
        <v>1496</v>
      </c>
      <c r="C629">
        <v>448800</v>
      </c>
      <c r="D629">
        <v>62832</v>
      </c>
    </row>
    <row r="630" spans="1:4" x14ac:dyDescent="0.3">
      <c r="A630" t="s">
        <v>48</v>
      </c>
      <c r="B630">
        <v>1010</v>
      </c>
      <c r="C630">
        <v>303000</v>
      </c>
      <c r="D630">
        <v>42420</v>
      </c>
    </row>
    <row r="631" spans="1:4" x14ac:dyDescent="0.3">
      <c r="A631" t="s">
        <v>48</v>
      </c>
      <c r="B631">
        <v>1513</v>
      </c>
      <c r="C631">
        <v>22695</v>
      </c>
      <c r="D631">
        <v>3177.3</v>
      </c>
    </row>
    <row r="632" spans="1:4" x14ac:dyDescent="0.3">
      <c r="A632" t="s">
        <v>48</v>
      </c>
      <c r="B632">
        <v>2300</v>
      </c>
      <c r="C632">
        <v>34500</v>
      </c>
      <c r="D632">
        <v>4830</v>
      </c>
    </row>
    <row r="633" spans="1:4" x14ac:dyDescent="0.3">
      <c r="A633" t="s">
        <v>48</v>
      </c>
      <c r="B633">
        <v>2821</v>
      </c>
      <c r="C633">
        <v>352625</v>
      </c>
      <c r="D633">
        <v>49367.5</v>
      </c>
    </row>
    <row r="634" spans="1:4" x14ac:dyDescent="0.3">
      <c r="A634" t="s">
        <v>48</v>
      </c>
      <c r="B634">
        <v>2227.5</v>
      </c>
      <c r="C634">
        <v>779625</v>
      </c>
      <c r="D634">
        <v>109147.5</v>
      </c>
    </row>
    <row r="635" spans="1:4" x14ac:dyDescent="0.3">
      <c r="A635" t="s">
        <v>48</v>
      </c>
      <c r="B635">
        <v>1199</v>
      </c>
      <c r="C635">
        <v>419650</v>
      </c>
      <c r="D635">
        <v>58751</v>
      </c>
    </row>
    <row r="636" spans="1:4" x14ac:dyDescent="0.3">
      <c r="A636" t="s">
        <v>48</v>
      </c>
      <c r="B636">
        <v>200</v>
      </c>
      <c r="C636">
        <v>70000</v>
      </c>
      <c r="D636">
        <v>9800</v>
      </c>
    </row>
    <row r="637" spans="1:4" x14ac:dyDescent="0.3">
      <c r="A637" t="s">
        <v>48</v>
      </c>
      <c r="B637">
        <v>388</v>
      </c>
      <c r="C637">
        <v>2716</v>
      </c>
      <c r="D637">
        <v>380.24</v>
      </c>
    </row>
    <row r="638" spans="1:4" x14ac:dyDescent="0.3">
      <c r="A638" t="s">
        <v>48</v>
      </c>
      <c r="B638">
        <v>1727</v>
      </c>
      <c r="C638">
        <v>12089</v>
      </c>
      <c r="D638">
        <v>1692.46</v>
      </c>
    </row>
    <row r="639" spans="1:4" x14ac:dyDescent="0.3">
      <c r="A639" t="s">
        <v>48</v>
      </c>
      <c r="B639">
        <v>2300</v>
      </c>
      <c r="C639">
        <v>34500</v>
      </c>
      <c r="D639">
        <v>4830</v>
      </c>
    </row>
    <row r="640" spans="1:4" x14ac:dyDescent="0.3">
      <c r="A640" t="s">
        <v>48</v>
      </c>
      <c r="B640">
        <v>260</v>
      </c>
      <c r="C640">
        <v>5200</v>
      </c>
      <c r="D640">
        <v>728</v>
      </c>
    </row>
    <row r="641" spans="1:4" x14ac:dyDescent="0.3">
      <c r="A641" t="s">
        <v>48</v>
      </c>
      <c r="B641">
        <v>2470</v>
      </c>
      <c r="C641">
        <v>37050</v>
      </c>
      <c r="D641">
        <v>5187</v>
      </c>
    </row>
    <row r="642" spans="1:4" x14ac:dyDescent="0.3">
      <c r="A642" t="s">
        <v>48</v>
      </c>
      <c r="B642">
        <v>1743</v>
      </c>
      <c r="C642">
        <v>26145</v>
      </c>
      <c r="D642">
        <v>3660.3</v>
      </c>
    </row>
    <row r="643" spans="1:4" x14ac:dyDescent="0.3">
      <c r="A643" t="s">
        <v>48</v>
      </c>
      <c r="B643">
        <v>2914</v>
      </c>
      <c r="C643">
        <v>34968</v>
      </c>
      <c r="D643">
        <v>4895.5200000000004</v>
      </c>
    </row>
    <row r="644" spans="1:4" x14ac:dyDescent="0.3">
      <c r="A644" t="s">
        <v>48</v>
      </c>
      <c r="B644">
        <v>1731</v>
      </c>
      <c r="C644">
        <v>12117</v>
      </c>
      <c r="D644">
        <v>1696.38</v>
      </c>
    </row>
    <row r="645" spans="1:4" x14ac:dyDescent="0.3">
      <c r="A645" t="s">
        <v>48</v>
      </c>
      <c r="B645">
        <v>700</v>
      </c>
      <c r="C645">
        <v>245000</v>
      </c>
      <c r="D645">
        <v>34300</v>
      </c>
    </row>
    <row r="646" spans="1:4" x14ac:dyDescent="0.3">
      <c r="A646" t="s">
        <v>48</v>
      </c>
      <c r="B646">
        <v>2222</v>
      </c>
      <c r="C646">
        <v>26664</v>
      </c>
      <c r="D646">
        <v>3732.96</v>
      </c>
    </row>
    <row r="647" spans="1:4" x14ac:dyDescent="0.3">
      <c r="A647" t="s">
        <v>48</v>
      </c>
      <c r="B647">
        <v>1177</v>
      </c>
      <c r="C647">
        <v>411950</v>
      </c>
      <c r="D647">
        <v>57673</v>
      </c>
    </row>
    <row r="648" spans="1:4" x14ac:dyDescent="0.3">
      <c r="A648" t="s">
        <v>48</v>
      </c>
      <c r="B648">
        <v>1922</v>
      </c>
      <c r="C648">
        <v>672700</v>
      </c>
      <c r="D648">
        <v>94178</v>
      </c>
    </row>
    <row r="649" spans="1:4" x14ac:dyDescent="0.3">
      <c r="A649" t="s">
        <v>48</v>
      </c>
      <c r="B649">
        <v>1575</v>
      </c>
      <c r="C649">
        <v>196875</v>
      </c>
      <c r="D649">
        <v>27562.5</v>
      </c>
    </row>
    <row r="650" spans="1:4" x14ac:dyDescent="0.3">
      <c r="A650" t="s">
        <v>48</v>
      </c>
      <c r="B650">
        <v>606</v>
      </c>
      <c r="C650">
        <v>12120</v>
      </c>
      <c r="D650">
        <v>1696.8</v>
      </c>
    </row>
    <row r="651" spans="1:4" x14ac:dyDescent="0.3">
      <c r="A651" t="s">
        <v>48</v>
      </c>
      <c r="B651">
        <v>2460</v>
      </c>
      <c r="C651">
        <v>738000</v>
      </c>
      <c r="D651">
        <v>103320</v>
      </c>
    </row>
    <row r="652" spans="1:4" x14ac:dyDescent="0.3">
      <c r="A652" t="s">
        <v>48</v>
      </c>
      <c r="B652">
        <v>269</v>
      </c>
      <c r="C652">
        <v>80700</v>
      </c>
      <c r="D652">
        <v>11298</v>
      </c>
    </row>
    <row r="653" spans="1:4" x14ac:dyDescent="0.3">
      <c r="A653" t="s">
        <v>48</v>
      </c>
      <c r="B653">
        <v>2536</v>
      </c>
      <c r="C653">
        <v>760800</v>
      </c>
      <c r="D653">
        <v>106512</v>
      </c>
    </row>
    <row r="654" spans="1:4" x14ac:dyDescent="0.3">
      <c r="A654" t="s">
        <v>48</v>
      </c>
      <c r="B654">
        <v>2903</v>
      </c>
      <c r="C654">
        <v>20321</v>
      </c>
      <c r="D654">
        <v>2844.94</v>
      </c>
    </row>
    <row r="655" spans="1:4" x14ac:dyDescent="0.3">
      <c r="A655" t="s">
        <v>48</v>
      </c>
      <c r="B655">
        <v>2541</v>
      </c>
      <c r="C655">
        <v>762300</v>
      </c>
      <c r="D655">
        <v>106722</v>
      </c>
    </row>
    <row r="656" spans="1:4" x14ac:dyDescent="0.3">
      <c r="A656" t="s">
        <v>48</v>
      </c>
      <c r="B656">
        <v>269</v>
      </c>
      <c r="C656">
        <v>80700</v>
      </c>
      <c r="D656">
        <v>11298</v>
      </c>
    </row>
    <row r="657" spans="1:4" x14ac:dyDescent="0.3">
      <c r="A657" t="s">
        <v>48</v>
      </c>
      <c r="B657">
        <v>1496</v>
      </c>
      <c r="C657">
        <v>448800</v>
      </c>
      <c r="D657">
        <v>62832</v>
      </c>
    </row>
    <row r="658" spans="1:4" x14ac:dyDescent="0.3">
      <c r="A658" t="s">
        <v>48</v>
      </c>
      <c r="B658">
        <v>1010</v>
      </c>
      <c r="C658">
        <v>303000</v>
      </c>
      <c r="D658">
        <v>42420</v>
      </c>
    </row>
    <row r="659" spans="1:4" x14ac:dyDescent="0.3">
      <c r="A659" t="s">
        <v>48</v>
      </c>
      <c r="B659">
        <v>1281</v>
      </c>
      <c r="C659">
        <v>448350</v>
      </c>
      <c r="D659">
        <v>62769</v>
      </c>
    </row>
    <row r="660" spans="1:4" x14ac:dyDescent="0.3">
      <c r="A660" t="s">
        <v>48</v>
      </c>
      <c r="B660">
        <v>888</v>
      </c>
      <c r="C660">
        <v>266400</v>
      </c>
      <c r="D660">
        <v>37296</v>
      </c>
    </row>
    <row r="661" spans="1:4" x14ac:dyDescent="0.3">
      <c r="A661" t="s">
        <v>48</v>
      </c>
      <c r="B661">
        <v>2844</v>
      </c>
      <c r="C661">
        <v>355500</v>
      </c>
      <c r="D661">
        <v>49770</v>
      </c>
    </row>
    <row r="662" spans="1:4" x14ac:dyDescent="0.3">
      <c r="A662" t="s">
        <v>48</v>
      </c>
      <c r="B662">
        <v>2475</v>
      </c>
      <c r="C662">
        <v>29700</v>
      </c>
      <c r="D662">
        <v>4158</v>
      </c>
    </row>
    <row r="663" spans="1:4" x14ac:dyDescent="0.3">
      <c r="A663" t="s">
        <v>48</v>
      </c>
      <c r="B663">
        <v>1743</v>
      </c>
      <c r="C663">
        <v>26145</v>
      </c>
      <c r="D663">
        <v>3660.3</v>
      </c>
    </row>
    <row r="664" spans="1:4" x14ac:dyDescent="0.3">
      <c r="A664" t="s">
        <v>48</v>
      </c>
      <c r="B664">
        <v>2914</v>
      </c>
      <c r="C664">
        <v>34968</v>
      </c>
      <c r="D664">
        <v>4895.5200000000004</v>
      </c>
    </row>
    <row r="665" spans="1:4" x14ac:dyDescent="0.3">
      <c r="A665" t="s">
        <v>48</v>
      </c>
      <c r="B665">
        <v>1731</v>
      </c>
      <c r="C665">
        <v>12117</v>
      </c>
      <c r="D665">
        <v>1696.38</v>
      </c>
    </row>
    <row r="666" spans="1:4" x14ac:dyDescent="0.3">
      <c r="A666" t="s">
        <v>48</v>
      </c>
      <c r="B666">
        <v>1727</v>
      </c>
      <c r="C666">
        <v>12089</v>
      </c>
      <c r="D666">
        <v>1692.46</v>
      </c>
    </row>
    <row r="667" spans="1:4" x14ac:dyDescent="0.3">
      <c r="A667" t="s">
        <v>48</v>
      </c>
      <c r="B667">
        <v>1870</v>
      </c>
      <c r="C667">
        <v>28050</v>
      </c>
      <c r="D667">
        <v>3927</v>
      </c>
    </row>
    <row r="668" spans="1:4" x14ac:dyDescent="0.3">
      <c r="A668" t="s">
        <v>48</v>
      </c>
      <c r="B668">
        <v>1174</v>
      </c>
      <c r="C668">
        <v>146750</v>
      </c>
      <c r="D668">
        <v>22012.5</v>
      </c>
    </row>
    <row r="669" spans="1:4" x14ac:dyDescent="0.3">
      <c r="A669" t="s">
        <v>48</v>
      </c>
      <c r="B669">
        <v>2767</v>
      </c>
      <c r="C669">
        <v>345875</v>
      </c>
      <c r="D669">
        <v>51881.25</v>
      </c>
    </row>
    <row r="670" spans="1:4" x14ac:dyDescent="0.3">
      <c r="A670" t="s">
        <v>48</v>
      </c>
      <c r="B670">
        <v>1085</v>
      </c>
      <c r="C670">
        <v>135625</v>
      </c>
      <c r="D670">
        <v>20343.75</v>
      </c>
    </row>
    <row r="671" spans="1:4" x14ac:dyDescent="0.3">
      <c r="A671" t="s">
        <v>48</v>
      </c>
      <c r="B671">
        <v>546</v>
      </c>
      <c r="C671">
        <v>163800</v>
      </c>
      <c r="D671">
        <v>24570</v>
      </c>
    </row>
    <row r="672" spans="1:4" x14ac:dyDescent="0.3">
      <c r="A672" t="s">
        <v>48</v>
      </c>
      <c r="B672">
        <v>1158</v>
      </c>
      <c r="C672">
        <v>23160</v>
      </c>
      <c r="D672">
        <v>3474</v>
      </c>
    </row>
    <row r="673" spans="1:4" x14ac:dyDescent="0.3">
      <c r="A673" t="s">
        <v>48</v>
      </c>
      <c r="B673">
        <v>1614</v>
      </c>
      <c r="C673">
        <v>24210</v>
      </c>
      <c r="D673">
        <v>3631.5</v>
      </c>
    </row>
    <row r="674" spans="1:4" x14ac:dyDescent="0.3">
      <c r="A674" t="s">
        <v>48</v>
      </c>
      <c r="B674">
        <v>2535</v>
      </c>
      <c r="C674">
        <v>17745</v>
      </c>
      <c r="D674">
        <v>2661.75</v>
      </c>
    </row>
    <row r="675" spans="1:4" x14ac:dyDescent="0.3">
      <c r="A675" t="s">
        <v>48</v>
      </c>
      <c r="B675">
        <v>2851</v>
      </c>
      <c r="C675">
        <v>997850</v>
      </c>
      <c r="D675">
        <v>149677.5</v>
      </c>
    </row>
    <row r="676" spans="1:4" x14ac:dyDescent="0.3">
      <c r="A676" t="s">
        <v>48</v>
      </c>
      <c r="B676">
        <v>2559</v>
      </c>
      <c r="C676">
        <v>38385</v>
      </c>
      <c r="D676">
        <v>5757.75</v>
      </c>
    </row>
    <row r="677" spans="1:4" x14ac:dyDescent="0.3">
      <c r="A677" t="s">
        <v>48</v>
      </c>
      <c r="B677">
        <v>267</v>
      </c>
      <c r="C677">
        <v>5340</v>
      </c>
      <c r="D677">
        <v>801</v>
      </c>
    </row>
    <row r="678" spans="1:4" x14ac:dyDescent="0.3">
      <c r="A678" t="s">
        <v>48</v>
      </c>
      <c r="B678">
        <v>1085</v>
      </c>
      <c r="C678">
        <v>135625</v>
      </c>
      <c r="D678">
        <v>20343.75</v>
      </c>
    </row>
    <row r="679" spans="1:4" x14ac:dyDescent="0.3">
      <c r="A679" t="s">
        <v>48</v>
      </c>
      <c r="B679">
        <v>1175</v>
      </c>
      <c r="C679">
        <v>17625</v>
      </c>
      <c r="D679">
        <v>2643.75</v>
      </c>
    </row>
    <row r="680" spans="1:4" x14ac:dyDescent="0.3">
      <c r="A680" t="s">
        <v>48</v>
      </c>
      <c r="B680">
        <v>2007</v>
      </c>
      <c r="C680">
        <v>702450</v>
      </c>
      <c r="D680">
        <v>105367.5</v>
      </c>
    </row>
    <row r="681" spans="1:4" x14ac:dyDescent="0.3">
      <c r="A681" t="s">
        <v>48</v>
      </c>
      <c r="B681">
        <v>2151</v>
      </c>
      <c r="C681">
        <v>752850</v>
      </c>
      <c r="D681">
        <v>112927.5</v>
      </c>
    </row>
    <row r="682" spans="1:4" x14ac:dyDescent="0.3">
      <c r="A682" t="s">
        <v>48</v>
      </c>
      <c r="B682">
        <v>914</v>
      </c>
      <c r="C682">
        <v>10968</v>
      </c>
      <c r="D682">
        <v>1645.2</v>
      </c>
    </row>
    <row r="683" spans="1:4" x14ac:dyDescent="0.3">
      <c r="A683" t="s">
        <v>48</v>
      </c>
      <c r="B683">
        <v>293</v>
      </c>
      <c r="C683">
        <v>5860</v>
      </c>
      <c r="D683">
        <v>879</v>
      </c>
    </row>
    <row r="684" spans="1:4" x14ac:dyDescent="0.3">
      <c r="A684" t="s">
        <v>48</v>
      </c>
      <c r="B684">
        <v>500</v>
      </c>
      <c r="C684">
        <v>6000</v>
      </c>
      <c r="D684">
        <v>900</v>
      </c>
    </row>
    <row r="685" spans="1:4" x14ac:dyDescent="0.3">
      <c r="A685" t="s">
        <v>48</v>
      </c>
      <c r="B685">
        <v>2826</v>
      </c>
      <c r="C685">
        <v>42390</v>
      </c>
      <c r="D685">
        <v>6358.5</v>
      </c>
    </row>
    <row r="686" spans="1:4" x14ac:dyDescent="0.3">
      <c r="A686" t="s">
        <v>48</v>
      </c>
      <c r="B686">
        <v>663</v>
      </c>
      <c r="C686">
        <v>82875</v>
      </c>
      <c r="D686">
        <v>12431.25</v>
      </c>
    </row>
    <row r="687" spans="1:4" x14ac:dyDescent="0.3">
      <c r="A687" t="s">
        <v>48</v>
      </c>
      <c r="B687">
        <v>2574</v>
      </c>
      <c r="C687">
        <v>772200</v>
      </c>
      <c r="D687">
        <v>115830</v>
      </c>
    </row>
    <row r="688" spans="1:4" x14ac:dyDescent="0.3">
      <c r="A688" t="s">
        <v>48</v>
      </c>
      <c r="B688">
        <v>2438</v>
      </c>
      <c r="C688">
        <v>304750</v>
      </c>
      <c r="D688">
        <v>45712.5</v>
      </c>
    </row>
    <row r="689" spans="1:4" x14ac:dyDescent="0.3">
      <c r="A689" t="s">
        <v>48</v>
      </c>
      <c r="B689">
        <v>914</v>
      </c>
      <c r="C689">
        <v>10968</v>
      </c>
      <c r="D689">
        <v>1645.2</v>
      </c>
    </row>
    <row r="690" spans="1:4" x14ac:dyDescent="0.3">
      <c r="A690" t="s">
        <v>48</v>
      </c>
      <c r="B690">
        <v>865.5</v>
      </c>
      <c r="C690">
        <v>17310</v>
      </c>
      <c r="D690">
        <v>2596.5</v>
      </c>
    </row>
    <row r="691" spans="1:4" x14ac:dyDescent="0.3">
      <c r="A691" t="s">
        <v>48</v>
      </c>
      <c r="B691">
        <v>492</v>
      </c>
      <c r="C691">
        <v>7380</v>
      </c>
      <c r="D691">
        <v>1107</v>
      </c>
    </row>
    <row r="692" spans="1:4" x14ac:dyDescent="0.3">
      <c r="A692" t="s">
        <v>48</v>
      </c>
      <c r="B692">
        <v>267</v>
      </c>
      <c r="C692">
        <v>5340</v>
      </c>
      <c r="D692">
        <v>801</v>
      </c>
    </row>
    <row r="693" spans="1:4" x14ac:dyDescent="0.3">
      <c r="A693" t="s">
        <v>48</v>
      </c>
      <c r="B693">
        <v>1175</v>
      </c>
      <c r="C693">
        <v>17625</v>
      </c>
      <c r="D693">
        <v>2643.75</v>
      </c>
    </row>
    <row r="694" spans="1:4" x14ac:dyDescent="0.3">
      <c r="A694" t="s">
        <v>48</v>
      </c>
      <c r="B694">
        <v>2954</v>
      </c>
      <c r="C694">
        <v>369250</v>
      </c>
      <c r="D694">
        <v>55387.5</v>
      </c>
    </row>
    <row r="695" spans="1:4" x14ac:dyDescent="0.3">
      <c r="A695" t="s">
        <v>48</v>
      </c>
      <c r="B695">
        <v>552</v>
      </c>
      <c r="C695">
        <v>69000</v>
      </c>
      <c r="D695">
        <v>10350</v>
      </c>
    </row>
    <row r="696" spans="1:4" x14ac:dyDescent="0.3">
      <c r="A696" t="s">
        <v>48</v>
      </c>
      <c r="B696">
        <v>293</v>
      </c>
      <c r="C696">
        <v>5860</v>
      </c>
      <c r="D696">
        <v>879</v>
      </c>
    </row>
    <row r="697" spans="1:4" x14ac:dyDescent="0.3">
      <c r="A697" t="s">
        <v>48</v>
      </c>
      <c r="B697">
        <v>2475</v>
      </c>
      <c r="C697">
        <v>742500</v>
      </c>
      <c r="D697">
        <v>111375</v>
      </c>
    </row>
    <row r="698" spans="1:4" x14ac:dyDescent="0.3">
      <c r="A698" t="s">
        <v>48</v>
      </c>
      <c r="B698">
        <v>546</v>
      </c>
      <c r="C698">
        <v>163800</v>
      </c>
      <c r="D698">
        <v>24570</v>
      </c>
    </row>
    <row r="699" spans="1:4" x14ac:dyDescent="0.3">
      <c r="A699" t="s">
        <v>48</v>
      </c>
      <c r="B699">
        <v>1368</v>
      </c>
      <c r="C699">
        <v>9576</v>
      </c>
      <c r="D699">
        <v>1436.4</v>
      </c>
    </row>
    <row r="700" spans="1:4" x14ac:dyDescent="0.3">
      <c r="A700" t="s">
        <v>48</v>
      </c>
      <c r="B700">
        <v>723</v>
      </c>
      <c r="C700">
        <v>5061</v>
      </c>
      <c r="D700">
        <v>759.15</v>
      </c>
    </row>
    <row r="701" spans="1:4" x14ac:dyDescent="0.3">
      <c r="A701" t="s">
        <v>48</v>
      </c>
      <c r="B701">
        <v>1806</v>
      </c>
      <c r="C701">
        <v>21672</v>
      </c>
      <c r="D701">
        <v>3250.8</v>
      </c>
    </row>
    <row r="702" spans="1:4" x14ac:dyDescent="0.3">
      <c r="A702" t="s">
        <v>47</v>
      </c>
      <c r="B702">
        <v>1579</v>
      </c>
      <c r="C702">
        <v>31580</v>
      </c>
      <c r="D702">
        <v>1579</v>
      </c>
    </row>
    <row r="703" spans="1:4" x14ac:dyDescent="0.3">
      <c r="A703" t="s">
        <v>47</v>
      </c>
      <c r="B703">
        <v>861</v>
      </c>
      <c r="C703">
        <v>107625</v>
      </c>
      <c r="D703">
        <v>5381.25</v>
      </c>
    </row>
    <row r="704" spans="1:4" x14ac:dyDescent="0.3">
      <c r="A704" t="s">
        <v>47</v>
      </c>
      <c r="B704">
        <v>704</v>
      </c>
      <c r="C704">
        <v>88000</v>
      </c>
      <c r="D704">
        <v>4400</v>
      </c>
    </row>
    <row r="705" spans="1:4" x14ac:dyDescent="0.3">
      <c r="A705" t="s">
        <v>47</v>
      </c>
      <c r="B705">
        <v>1033</v>
      </c>
      <c r="C705">
        <v>20660</v>
      </c>
      <c r="D705">
        <v>1033</v>
      </c>
    </row>
    <row r="706" spans="1:4" x14ac:dyDescent="0.3">
      <c r="A706" t="s">
        <v>47</v>
      </c>
      <c r="B706">
        <v>1250</v>
      </c>
      <c r="C706">
        <v>375000</v>
      </c>
      <c r="D706">
        <v>18750</v>
      </c>
    </row>
    <row r="707" spans="1:4" x14ac:dyDescent="0.3">
      <c r="A707" t="s">
        <v>47</v>
      </c>
      <c r="B707">
        <v>1389</v>
      </c>
      <c r="C707">
        <v>27780</v>
      </c>
      <c r="D707">
        <v>1389</v>
      </c>
    </row>
    <row r="708" spans="1:4" x14ac:dyDescent="0.3">
      <c r="A708" t="s">
        <v>47</v>
      </c>
      <c r="B708">
        <v>1265</v>
      </c>
      <c r="C708">
        <v>25300</v>
      </c>
      <c r="D708">
        <v>1265</v>
      </c>
    </row>
    <row r="709" spans="1:4" x14ac:dyDescent="0.3">
      <c r="A709" t="s">
        <v>47</v>
      </c>
      <c r="B709">
        <v>2297</v>
      </c>
      <c r="C709">
        <v>45940</v>
      </c>
      <c r="D709">
        <v>2297</v>
      </c>
    </row>
    <row r="710" spans="1:4" x14ac:dyDescent="0.3">
      <c r="A710" t="s">
        <v>47</v>
      </c>
      <c r="B710">
        <v>2663</v>
      </c>
      <c r="C710">
        <v>53260</v>
      </c>
      <c r="D710">
        <v>2663</v>
      </c>
    </row>
    <row r="711" spans="1:4" x14ac:dyDescent="0.3">
      <c r="A711" t="s">
        <v>47</v>
      </c>
      <c r="B711">
        <v>570</v>
      </c>
      <c r="C711">
        <v>3990</v>
      </c>
      <c r="D711">
        <v>199.5</v>
      </c>
    </row>
    <row r="712" spans="1:4" x14ac:dyDescent="0.3">
      <c r="A712" t="s">
        <v>47</v>
      </c>
      <c r="B712">
        <v>2487</v>
      </c>
      <c r="C712">
        <v>17409</v>
      </c>
      <c r="D712">
        <v>870.45</v>
      </c>
    </row>
    <row r="713" spans="1:4" x14ac:dyDescent="0.3">
      <c r="A713" t="s">
        <v>47</v>
      </c>
      <c r="B713">
        <v>1350</v>
      </c>
      <c r="C713">
        <v>472500</v>
      </c>
      <c r="D713">
        <v>23625</v>
      </c>
    </row>
    <row r="714" spans="1:4" x14ac:dyDescent="0.3">
      <c r="A714" t="s">
        <v>47</v>
      </c>
      <c r="B714">
        <v>552</v>
      </c>
      <c r="C714">
        <v>193200</v>
      </c>
      <c r="D714">
        <v>9660</v>
      </c>
    </row>
    <row r="715" spans="1:4" x14ac:dyDescent="0.3">
      <c r="A715" t="s">
        <v>47</v>
      </c>
      <c r="B715">
        <v>1228</v>
      </c>
      <c r="C715">
        <v>429800</v>
      </c>
      <c r="D715">
        <v>21490</v>
      </c>
    </row>
    <row r="716" spans="1:4" x14ac:dyDescent="0.3">
      <c r="A716" t="s">
        <v>47</v>
      </c>
      <c r="B716">
        <v>1250</v>
      </c>
      <c r="C716">
        <v>375000</v>
      </c>
      <c r="D716">
        <v>18750</v>
      </c>
    </row>
    <row r="717" spans="1:4" x14ac:dyDescent="0.3">
      <c r="A717" t="s">
        <v>47</v>
      </c>
      <c r="B717">
        <v>3801</v>
      </c>
      <c r="C717">
        <v>57015</v>
      </c>
      <c r="D717">
        <v>3420.9</v>
      </c>
    </row>
    <row r="718" spans="1:4" x14ac:dyDescent="0.3">
      <c r="A718" t="s">
        <v>47</v>
      </c>
      <c r="B718">
        <v>1117.5</v>
      </c>
      <c r="C718">
        <v>22350</v>
      </c>
      <c r="D718">
        <v>1341</v>
      </c>
    </row>
    <row r="719" spans="1:4" x14ac:dyDescent="0.3">
      <c r="A719" t="s">
        <v>47</v>
      </c>
      <c r="B719">
        <v>2844</v>
      </c>
      <c r="C719">
        <v>42660</v>
      </c>
      <c r="D719">
        <v>2559.6</v>
      </c>
    </row>
    <row r="720" spans="1:4" x14ac:dyDescent="0.3">
      <c r="A720" t="s">
        <v>47</v>
      </c>
      <c r="B720">
        <v>562</v>
      </c>
      <c r="C720">
        <v>6744</v>
      </c>
      <c r="D720">
        <v>404.64</v>
      </c>
    </row>
    <row r="721" spans="1:4" x14ac:dyDescent="0.3">
      <c r="A721" t="s">
        <v>47</v>
      </c>
      <c r="B721">
        <v>2299</v>
      </c>
      <c r="C721">
        <v>27588</v>
      </c>
      <c r="D721">
        <v>1655.28</v>
      </c>
    </row>
    <row r="722" spans="1:4" x14ac:dyDescent="0.3">
      <c r="A722" t="s">
        <v>47</v>
      </c>
      <c r="B722">
        <v>2030</v>
      </c>
      <c r="C722">
        <v>30450</v>
      </c>
      <c r="D722">
        <v>1827</v>
      </c>
    </row>
    <row r="723" spans="1:4" x14ac:dyDescent="0.3">
      <c r="A723" t="s">
        <v>47</v>
      </c>
      <c r="B723">
        <v>263</v>
      </c>
      <c r="C723">
        <v>1841</v>
      </c>
      <c r="D723">
        <v>110.46</v>
      </c>
    </row>
    <row r="724" spans="1:4" x14ac:dyDescent="0.3">
      <c r="A724" t="s">
        <v>47</v>
      </c>
      <c r="B724">
        <v>887</v>
      </c>
      <c r="C724">
        <v>110875</v>
      </c>
      <c r="D724">
        <v>6652.5</v>
      </c>
    </row>
    <row r="725" spans="1:4" x14ac:dyDescent="0.3">
      <c r="A725" t="s">
        <v>47</v>
      </c>
      <c r="B725">
        <v>980</v>
      </c>
      <c r="C725">
        <v>343000</v>
      </c>
      <c r="D725">
        <v>20580</v>
      </c>
    </row>
    <row r="726" spans="1:4" x14ac:dyDescent="0.3">
      <c r="A726" t="s">
        <v>47</v>
      </c>
      <c r="B726">
        <v>1460</v>
      </c>
      <c r="C726">
        <v>511000</v>
      </c>
      <c r="D726">
        <v>30660</v>
      </c>
    </row>
    <row r="727" spans="1:4" x14ac:dyDescent="0.3">
      <c r="A727" t="s">
        <v>47</v>
      </c>
      <c r="B727">
        <v>1403</v>
      </c>
      <c r="C727">
        <v>9821</v>
      </c>
      <c r="D727">
        <v>589.26</v>
      </c>
    </row>
    <row r="728" spans="1:4" x14ac:dyDescent="0.3">
      <c r="A728" t="s">
        <v>47</v>
      </c>
      <c r="B728">
        <v>2723</v>
      </c>
      <c r="C728">
        <v>32676</v>
      </c>
      <c r="D728">
        <v>1960.56</v>
      </c>
    </row>
    <row r="729" spans="1:4" x14ac:dyDescent="0.3">
      <c r="A729" t="s">
        <v>47</v>
      </c>
      <c r="B729">
        <v>1496</v>
      </c>
      <c r="C729">
        <v>523600</v>
      </c>
      <c r="D729">
        <v>31416</v>
      </c>
    </row>
    <row r="730" spans="1:4" x14ac:dyDescent="0.3">
      <c r="A730" t="s">
        <v>47</v>
      </c>
      <c r="B730">
        <v>2299</v>
      </c>
      <c r="C730">
        <v>27588</v>
      </c>
      <c r="D730">
        <v>1655.28</v>
      </c>
    </row>
    <row r="731" spans="1:4" x14ac:dyDescent="0.3">
      <c r="A731" t="s">
        <v>47</v>
      </c>
      <c r="B731">
        <v>727</v>
      </c>
      <c r="C731">
        <v>254450</v>
      </c>
      <c r="D731">
        <v>15267</v>
      </c>
    </row>
    <row r="732" spans="1:4" x14ac:dyDescent="0.3">
      <c r="A732" t="s">
        <v>47</v>
      </c>
      <c r="B732">
        <v>952</v>
      </c>
      <c r="C732">
        <v>119000</v>
      </c>
      <c r="D732">
        <v>7140</v>
      </c>
    </row>
    <row r="733" spans="1:4" x14ac:dyDescent="0.3">
      <c r="A733" t="s">
        <v>47</v>
      </c>
      <c r="B733">
        <v>2755</v>
      </c>
      <c r="C733">
        <v>344375</v>
      </c>
      <c r="D733">
        <v>20662.5</v>
      </c>
    </row>
    <row r="734" spans="1:4" x14ac:dyDescent="0.3">
      <c r="A734" t="s">
        <v>47</v>
      </c>
      <c r="B734">
        <v>1530</v>
      </c>
      <c r="C734">
        <v>22950</v>
      </c>
      <c r="D734">
        <v>1377</v>
      </c>
    </row>
    <row r="735" spans="1:4" x14ac:dyDescent="0.3">
      <c r="A735" t="s">
        <v>47</v>
      </c>
      <c r="B735">
        <v>1496</v>
      </c>
      <c r="C735">
        <v>523600</v>
      </c>
      <c r="D735">
        <v>31416</v>
      </c>
    </row>
    <row r="736" spans="1:4" x14ac:dyDescent="0.3">
      <c r="A736" t="s">
        <v>47</v>
      </c>
      <c r="B736">
        <v>1498</v>
      </c>
      <c r="C736">
        <v>10486</v>
      </c>
      <c r="D736">
        <v>629.16</v>
      </c>
    </row>
    <row r="737" spans="1:4" x14ac:dyDescent="0.3">
      <c r="A737" t="s">
        <v>47</v>
      </c>
      <c r="B737">
        <v>1221</v>
      </c>
      <c r="C737">
        <v>366300</v>
      </c>
      <c r="D737">
        <v>21978</v>
      </c>
    </row>
    <row r="738" spans="1:4" x14ac:dyDescent="0.3">
      <c r="A738" t="s">
        <v>47</v>
      </c>
      <c r="B738">
        <v>2076</v>
      </c>
      <c r="C738">
        <v>726600</v>
      </c>
      <c r="D738">
        <v>43596</v>
      </c>
    </row>
    <row r="739" spans="1:4" x14ac:dyDescent="0.3">
      <c r="A739" t="s">
        <v>47</v>
      </c>
      <c r="B739">
        <v>2844</v>
      </c>
      <c r="C739">
        <v>42660</v>
      </c>
      <c r="D739">
        <v>2559.6</v>
      </c>
    </row>
    <row r="740" spans="1:4" x14ac:dyDescent="0.3">
      <c r="A740" t="s">
        <v>47</v>
      </c>
      <c r="B740">
        <v>1498</v>
      </c>
      <c r="C740">
        <v>10486</v>
      </c>
      <c r="D740">
        <v>629.16</v>
      </c>
    </row>
    <row r="741" spans="1:4" x14ac:dyDescent="0.3">
      <c r="A741" t="s">
        <v>47</v>
      </c>
      <c r="B741">
        <v>1221</v>
      </c>
      <c r="C741">
        <v>366300</v>
      </c>
      <c r="D741">
        <v>21978</v>
      </c>
    </row>
    <row r="742" spans="1:4" x14ac:dyDescent="0.3">
      <c r="A742" t="s">
        <v>47</v>
      </c>
      <c r="B742">
        <v>1123</v>
      </c>
      <c r="C742">
        <v>22460</v>
      </c>
      <c r="D742">
        <v>1347.6</v>
      </c>
    </row>
    <row r="743" spans="1:4" x14ac:dyDescent="0.3">
      <c r="A743" t="s">
        <v>47</v>
      </c>
      <c r="B743">
        <v>2436</v>
      </c>
      <c r="C743">
        <v>730800</v>
      </c>
      <c r="D743">
        <v>43848</v>
      </c>
    </row>
    <row r="744" spans="1:4" x14ac:dyDescent="0.3">
      <c r="A744" t="s">
        <v>47</v>
      </c>
      <c r="B744">
        <v>1987.5</v>
      </c>
      <c r="C744">
        <v>248437.5</v>
      </c>
      <c r="D744">
        <v>14906.25</v>
      </c>
    </row>
    <row r="745" spans="1:4" x14ac:dyDescent="0.3">
      <c r="A745" t="s">
        <v>47</v>
      </c>
      <c r="B745">
        <v>1679</v>
      </c>
      <c r="C745">
        <v>587650</v>
      </c>
      <c r="D745">
        <v>35259</v>
      </c>
    </row>
    <row r="746" spans="1:4" x14ac:dyDescent="0.3">
      <c r="A746" t="s">
        <v>47</v>
      </c>
      <c r="B746">
        <v>727</v>
      </c>
      <c r="C746">
        <v>254450</v>
      </c>
      <c r="D746">
        <v>15267</v>
      </c>
    </row>
    <row r="747" spans="1:4" x14ac:dyDescent="0.3">
      <c r="A747" t="s">
        <v>47</v>
      </c>
      <c r="B747">
        <v>1403</v>
      </c>
      <c r="C747">
        <v>9821</v>
      </c>
      <c r="D747">
        <v>589.26</v>
      </c>
    </row>
    <row r="748" spans="1:4" x14ac:dyDescent="0.3">
      <c r="A748" t="s">
        <v>47</v>
      </c>
      <c r="B748">
        <v>2076</v>
      </c>
      <c r="C748">
        <v>726600</v>
      </c>
      <c r="D748">
        <v>43596</v>
      </c>
    </row>
    <row r="749" spans="1:4" x14ac:dyDescent="0.3">
      <c r="A749" t="s">
        <v>47</v>
      </c>
      <c r="B749">
        <v>1757</v>
      </c>
      <c r="C749">
        <v>35140</v>
      </c>
      <c r="D749">
        <v>2108.4</v>
      </c>
    </row>
    <row r="750" spans="1:4" x14ac:dyDescent="0.3">
      <c r="A750" t="s">
        <v>47</v>
      </c>
      <c r="B750">
        <v>2198</v>
      </c>
      <c r="C750">
        <v>32970</v>
      </c>
      <c r="D750">
        <v>1978.2</v>
      </c>
    </row>
    <row r="751" spans="1:4" x14ac:dyDescent="0.3">
      <c r="A751" t="s">
        <v>47</v>
      </c>
      <c r="B751">
        <v>1743</v>
      </c>
      <c r="C751">
        <v>26145</v>
      </c>
      <c r="D751">
        <v>1568.7</v>
      </c>
    </row>
    <row r="752" spans="1:4" x14ac:dyDescent="0.3">
      <c r="A752" t="s">
        <v>47</v>
      </c>
      <c r="B752">
        <v>1153</v>
      </c>
      <c r="C752">
        <v>17295</v>
      </c>
      <c r="D752">
        <v>1037.7</v>
      </c>
    </row>
    <row r="753" spans="1:4" x14ac:dyDescent="0.3">
      <c r="A753" t="s">
        <v>47</v>
      </c>
      <c r="B753">
        <v>1757</v>
      </c>
      <c r="C753">
        <v>35140</v>
      </c>
      <c r="D753">
        <v>2108.4</v>
      </c>
    </row>
    <row r="754" spans="1:4" x14ac:dyDescent="0.3">
      <c r="A754" t="s">
        <v>47</v>
      </c>
      <c r="B754">
        <v>1001</v>
      </c>
      <c r="C754">
        <v>20020</v>
      </c>
      <c r="D754">
        <v>1201.2</v>
      </c>
    </row>
    <row r="755" spans="1:4" x14ac:dyDescent="0.3">
      <c r="A755" t="s">
        <v>47</v>
      </c>
      <c r="B755">
        <v>1333</v>
      </c>
      <c r="C755">
        <v>9331</v>
      </c>
      <c r="D755">
        <v>559.86</v>
      </c>
    </row>
    <row r="756" spans="1:4" x14ac:dyDescent="0.3">
      <c r="A756" t="s">
        <v>47</v>
      </c>
      <c r="B756">
        <v>1153</v>
      </c>
      <c r="C756">
        <v>17295</v>
      </c>
      <c r="D756">
        <v>1037.7</v>
      </c>
    </row>
    <row r="757" spans="1:4" x14ac:dyDescent="0.3">
      <c r="A757" t="s">
        <v>47</v>
      </c>
      <c r="B757">
        <v>727</v>
      </c>
      <c r="C757">
        <v>8724</v>
      </c>
      <c r="D757">
        <v>610.67999999999995</v>
      </c>
    </row>
    <row r="758" spans="1:4" x14ac:dyDescent="0.3">
      <c r="A758" t="s">
        <v>47</v>
      </c>
      <c r="B758">
        <v>1884</v>
      </c>
      <c r="C758">
        <v>22608</v>
      </c>
      <c r="D758">
        <v>1582.56</v>
      </c>
    </row>
    <row r="759" spans="1:4" x14ac:dyDescent="0.3">
      <c r="A759" t="s">
        <v>47</v>
      </c>
      <c r="B759">
        <v>1834</v>
      </c>
      <c r="C759">
        <v>36680</v>
      </c>
      <c r="D759">
        <v>2567.6</v>
      </c>
    </row>
    <row r="760" spans="1:4" x14ac:dyDescent="0.3">
      <c r="A760" t="s">
        <v>47</v>
      </c>
      <c r="B760">
        <v>2340</v>
      </c>
      <c r="C760">
        <v>28080</v>
      </c>
      <c r="D760">
        <v>1965.6</v>
      </c>
    </row>
    <row r="761" spans="1:4" x14ac:dyDescent="0.3">
      <c r="A761" t="s">
        <v>47</v>
      </c>
      <c r="B761">
        <v>2342</v>
      </c>
      <c r="C761">
        <v>28104</v>
      </c>
      <c r="D761">
        <v>1967.28</v>
      </c>
    </row>
    <row r="762" spans="1:4" x14ac:dyDescent="0.3">
      <c r="A762" t="s">
        <v>47</v>
      </c>
      <c r="B762">
        <v>1031</v>
      </c>
      <c r="C762">
        <v>7217</v>
      </c>
      <c r="D762">
        <v>505.19</v>
      </c>
    </row>
    <row r="763" spans="1:4" x14ac:dyDescent="0.3">
      <c r="A763" t="s">
        <v>47</v>
      </c>
      <c r="B763">
        <v>1262</v>
      </c>
      <c r="C763">
        <v>18930</v>
      </c>
      <c r="D763">
        <v>1325.1</v>
      </c>
    </row>
    <row r="764" spans="1:4" x14ac:dyDescent="0.3">
      <c r="A764" t="s">
        <v>47</v>
      </c>
      <c r="B764">
        <v>1135</v>
      </c>
      <c r="C764">
        <v>7945</v>
      </c>
      <c r="D764">
        <v>556.15</v>
      </c>
    </row>
    <row r="765" spans="1:4" x14ac:dyDescent="0.3">
      <c r="A765" t="s">
        <v>47</v>
      </c>
      <c r="B765">
        <v>547</v>
      </c>
      <c r="C765">
        <v>3829</v>
      </c>
      <c r="D765">
        <v>268.02999999999997</v>
      </c>
    </row>
    <row r="766" spans="1:4" x14ac:dyDescent="0.3">
      <c r="A766" t="s">
        <v>47</v>
      </c>
      <c r="B766">
        <v>1582</v>
      </c>
      <c r="C766">
        <v>11074</v>
      </c>
      <c r="D766">
        <v>775.18</v>
      </c>
    </row>
    <row r="767" spans="1:4" x14ac:dyDescent="0.3">
      <c r="A767" t="s">
        <v>47</v>
      </c>
      <c r="B767">
        <v>1738.5</v>
      </c>
      <c r="C767">
        <v>20862</v>
      </c>
      <c r="D767">
        <v>1460.34</v>
      </c>
    </row>
    <row r="768" spans="1:4" x14ac:dyDescent="0.3">
      <c r="A768" t="s">
        <v>47</v>
      </c>
      <c r="B768">
        <v>2215</v>
      </c>
      <c r="C768">
        <v>26580</v>
      </c>
      <c r="D768">
        <v>1860.6</v>
      </c>
    </row>
    <row r="769" spans="1:4" x14ac:dyDescent="0.3">
      <c r="A769" t="s">
        <v>47</v>
      </c>
      <c r="B769">
        <v>1582</v>
      </c>
      <c r="C769">
        <v>11074</v>
      </c>
      <c r="D769">
        <v>775.18</v>
      </c>
    </row>
    <row r="770" spans="1:4" x14ac:dyDescent="0.3">
      <c r="A770" t="s">
        <v>47</v>
      </c>
      <c r="B770">
        <v>1135</v>
      </c>
      <c r="C770">
        <v>7945</v>
      </c>
      <c r="D770">
        <v>556.15</v>
      </c>
    </row>
    <row r="771" spans="1:4" x14ac:dyDescent="0.3">
      <c r="A771" t="s">
        <v>47</v>
      </c>
      <c r="B771">
        <v>1761</v>
      </c>
      <c r="C771">
        <v>616350</v>
      </c>
      <c r="D771">
        <v>43144.5</v>
      </c>
    </row>
    <row r="772" spans="1:4" x14ac:dyDescent="0.3">
      <c r="A772" t="s">
        <v>47</v>
      </c>
      <c r="B772">
        <v>448</v>
      </c>
      <c r="C772">
        <v>134400</v>
      </c>
      <c r="D772">
        <v>9408</v>
      </c>
    </row>
    <row r="773" spans="1:4" x14ac:dyDescent="0.3">
      <c r="A773" t="s">
        <v>47</v>
      </c>
      <c r="B773">
        <v>2181</v>
      </c>
      <c r="C773">
        <v>654300</v>
      </c>
      <c r="D773">
        <v>45801</v>
      </c>
    </row>
    <row r="774" spans="1:4" x14ac:dyDescent="0.3">
      <c r="A774" t="s">
        <v>47</v>
      </c>
      <c r="B774">
        <v>1976</v>
      </c>
      <c r="C774">
        <v>39520</v>
      </c>
      <c r="D774">
        <v>2766.4</v>
      </c>
    </row>
    <row r="775" spans="1:4" x14ac:dyDescent="0.3">
      <c r="A775" t="s">
        <v>47</v>
      </c>
      <c r="B775">
        <v>2181</v>
      </c>
      <c r="C775">
        <v>654300</v>
      </c>
      <c r="D775">
        <v>45801</v>
      </c>
    </row>
    <row r="776" spans="1:4" x14ac:dyDescent="0.3">
      <c r="A776" t="s">
        <v>47</v>
      </c>
      <c r="B776">
        <v>2500</v>
      </c>
      <c r="C776">
        <v>312500</v>
      </c>
      <c r="D776">
        <v>21875</v>
      </c>
    </row>
    <row r="777" spans="1:4" x14ac:dyDescent="0.3">
      <c r="A777" t="s">
        <v>47</v>
      </c>
      <c r="B777">
        <v>1702</v>
      </c>
      <c r="C777">
        <v>510600</v>
      </c>
      <c r="D777">
        <v>35742</v>
      </c>
    </row>
    <row r="778" spans="1:4" x14ac:dyDescent="0.3">
      <c r="A778" t="s">
        <v>47</v>
      </c>
      <c r="B778">
        <v>448</v>
      </c>
      <c r="C778">
        <v>134400</v>
      </c>
      <c r="D778">
        <v>9408</v>
      </c>
    </row>
    <row r="779" spans="1:4" x14ac:dyDescent="0.3">
      <c r="A779" t="s">
        <v>47</v>
      </c>
      <c r="B779">
        <v>3513</v>
      </c>
      <c r="C779">
        <v>439125</v>
      </c>
      <c r="D779">
        <v>30738.75</v>
      </c>
    </row>
    <row r="780" spans="1:4" x14ac:dyDescent="0.3">
      <c r="A780" t="s">
        <v>47</v>
      </c>
      <c r="B780">
        <v>2101</v>
      </c>
      <c r="C780">
        <v>31515</v>
      </c>
      <c r="D780">
        <v>2206.0500000000002</v>
      </c>
    </row>
    <row r="781" spans="1:4" x14ac:dyDescent="0.3">
      <c r="A781" t="s">
        <v>47</v>
      </c>
      <c r="B781">
        <v>2931</v>
      </c>
      <c r="C781">
        <v>43965</v>
      </c>
      <c r="D781">
        <v>3077.55</v>
      </c>
    </row>
    <row r="782" spans="1:4" x14ac:dyDescent="0.3">
      <c r="A782" t="s">
        <v>47</v>
      </c>
      <c r="B782">
        <v>1535</v>
      </c>
      <c r="C782">
        <v>30700</v>
      </c>
      <c r="D782">
        <v>2149</v>
      </c>
    </row>
    <row r="783" spans="1:4" x14ac:dyDescent="0.3">
      <c r="A783" t="s">
        <v>47</v>
      </c>
      <c r="B783">
        <v>1123</v>
      </c>
      <c r="C783">
        <v>336900</v>
      </c>
      <c r="D783">
        <v>23583</v>
      </c>
    </row>
    <row r="784" spans="1:4" x14ac:dyDescent="0.3">
      <c r="A784" t="s">
        <v>47</v>
      </c>
      <c r="B784">
        <v>1404</v>
      </c>
      <c r="C784">
        <v>421200</v>
      </c>
      <c r="D784">
        <v>29484</v>
      </c>
    </row>
    <row r="785" spans="1:4" x14ac:dyDescent="0.3">
      <c r="A785" t="s">
        <v>47</v>
      </c>
      <c r="B785">
        <v>2763</v>
      </c>
      <c r="C785">
        <v>33156</v>
      </c>
      <c r="D785">
        <v>2320.92</v>
      </c>
    </row>
    <row r="786" spans="1:4" x14ac:dyDescent="0.3">
      <c r="A786" t="s">
        <v>47</v>
      </c>
      <c r="B786">
        <v>2125</v>
      </c>
      <c r="C786">
        <v>14875</v>
      </c>
      <c r="D786">
        <v>1041.25</v>
      </c>
    </row>
    <row r="787" spans="1:4" x14ac:dyDescent="0.3">
      <c r="A787" t="s">
        <v>47</v>
      </c>
      <c r="B787">
        <v>1659</v>
      </c>
      <c r="C787">
        <v>497700</v>
      </c>
      <c r="D787">
        <v>34839</v>
      </c>
    </row>
    <row r="788" spans="1:4" x14ac:dyDescent="0.3">
      <c r="A788" t="s">
        <v>47</v>
      </c>
      <c r="B788">
        <v>609</v>
      </c>
      <c r="C788">
        <v>12180</v>
      </c>
      <c r="D788">
        <v>852.6</v>
      </c>
    </row>
    <row r="789" spans="1:4" x14ac:dyDescent="0.3">
      <c r="A789" t="s">
        <v>47</v>
      </c>
      <c r="B789">
        <v>2087</v>
      </c>
      <c r="C789">
        <v>260875</v>
      </c>
      <c r="D789">
        <v>18261.25</v>
      </c>
    </row>
    <row r="790" spans="1:4" x14ac:dyDescent="0.3">
      <c r="A790" t="s">
        <v>47</v>
      </c>
      <c r="B790">
        <v>1976</v>
      </c>
      <c r="C790">
        <v>39520</v>
      </c>
      <c r="D790">
        <v>2766.4</v>
      </c>
    </row>
    <row r="791" spans="1:4" x14ac:dyDescent="0.3">
      <c r="A791" t="s">
        <v>47</v>
      </c>
      <c r="B791">
        <v>1421</v>
      </c>
      <c r="C791">
        <v>28420</v>
      </c>
      <c r="D791">
        <v>1989.4</v>
      </c>
    </row>
    <row r="792" spans="1:4" x14ac:dyDescent="0.3">
      <c r="A792" t="s">
        <v>47</v>
      </c>
      <c r="B792">
        <v>1372</v>
      </c>
      <c r="C792">
        <v>411600</v>
      </c>
      <c r="D792">
        <v>28812</v>
      </c>
    </row>
    <row r="793" spans="1:4" x14ac:dyDescent="0.3">
      <c r="A793" t="s">
        <v>47</v>
      </c>
      <c r="B793">
        <v>588</v>
      </c>
      <c r="C793">
        <v>11760</v>
      </c>
      <c r="D793">
        <v>823.2</v>
      </c>
    </row>
    <row r="794" spans="1:4" x14ac:dyDescent="0.3">
      <c r="A794" t="s">
        <v>47</v>
      </c>
      <c r="B794">
        <v>3244.5</v>
      </c>
      <c r="C794">
        <v>38934</v>
      </c>
      <c r="D794">
        <v>2725.38</v>
      </c>
    </row>
    <row r="795" spans="1:4" x14ac:dyDescent="0.3">
      <c r="A795" t="s">
        <v>47</v>
      </c>
      <c r="B795">
        <v>959</v>
      </c>
      <c r="C795">
        <v>287700</v>
      </c>
      <c r="D795">
        <v>20139</v>
      </c>
    </row>
    <row r="796" spans="1:4" x14ac:dyDescent="0.3">
      <c r="A796" t="s">
        <v>47</v>
      </c>
      <c r="B796">
        <v>2747</v>
      </c>
      <c r="C796">
        <v>824100</v>
      </c>
      <c r="D796">
        <v>57687</v>
      </c>
    </row>
    <row r="797" spans="1:4" x14ac:dyDescent="0.3">
      <c r="A797" t="s">
        <v>47</v>
      </c>
      <c r="B797">
        <v>1645</v>
      </c>
      <c r="C797">
        <v>205625</v>
      </c>
      <c r="D797">
        <v>14393.75</v>
      </c>
    </row>
    <row r="798" spans="1:4" x14ac:dyDescent="0.3">
      <c r="A798" t="s">
        <v>47</v>
      </c>
      <c r="B798">
        <v>2876</v>
      </c>
      <c r="C798">
        <v>1006600</v>
      </c>
      <c r="D798">
        <v>70462</v>
      </c>
    </row>
    <row r="799" spans="1:4" x14ac:dyDescent="0.3">
      <c r="A799" t="s">
        <v>47</v>
      </c>
      <c r="B799">
        <v>994</v>
      </c>
      <c r="C799">
        <v>124250</v>
      </c>
      <c r="D799">
        <v>8697.5</v>
      </c>
    </row>
    <row r="800" spans="1:4" x14ac:dyDescent="0.3">
      <c r="A800" t="s">
        <v>47</v>
      </c>
      <c r="B800">
        <v>1118</v>
      </c>
      <c r="C800">
        <v>22360</v>
      </c>
      <c r="D800">
        <v>1565.2</v>
      </c>
    </row>
    <row r="801" spans="1:4" x14ac:dyDescent="0.3">
      <c r="A801" t="s">
        <v>47</v>
      </c>
      <c r="B801">
        <v>1372</v>
      </c>
      <c r="C801">
        <v>411600</v>
      </c>
      <c r="D801">
        <v>28812</v>
      </c>
    </row>
    <row r="802" spans="1:4" x14ac:dyDescent="0.3">
      <c r="A802" t="s">
        <v>47</v>
      </c>
      <c r="B802">
        <v>488</v>
      </c>
      <c r="C802">
        <v>3416</v>
      </c>
      <c r="D802">
        <v>273.27999999999997</v>
      </c>
    </row>
    <row r="803" spans="1:4" x14ac:dyDescent="0.3">
      <c r="A803" t="s">
        <v>47</v>
      </c>
      <c r="B803">
        <v>1282</v>
      </c>
      <c r="C803">
        <v>25640</v>
      </c>
      <c r="D803">
        <v>2051.1999999999998</v>
      </c>
    </row>
    <row r="804" spans="1:4" x14ac:dyDescent="0.3">
      <c r="A804" t="s">
        <v>47</v>
      </c>
      <c r="B804">
        <v>257</v>
      </c>
      <c r="C804">
        <v>1799</v>
      </c>
      <c r="D804">
        <v>143.91999999999999</v>
      </c>
    </row>
    <row r="805" spans="1:4" x14ac:dyDescent="0.3">
      <c r="A805" t="s">
        <v>47</v>
      </c>
      <c r="B805">
        <v>1282</v>
      </c>
      <c r="C805">
        <v>25640</v>
      </c>
      <c r="D805">
        <v>2051.1999999999998</v>
      </c>
    </row>
    <row r="806" spans="1:4" x14ac:dyDescent="0.3">
      <c r="A806" t="s">
        <v>47</v>
      </c>
      <c r="B806">
        <v>1540</v>
      </c>
      <c r="C806">
        <v>192500</v>
      </c>
      <c r="D806">
        <v>15400</v>
      </c>
    </row>
    <row r="807" spans="1:4" x14ac:dyDescent="0.3">
      <c r="A807" t="s">
        <v>47</v>
      </c>
      <c r="B807">
        <v>490</v>
      </c>
      <c r="C807">
        <v>7350</v>
      </c>
      <c r="D807">
        <v>588</v>
      </c>
    </row>
    <row r="808" spans="1:4" x14ac:dyDescent="0.3">
      <c r="A808" t="s">
        <v>47</v>
      </c>
      <c r="B808">
        <v>1362</v>
      </c>
      <c r="C808">
        <v>476700</v>
      </c>
      <c r="D808">
        <v>38136</v>
      </c>
    </row>
    <row r="809" spans="1:4" x14ac:dyDescent="0.3">
      <c r="A809" t="s">
        <v>47</v>
      </c>
      <c r="B809">
        <v>2501</v>
      </c>
      <c r="C809">
        <v>37515</v>
      </c>
      <c r="D809">
        <v>3001.2</v>
      </c>
    </row>
    <row r="810" spans="1:4" x14ac:dyDescent="0.3">
      <c r="A810" t="s">
        <v>47</v>
      </c>
      <c r="B810">
        <v>708</v>
      </c>
      <c r="C810">
        <v>14160</v>
      </c>
      <c r="D810">
        <v>1132.8</v>
      </c>
    </row>
    <row r="811" spans="1:4" x14ac:dyDescent="0.3">
      <c r="A811" t="s">
        <v>47</v>
      </c>
      <c r="B811">
        <v>645</v>
      </c>
      <c r="C811">
        <v>12900</v>
      </c>
      <c r="D811">
        <v>1032</v>
      </c>
    </row>
    <row r="812" spans="1:4" x14ac:dyDescent="0.3">
      <c r="A812" t="s">
        <v>47</v>
      </c>
      <c r="B812">
        <v>1562</v>
      </c>
      <c r="C812">
        <v>468600</v>
      </c>
      <c r="D812">
        <v>37488</v>
      </c>
    </row>
    <row r="813" spans="1:4" x14ac:dyDescent="0.3">
      <c r="A813" t="s">
        <v>47</v>
      </c>
      <c r="B813">
        <v>1283</v>
      </c>
      <c r="C813">
        <v>384900</v>
      </c>
      <c r="D813">
        <v>30792</v>
      </c>
    </row>
    <row r="814" spans="1:4" x14ac:dyDescent="0.3">
      <c r="A814" t="s">
        <v>47</v>
      </c>
      <c r="B814">
        <v>711</v>
      </c>
      <c r="C814">
        <v>10665</v>
      </c>
      <c r="D814">
        <v>853.2</v>
      </c>
    </row>
    <row r="815" spans="1:4" x14ac:dyDescent="0.3">
      <c r="A815" t="s">
        <v>47</v>
      </c>
      <c r="B815">
        <v>1114</v>
      </c>
      <c r="C815">
        <v>139250</v>
      </c>
      <c r="D815">
        <v>11140</v>
      </c>
    </row>
    <row r="816" spans="1:4" x14ac:dyDescent="0.3">
      <c r="A816" t="s">
        <v>47</v>
      </c>
      <c r="B816">
        <v>1259</v>
      </c>
      <c r="C816">
        <v>8813</v>
      </c>
      <c r="D816">
        <v>705.04</v>
      </c>
    </row>
    <row r="817" spans="1:4" x14ac:dyDescent="0.3">
      <c r="A817" t="s">
        <v>47</v>
      </c>
      <c r="B817">
        <v>1095</v>
      </c>
      <c r="C817">
        <v>7665</v>
      </c>
      <c r="D817">
        <v>613.20000000000005</v>
      </c>
    </row>
    <row r="818" spans="1:4" x14ac:dyDescent="0.3">
      <c r="A818" t="s">
        <v>47</v>
      </c>
      <c r="B818">
        <v>1366</v>
      </c>
      <c r="C818">
        <v>27320</v>
      </c>
      <c r="D818">
        <v>2185.6</v>
      </c>
    </row>
    <row r="819" spans="1:4" x14ac:dyDescent="0.3">
      <c r="A819" t="s">
        <v>47</v>
      </c>
      <c r="B819">
        <v>2460</v>
      </c>
      <c r="C819">
        <v>738000</v>
      </c>
      <c r="D819">
        <v>59040</v>
      </c>
    </row>
    <row r="820" spans="1:4" x14ac:dyDescent="0.3">
      <c r="A820" t="s">
        <v>47</v>
      </c>
      <c r="B820">
        <v>678</v>
      </c>
      <c r="C820">
        <v>4746</v>
      </c>
      <c r="D820">
        <v>379.68</v>
      </c>
    </row>
    <row r="821" spans="1:4" x14ac:dyDescent="0.3">
      <c r="A821" t="s">
        <v>47</v>
      </c>
      <c r="B821">
        <v>1598</v>
      </c>
      <c r="C821">
        <v>11186</v>
      </c>
      <c r="D821">
        <v>894.88</v>
      </c>
    </row>
    <row r="822" spans="1:4" x14ac:dyDescent="0.3">
      <c r="A822" t="s">
        <v>47</v>
      </c>
      <c r="B822">
        <v>2409</v>
      </c>
      <c r="C822">
        <v>16863</v>
      </c>
      <c r="D822">
        <v>1349.04</v>
      </c>
    </row>
    <row r="823" spans="1:4" x14ac:dyDescent="0.3">
      <c r="A823" t="s">
        <v>48</v>
      </c>
      <c r="B823">
        <v>1743</v>
      </c>
      <c r="C823">
        <v>34860</v>
      </c>
      <c r="D823">
        <v>4880.3999999999996</v>
      </c>
    </row>
    <row r="824" spans="1:4" x14ac:dyDescent="0.3">
      <c r="A824" t="s">
        <v>48</v>
      </c>
      <c r="B824">
        <v>2996</v>
      </c>
      <c r="C824">
        <v>20972</v>
      </c>
      <c r="D824">
        <v>2936.08</v>
      </c>
    </row>
    <row r="825" spans="1:4" x14ac:dyDescent="0.3">
      <c r="A825" t="s">
        <v>48</v>
      </c>
      <c r="B825">
        <v>280</v>
      </c>
      <c r="C825">
        <v>1960</v>
      </c>
      <c r="D825">
        <v>274.39999999999998</v>
      </c>
    </row>
    <row r="826" spans="1:4" x14ac:dyDescent="0.3">
      <c r="A826" t="s">
        <v>48</v>
      </c>
      <c r="B826">
        <v>293</v>
      </c>
      <c r="C826">
        <v>2051</v>
      </c>
      <c r="D826">
        <v>287.14</v>
      </c>
    </row>
    <row r="827" spans="1:4" x14ac:dyDescent="0.3">
      <c r="A827" t="s">
        <v>48</v>
      </c>
      <c r="B827">
        <v>2996</v>
      </c>
      <c r="C827">
        <v>20972</v>
      </c>
      <c r="D827">
        <v>2936.08</v>
      </c>
    </row>
    <row r="828" spans="1:4" x14ac:dyDescent="0.3">
      <c r="A828" t="s">
        <v>48</v>
      </c>
      <c r="B828">
        <v>278</v>
      </c>
      <c r="C828">
        <v>4170</v>
      </c>
      <c r="D828">
        <v>583.79999999999995</v>
      </c>
    </row>
    <row r="829" spans="1:4" x14ac:dyDescent="0.3">
      <c r="A829" t="s">
        <v>48</v>
      </c>
      <c r="B829">
        <v>2428</v>
      </c>
      <c r="C829">
        <v>48560</v>
      </c>
      <c r="D829">
        <v>6798.4</v>
      </c>
    </row>
    <row r="830" spans="1:4" x14ac:dyDescent="0.3">
      <c r="A830" t="s">
        <v>48</v>
      </c>
      <c r="B830">
        <v>1767</v>
      </c>
      <c r="C830">
        <v>26505</v>
      </c>
      <c r="D830">
        <v>3710.7</v>
      </c>
    </row>
    <row r="831" spans="1:4" x14ac:dyDescent="0.3">
      <c r="A831" t="s">
        <v>48</v>
      </c>
      <c r="B831">
        <v>1393</v>
      </c>
      <c r="C831">
        <v>16716</v>
      </c>
      <c r="D831">
        <v>2340.2399999999998</v>
      </c>
    </row>
    <row r="832" spans="1:4" x14ac:dyDescent="0.3">
      <c r="A832" t="s">
        <v>48</v>
      </c>
      <c r="B832">
        <v>280</v>
      </c>
      <c r="C832">
        <v>1960</v>
      </c>
      <c r="D832">
        <v>274.39999999999998</v>
      </c>
    </row>
    <row r="833" spans="1:4" x14ac:dyDescent="0.3">
      <c r="A833" t="s">
        <v>48</v>
      </c>
      <c r="B833">
        <v>1393</v>
      </c>
      <c r="C833">
        <v>16716</v>
      </c>
      <c r="D833">
        <v>2340.2399999999998</v>
      </c>
    </row>
    <row r="834" spans="1:4" x14ac:dyDescent="0.3">
      <c r="A834" t="s">
        <v>48</v>
      </c>
      <c r="B834">
        <v>2015</v>
      </c>
      <c r="C834">
        <v>24180</v>
      </c>
      <c r="D834">
        <v>3385.2</v>
      </c>
    </row>
    <row r="835" spans="1:4" x14ac:dyDescent="0.3">
      <c r="A835" t="s">
        <v>48</v>
      </c>
      <c r="B835">
        <v>801</v>
      </c>
      <c r="C835">
        <v>240300</v>
      </c>
      <c r="D835">
        <v>33642</v>
      </c>
    </row>
    <row r="836" spans="1:4" x14ac:dyDescent="0.3">
      <c r="A836" t="s">
        <v>48</v>
      </c>
      <c r="B836">
        <v>1023</v>
      </c>
      <c r="C836">
        <v>127875</v>
      </c>
      <c r="D836">
        <v>17902.5</v>
      </c>
    </row>
    <row r="837" spans="1:4" x14ac:dyDescent="0.3">
      <c r="A837" t="s">
        <v>48</v>
      </c>
      <c r="B837">
        <v>1496</v>
      </c>
      <c r="C837">
        <v>448800</v>
      </c>
      <c r="D837">
        <v>62832</v>
      </c>
    </row>
    <row r="838" spans="1:4" x14ac:dyDescent="0.3">
      <c r="A838" t="s">
        <v>48</v>
      </c>
      <c r="B838">
        <v>1010</v>
      </c>
      <c r="C838">
        <v>303000</v>
      </c>
      <c r="D838">
        <v>42420</v>
      </c>
    </row>
    <row r="839" spans="1:4" x14ac:dyDescent="0.3">
      <c r="A839" t="s">
        <v>48</v>
      </c>
      <c r="B839">
        <v>1513</v>
      </c>
      <c r="C839">
        <v>22695</v>
      </c>
      <c r="D839">
        <v>3177.3</v>
      </c>
    </row>
    <row r="840" spans="1:4" x14ac:dyDescent="0.3">
      <c r="A840" t="s">
        <v>48</v>
      </c>
      <c r="B840">
        <v>2300</v>
      </c>
      <c r="C840">
        <v>34500</v>
      </c>
      <c r="D840">
        <v>4830</v>
      </c>
    </row>
    <row r="841" spans="1:4" x14ac:dyDescent="0.3">
      <c r="A841" t="s">
        <v>48</v>
      </c>
      <c r="B841">
        <v>2821</v>
      </c>
      <c r="C841">
        <v>352625</v>
      </c>
      <c r="D841">
        <v>49367.5</v>
      </c>
    </row>
    <row r="842" spans="1:4" x14ac:dyDescent="0.3">
      <c r="A842" t="s">
        <v>48</v>
      </c>
      <c r="B842">
        <v>2227.5</v>
      </c>
      <c r="C842">
        <v>779625</v>
      </c>
      <c r="D842">
        <v>109147.5</v>
      </c>
    </row>
    <row r="843" spans="1:4" x14ac:dyDescent="0.3">
      <c r="A843" t="s">
        <v>48</v>
      </c>
      <c r="B843">
        <v>1199</v>
      </c>
      <c r="C843">
        <v>419650</v>
      </c>
      <c r="D843">
        <v>58751</v>
      </c>
    </row>
    <row r="844" spans="1:4" x14ac:dyDescent="0.3">
      <c r="A844" t="s">
        <v>48</v>
      </c>
      <c r="B844">
        <v>200</v>
      </c>
      <c r="C844">
        <v>70000</v>
      </c>
      <c r="D844">
        <v>9800</v>
      </c>
    </row>
    <row r="845" spans="1:4" x14ac:dyDescent="0.3">
      <c r="A845" t="s">
        <v>48</v>
      </c>
      <c r="B845">
        <v>388</v>
      </c>
      <c r="C845">
        <v>2716</v>
      </c>
      <c r="D845">
        <v>380.24</v>
      </c>
    </row>
    <row r="846" spans="1:4" x14ac:dyDescent="0.3">
      <c r="A846" t="s">
        <v>48</v>
      </c>
      <c r="B846">
        <v>1727</v>
      </c>
      <c r="C846">
        <v>12089</v>
      </c>
      <c r="D846">
        <v>1692.46</v>
      </c>
    </row>
    <row r="847" spans="1:4" x14ac:dyDescent="0.3">
      <c r="A847" t="s">
        <v>48</v>
      </c>
      <c r="B847">
        <v>2300</v>
      </c>
      <c r="C847">
        <v>34500</v>
      </c>
      <c r="D847">
        <v>4830</v>
      </c>
    </row>
    <row r="848" spans="1:4" x14ac:dyDescent="0.3">
      <c r="A848" t="s">
        <v>48</v>
      </c>
      <c r="B848">
        <v>260</v>
      </c>
      <c r="C848">
        <v>5200</v>
      </c>
      <c r="D848">
        <v>728</v>
      </c>
    </row>
    <row r="849" spans="1:4" x14ac:dyDescent="0.3">
      <c r="A849" t="s">
        <v>48</v>
      </c>
      <c r="B849">
        <v>2470</v>
      </c>
      <c r="C849">
        <v>37050</v>
      </c>
      <c r="D849">
        <v>5187</v>
      </c>
    </row>
    <row r="850" spans="1:4" x14ac:dyDescent="0.3">
      <c r="A850" t="s">
        <v>48</v>
      </c>
      <c r="B850">
        <v>1743</v>
      </c>
      <c r="C850">
        <v>26145</v>
      </c>
      <c r="D850">
        <v>3660.3</v>
      </c>
    </row>
    <row r="851" spans="1:4" x14ac:dyDescent="0.3">
      <c r="A851" t="s">
        <v>48</v>
      </c>
      <c r="B851">
        <v>2914</v>
      </c>
      <c r="C851">
        <v>34968</v>
      </c>
      <c r="D851">
        <v>4895.5200000000004</v>
      </c>
    </row>
    <row r="852" spans="1:4" x14ac:dyDescent="0.3">
      <c r="A852" t="s">
        <v>48</v>
      </c>
      <c r="B852">
        <v>1731</v>
      </c>
      <c r="C852">
        <v>12117</v>
      </c>
      <c r="D852">
        <v>1696.38</v>
      </c>
    </row>
    <row r="853" spans="1:4" x14ac:dyDescent="0.3">
      <c r="A853" t="s">
        <v>48</v>
      </c>
      <c r="B853">
        <v>700</v>
      </c>
      <c r="C853">
        <v>245000</v>
      </c>
      <c r="D853">
        <v>34300</v>
      </c>
    </row>
    <row r="854" spans="1:4" x14ac:dyDescent="0.3">
      <c r="A854" t="s">
        <v>48</v>
      </c>
      <c r="B854">
        <v>2222</v>
      </c>
      <c r="C854">
        <v>26664</v>
      </c>
      <c r="D854">
        <v>3732.96</v>
      </c>
    </row>
    <row r="855" spans="1:4" x14ac:dyDescent="0.3">
      <c r="A855" t="s">
        <v>48</v>
      </c>
      <c r="B855">
        <v>1177</v>
      </c>
      <c r="C855">
        <v>411950</v>
      </c>
      <c r="D855">
        <v>57673</v>
      </c>
    </row>
    <row r="856" spans="1:4" x14ac:dyDescent="0.3">
      <c r="A856" t="s">
        <v>48</v>
      </c>
      <c r="B856">
        <v>1922</v>
      </c>
      <c r="C856">
        <v>672700</v>
      </c>
      <c r="D856">
        <v>94178</v>
      </c>
    </row>
    <row r="857" spans="1:4" x14ac:dyDescent="0.3">
      <c r="A857" t="s">
        <v>48</v>
      </c>
      <c r="B857">
        <v>1575</v>
      </c>
      <c r="C857">
        <v>196875</v>
      </c>
      <c r="D857">
        <v>27562.5</v>
      </c>
    </row>
    <row r="858" spans="1:4" x14ac:dyDescent="0.3">
      <c r="A858" t="s">
        <v>48</v>
      </c>
      <c r="B858">
        <v>606</v>
      </c>
      <c r="C858">
        <v>12120</v>
      </c>
      <c r="D858">
        <v>1696.8</v>
      </c>
    </row>
    <row r="859" spans="1:4" x14ac:dyDescent="0.3">
      <c r="A859" t="s">
        <v>48</v>
      </c>
      <c r="B859">
        <v>2460</v>
      </c>
      <c r="C859">
        <v>738000</v>
      </c>
      <c r="D859">
        <v>103320</v>
      </c>
    </row>
    <row r="860" spans="1:4" x14ac:dyDescent="0.3">
      <c r="A860" t="s">
        <v>48</v>
      </c>
      <c r="B860">
        <v>269</v>
      </c>
      <c r="C860">
        <v>80700</v>
      </c>
      <c r="D860">
        <v>11298</v>
      </c>
    </row>
    <row r="861" spans="1:4" x14ac:dyDescent="0.3">
      <c r="A861" t="s">
        <v>48</v>
      </c>
      <c r="B861">
        <v>2536</v>
      </c>
      <c r="C861">
        <v>760800</v>
      </c>
      <c r="D861">
        <v>106512</v>
      </c>
    </row>
    <row r="862" spans="1:4" x14ac:dyDescent="0.3">
      <c r="A862" t="s">
        <v>48</v>
      </c>
      <c r="B862">
        <v>2903</v>
      </c>
      <c r="C862">
        <v>20321</v>
      </c>
      <c r="D862">
        <v>2844.94</v>
      </c>
    </row>
    <row r="863" spans="1:4" x14ac:dyDescent="0.3">
      <c r="A863" t="s">
        <v>48</v>
      </c>
      <c r="B863">
        <v>2541</v>
      </c>
      <c r="C863">
        <v>762300</v>
      </c>
      <c r="D863">
        <v>106722</v>
      </c>
    </row>
    <row r="864" spans="1:4" x14ac:dyDescent="0.3">
      <c r="A864" t="s">
        <v>48</v>
      </c>
      <c r="B864">
        <v>269</v>
      </c>
      <c r="C864">
        <v>80700</v>
      </c>
      <c r="D864">
        <v>11298</v>
      </c>
    </row>
    <row r="865" spans="1:4" x14ac:dyDescent="0.3">
      <c r="A865" t="s">
        <v>48</v>
      </c>
      <c r="B865">
        <v>1496</v>
      </c>
      <c r="C865">
        <v>448800</v>
      </c>
      <c r="D865">
        <v>62832</v>
      </c>
    </row>
    <row r="866" spans="1:4" x14ac:dyDescent="0.3">
      <c r="A866" t="s">
        <v>48</v>
      </c>
      <c r="B866">
        <v>1010</v>
      </c>
      <c r="C866">
        <v>303000</v>
      </c>
      <c r="D866">
        <v>42420</v>
      </c>
    </row>
    <row r="867" spans="1:4" x14ac:dyDescent="0.3">
      <c r="A867" t="s">
        <v>48</v>
      </c>
      <c r="B867">
        <v>1281</v>
      </c>
      <c r="C867">
        <v>448350</v>
      </c>
      <c r="D867">
        <v>62769</v>
      </c>
    </row>
    <row r="868" spans="1:4" x14ac:dyDescent="0.3">
      <c r="A868" t="s">
        <v>48</v>
      </c>
      <c r="B868">
        <v>888</v>
      </c>
      <c r="C868">
        <v>266400</v>
      </c>
      <c r="D868">
        <v>37296</v>
      </c>
    </row>
    <row r="869" spans="1:4" x14ac:dyDescent="0.3">
      <c r="A869" t="s">
        <v>48</v>
      </c>
      <c r="B869">
        <v>2844</v>
      </c>
      <c r="C869">
        <v>355500</v>
      </c>
      <c r="D869">
        <v>49770</v>
      </c>
    </row>
    <row r="870" spans="1:4" x14ac:dyDescent="0.3">
      <c r="A870" t="s">
        <v>48</v>
      </c>
      <c r="B870">
        <v>2475</v>
      </c>
      <c r="C870">
        <v>29700</v>
      </c>
      <c r="D870">
        <v>4158</v>
      </c>
    </row>
    <row r="871" spans="1:4" x14ac:dyDescent="0.3">
      <c r="A871" t="s">
        <v>48</v>
      </c>
      <c r="B871">
        <v>1743</v>
      </c>
      <c r="C871">
        <v>26145</v>
      </c>
      <c r="D871">
        <v>3660.3</v>
      </c>
    </row>
    <row r="872" spans="1:4" x14ac:dyDescent="0.3">
      <c r="A872" t="s">
        <v>48</v>
      </c>
      <c r="B872">
        <v>2914</v>
      </c>
      <c r="C872">
        <v>34968</v>
      </c>
      <c r="D872">
        <v>4895.5200000000004</v>
      </c>
    </row>
    <row r="873" spans="1:4" x14ac:dyDescent="0.3">
      <c r="A873" t="s">
        <v>48</v>
      </c>
      <c r="B873">
        <v>1731</v>
      </c>
      <c r="C873">
        <v>12117</v>
      </c>
      <c r="D873">
        <v>1696.38</v>
      </c>
    </row>
    <row r="874" spans="1:4" x14ac:dyDescent="0.3">
      <c r="A874" t="s">
        <v>48</v>
      </c>
      <c r="B874">
        <v>1727</v>
      </c>
      <c r="C874">
        <v>12089</v>
      </c>
      <c r="D874">
        <v>1692.46</v>
      </c>
    </row>
    <row r="875" spans="1:4" x14ac:dyDescent="0.3">
      <c r="A875" t="s">
        <v>48</v>
      </c>
      <c r="B875">
        <v>1870</v>
      </c>
      <c r="C875">
        <v>28050</v>
      </c>
      <c r="D875">
        <v>3927</v>
      </c>
    </row>
    <row r="876" spans="1:4" x14ac:dyDescent="0.3">
      <c r="A876" t="s">
        <v>48</v>
      </c>
      <c r="B876">
        <v>1174</v>
      </c>
      <c r="C876">
        <v>146750</v>
      </c>
      <c r="D876">
        <v>22012.5</v>
      </c>
    </row>
    <row r="877" spans="1:4" x14ac:dyDescent="0.3">
      <c r="A877" t="s">
        <v>48</v>
      </c>
      <c r="B877">
        <v>2767</v>
      </c>
      <c r="C877">
        <v>345875</v>
      </c>
      <c r="D877">
        <v>51881.25</v>
      </c>
    </row>
    <row r="878" spans="1:4" x14ac:dyDescent="0.3">
      <c r="A878" t="s">
        <v>48</v>
      </c>
      <c r="B878">
        <v>1085</v>
      </c>
      <c r="C878">
        <v>135625</v>
      </c>
      <c r="D878">
        <v>20343.75</v>
      </c>
    </row>
    <row r="879" spans="1:4" x14ac:dyDescent="0.3">
      <c r="A879" t="s">
        <v>48</v>
      </c>
      <c r="B879">
        <v>546</v>
      </c>
      <c r="C879">
        <v>163800</v>
      </c>
      <c r="D879">
        <v>24570</v>
      </c>
    </row>
    <row r="880" spans="1:4" x14ac:dyDescent="0.3">
      <c r="A880" t="s">
        <v>48</v>
      </c>
      <c r="B880">
        <v>1158</v>
      </c>
      <c r="C880">
        <v>23160</v>
      </c>
      <c r="D880">
        <v>3474</v>
      </c>
    </row>
    <row r="881" spans="1:4" x14ac:dyDescent="0.3">
      <c r="A881" t="s">
        <v>48</v>
      </c>
      <c r="B881">
        <v>1614</v>
      </c>
      <c r="C881">
        <v>24210</v>
      </c>
      <c r="D881">
        <v>3631.5</v>
      </c>
    </row>
    <row r="882" spans="1:4" x14ac:dyDescent="0.3">
      <c r="A882" t="s">
        <v>48</v>
      </c>
      <c r="B882">
        <v>2535</v>
      </c>
      <c r="C882">
        <v>17745</v>
      </c>
      <c r="D882">
        <v>2661.75</v>
      </c>
    </row>
    <row r="883" spans="1:4" x14ac:dyDescent="0.3">
      <c r="A883" t="s">
        <v>48</v>
      </c>
      <c r="B883">
        <v>2851</v>
      </c>
      <c r="C883">
        <v>997850</v>
      </c>
      <c r="D883">
        <v>149677.5</v>
      </c>
    </row>
    <row r="884" spans="1:4" x14ac:dyDescent="0.3">
      <c r="A884" t="s">
        <v>48</v>
      </c>
      <c r="B884">
        <v>2559</v>
      </c>
      <c r="C884">
        <v>38385</v>
      </c>
      <c r="D884">
        <v>5757.75</v>
      </c>
    </row>
    <row r="885" spans="1:4" x14ac:dyDescent="0.3">
      <c r="A885" t="s">
        <v>48</v>
      </c>
      <c r="B885">
        <v>267</v>
      </c>
      <c r="C885">
        <v>5340</v>
      </c>
      <c r="D885">
        <v>801</v>
      </c>
    </row>
    <row r="886" spans="1:4" x14ac:dyDescent="0.3">
      <c r="A886" t="s">
        <v>48</v>
      </c>
      <c r="B886">
        <v>1085</v>
      </c>
      <c r="C886">
        <v>135625</v>
      </c>
      <c r="D886">
        <v>20343.75</v>
      </c>
    </row>
    <row r="887" spans="1:4" x14ac:dyDescent="0.3">
      <c r="A887" t="s">
        <v>48</v>
      </c>
      <c r="B887">
        <v>1175</v>
      </c>
      <c r="C887">
        <v>17625</v>
      </c>
      <c r="D887">
        <v>2643.75</v>
      </c>
    </row>
    <row r="888" spans="1:4" x14ac:dyDescent="0.3">
      <c r="A888" t="s">
        <v>48</v>
      </c>
      <c r="B888">
        <v>2007</v>
      </c>
      <c r="C888">
        <v>702450</v>
      </c>
      <c r="D888">
        <v>105367.5</v>
      </c>
    </row>
    <row r="889" spans="1:4" x14ac:dyDescent="0.3">
      <c r="A889" t="s">
        <v>48</v>
      </c>
      <c r="B889">
        <v>2151</v>
      </c>
      <c r="C889">
        <v>752850</v>
      </c>
      <c r="D889">
        <v>112927.5</v>
      </c>
    </row>
    <row r="890" spans="1:4" x14ac:dyDescent="0.3">
      <c r="A890" t="s">
        <v>48</v>
      </c>
      <c r="B890">
        <v>914</v>
      </c>
      <c r="C890">
        <v>10968</v>
      </c>
      <c r="D890">
        <v>1645.2</v>
      </c>
    </row>
    <row r="891" spans="1:4" x14ac:dyDescent="0.3">
      <c r="A891" t="s">
        <v>48</v>
      </c>
      <c r="B891">
        <v>293</v>
      </c>
      <c r="C891">
        <v>5860</v>
      </c>
      <c r="D891">
        <v>879</v>
      </c>
    </row>
    <row r="892" spans="1:4" x14ac:dyDescent="0.3">
      <c r="A892" t="s">
        <v>48</v>
      </c>
      <c r="B892">
        <v>500</v>
      </c>
      <c r="C892">
        <v>6000</v>
      </c>
      <c r="D892">
        <v>900</v>
      </c>
    </row>
    <row r="893" spans="1:4" x14ac:dyDescent="0.3">
      <c r="A893" t="s">
        <v>48</v>
      </c>
      <c r="B893">
        <v>2826</v>
      </c>
      <c r="C893">
        <v>42390</v>
      </c>
      <c r="D893">
        <v>6358.5</v>
      </c>
    </row>
    <row r="894" spans="1:4" x14ac:dyDescent="0.3">
      <c r="A894" t="s">
        <v>48</v>
      </c>
      <c r="B894">
        <v>663</v>
      </c>
      <c r="C894">
        <v>82875</v>
      </c>
      <c r="D894">
        <v>12431.25</v>
      </c>
    </row>
    <row r="895" spans="1:4" x14ac:dyDescent="0.3">
      <c r="A895" t="s">
        <v>48</v>
      </c>
      <c r="B895">
        <v>2574</v>
      </c>
      <c r="C895">
        <v>772200</v>
      </c>
      <c r="D895">
        <v>115830</v>
      </c>
    </row>
    <row r="896" spans="1:4" x14ac:dyDescent="0.3">
      <c r="A896" t="s">
        <v>48</v>
      </c>
      <c r="B896">
        <v>2438</v>
      </c>
      <c r="C896">
        <v>304750</v>
      </c>
      <c r="D896">
        <v>45712.5</v>
      </c>
    </row>
    <row r="897" spans="1:4" x14ac:dyDescent="0.3">
      <c r="A897" t="s">
        <v>48</v>
      </c>
      <c r="B897">
        <v>914</v>
      </c>
      <c r="C897">
        <v>10968</v>
      </c>
      <c r="D897">
        <v>1645.2</v>
      </c>
    </row>
    <row r="898" spans="1:4" x14ac:dyDescent="0.3">
      <c r="A898" t="s">
        <v>48</v>
      </c>
      <c r="B898">
        <v>865.5</v>
      </c>
      <c r="C898">
        <v>17310</v>
      </c>
      <c r="D898">
        <v>2596.5</v>
      </c>
    </row>
    <row r="899" spans="1:4" x14ac:dyDescent="0.3">
      <c r="A899" t="s">
        <v>48</v>
      </c>
      <c r="B899">
        <v>492</v>
      </c>
      <c r="C899">
        <v>7380</v>
      </c>
      <c r="D899">
        <v>1107</v>
      </c>
    </row>
    <row r="900" spans="1:4" x14ac:dyDescent="0.3">
      <c r="A900" t="s">
        <v>48</v>
      </c>
      <c r="B900">
        <v>267</v>
      </c>
      <c r="C900">
        <v>5340</v>
      </c>
      <c r="D900">
        <v>801</v>
      </c>
    </row>
    <row r="901" spans="1:4" x14ac:dyDescent="0.3">
      <c r="A901" t="s">
        <v>48</v>
      </c>
      <c r="B901">
        <v>1175</v>
      </c>
      <c r="C901">
        <v>17625</v>
      </c>
      <c r="D901">
        <v>2643.75</v>
      </c>
    </row>
    <row r="902" spans="1:4" x14ac:dyDescent="0.3">
      <c r="A902" t="s">
        <v>48</v>
      </c>
      <c r="B902">
        <v>2954</v>
      </c>
      <c r="C902">
        <v>369250</v>
      </c>
      <c r="D902">
        <v>55387.5</v>
      </c>
    </row>
    <row r="903" spans="1:4" x14ac:dyDescent="0.3">
      <c r="A903" t="s">
        <v>48</v>
      </c>
      <c r="B903">
        <v>552</v>
      </c>
      <c r="C903">
        <v>69000</v>
      </c>
      <c r="D903">
        <v>10350</v>
      </c>
    </row>
    <row r="904" spans="1:4" x14ac:dyDescent="0.3">
      <c r="A904" t="s">
        <v>48</v>
      </c>
      <c r="B904">
        <v>293</v>
      </c>
      <c r="C904">
        <v>5860</v>
      </c>
      <c r="D904">
        <v>879</v>
      </c>
    </row>
    <row r="905" spans="1:4" x14ac:dyDescent="0.3">
      <c r="A905" t="s">
        <v>48</v>
      </c>
      <c r="B905">
        <v>2475</v>
      </c>
      <c r="C905">
        <v>742500</v>
      </c>
      <c r="D905">
        <v>111375</v>
      </c>
    </row>
    <row r="906" spans="1:4" x14ac:dyDescent="0.3">
      <c r="A906" t="s">
        <v>48</v>
      </c>
      <c r="B906">
        <v>546</v>
      </c>
      <c r="C906">
        <v>163800</v>
      </c>
      <c r="D906">
        <v>24570</v>
      </c>
    </row>
    <row r="907" spans="1:4" x14ac:dyDescent="0.3">
      <c r="A907" t="s">
        <v>48</v>
      </c>
      <c r="B907">
        <v>1368</v>
      </c>
      <c r="C907">
        <v>9576</v>
      </c>
      <c r="D907">
        <v>1436.4</v>
      </c>
    </row>
    <row r="908" spans="1:4" x14ac:dyDescent="0.3">
      <c r="A908" t="s">
        <v>48</v>
      </c>
      <c r="B908">
        <v>723</v>
      </c>
      <c r="C908">
        <v>5061</v>
      </c>
      <c r="D908">
        <v>759.15</v>
      </c>
    </row>
    <row r="909" spans="1:4" x14ac:dyDescent="0.3">
      <c r="A909" t="s">
        <v>48</v>
      </c>
      <c r="B909">
        <v>1806</v>
      </c>
      <c r="C909">
        <v>21672</v>
      </c>
      <c r="D909">
        <v>3250.8</v>
      </c>
    </row>
    <row r="910" spans="1:4" x14ac:dyDescent="0.3">
      <c r="A910" t="s">
        <v>47</v>
      </c>
      <c r="B910">
        <v>1579</v>
      </c>
      <c r="C910">
        <v>31580</v>
      </c>
      <c r="D910">
        <v>1579</v>
      </c>
    </row>
    <row r="911" spans="1:4" x14ac:dyDescent="0.3">
      <c r="A911" t="s">
        <v>47</v>
      </c>
      <c r="B911">
        <v>861</v>
      </c>
      <c r="C911">
        <v>107625</v>
      </c>
      <c r="D911">
        <v>5381.25</v>
      </c>
    </row>
    <row r="912" spans="1:4" x14ac:dyDescent="0.3">
      <c r="A912" t="s">
        <v>47</v>
      </c>
      <c r="B912">
        <v>704</v>
      </c>
      <c r="C912">
        <v>88000</v>
      </c>
      <c r="D912">
        <v>4400</v>
      </c>
    </row>
    <row r="913" spans="1:4" x14ac:dyDescent="0.3">
      <c r="A913" t="s">
        <v>47</v>
      </c>
      <c r="B913">
        <v>1033</v>
      </c>
      <c r="C913">
        <v>20660</v>
      </c>
      <c r="D913">
        <v>1033</v>
      </c>
    </row>
    <row r="914" spans="1:4" x14ac:dyDescent="0.3">
      <c r="A914" t="s">
        <v>47</v>
      </c>
      <c r="B914">
        <v>1250</v>
      </c>
      <c r="C914">
        <v>375000</v>
      </c>
      <c r="D914">
        <v>18750</v>
      </c>
    </row>
    <row r="915" spans="1:4" x14ac:dyDescent="0.3">
      <c r="A915" t="s">
        <v>47</v>
      </c>
      <c r="B915">
        <v>1389</v>
      </c>
      <c r="C915">
        <v>27780</v>
      </c>
      <c r="D915">
        <v>1389</v>
      </c>
    </row>
    <row r="916" spans="1:4" x14ac:dyDescent="0.3">
      <c r="A916" t="s">
        <v>47</v>
      </c>
      <c r="B916">
        <v>1265</v>
      </c>
      <c r="C916">
        <v>25300</v>
      </c>
      <c r="D916">
        <v>1265</v>
      </c>
    </row>
    <row r="917" spans="1:4" x14ac:dyDescent="0.3">
      <c r="A917" t="s">
        <v>47</v>
      </c>
      <c r="B917">
        <v>2297</v>
      </c>
      <c r="C917">
        <v>45940</v>
      </c>
      <c r="D917">
        <v>2297</v>
      </c>
    </row>
    <row r="918" spans="1:4" x14ac:dyDescent="0.3">
      <c r="A918" t="s">
        <v>47</v>
      </c>
      <c r="B918">
        <v>2663</v>
      </c>
      <c r="C918">
        <v>53260</v>
      </c>
      <c r="D918">
        <v>2663</v>
      </c>
    </row>
    <row r="919" spans="1:4" x14ac:dyDescent="0.3">
      <c r="A919" t="s">
        <v>47</v>
      </c>
      <c r="B919">
        <v>570</v>
      </c>
      <c r="C919">
        <v>3990</v>
      </c>
      <c r="D919">
        <v>199.5</v>
      </c>
    </row>
    <row r="920" spans="1:4" x14ac:dyDescent="0.3">
      <c r="A920" t="s">
        <v>47</v>
      </c>
      <c r="B920">
        <v>2487</v>
      </c>
      <c r="C920">
        <v>17409</v>
      </c>
      <c r="D920">
        <v>870.45</v>
      </c>
    </row>
    <row r="921" spans="1:4" x14ac:dyDescent="0.3">
      <c r="A921" t="s">
        <v>47</v>
      </c>
      <c r="B921">
        <v>1350</v>
      </c>
      <c r="C921">
        <v>472500</v>
      </c>
      <c r="D921">
        <v>23625</v>
      </c>
    </row>
    <row r="922" spans="1:4" x14ac:dyDescent="0.3">
      <c r="A922" t="s">
        <v>47</v>
      </c>
      <c r="B922">
        <v>552</v>
      </c>
      <c r="C922">
        <v>193200</v>
      </c>
      <c r="D922">
        <v>9660</v>
      </c>
    </row>
    <row r="923" spans="1:4" x14ac:dyDescent="0.3">
      <c r="A923" t="s">
        <v>47</v>
      </c>
      <c r="B923">
        <v>1228</v>
      </c>
      <c r="C923">
        <v>429800</v>
      </c>
      <c r="D923">
        <v>21490</v>
      </c>
    </row>
    <row r="924" spans="1:4" x14ac:dyDescent="0.3">
      <c r="A924" t="s">
        <v>47</v>
      </c>
      <c r="B924">
        <v>1250</v>
      </c>
      <c r="C924">
        <v>375000</v>
      </c>
      <c r="D924">
        <v>18750</v>
      </c>
    </row>
    <row r="925" spans="1:4" x14ac:dyDescent="0.3">
      <c r="A925" t="s">
        <v>47</v>
      </c>
      <c r="B925">
        <v>3801</v>
      </c>
      <c r="C925">
        <v>57015</v>
      </c>
      <c r="D925">
        <v>3420.9</v>
      </c>
    </row>
    <row r="926" spans="1:4" x14ac:dyDescent="0.3">
      <c r="A926" t="s">
        <v>47</v>
      </c>
      <c r="B926">
        <v>1117.5</v>
      </c>
      <c r="C926">
        <v>22350</v>
      </c>
      <c r="D926">
        <v>1341</v>
      </c>
    </row>
    <row r="927" spans="1:4" x14ac:dyDescent="0.3">
      <c r="A927" t="s">
        <v>47</v>
      </c>
      <c r="B927">
        <v>2844</v>
      </c>
      <c r="C927">
        <v>42660</v>
      </c>
      <c r="D927">
        <v>2559.6</v>
      </c>
    </row>
    <row r="928" spans="1:4" x14ac:dyDescent="0.3">
      <c r="A928" t="s">
        <v>47</v>
      </c>
      <c r="B928">
        <v>562</v>
      </c>
      <c r="C928">
        <v>6744</v>
      </c>
      <c r="D928">
        <v>404.64</v>
      </c>
    </row>
    <row r="929" spans="1:4" x14ac:dyDescent="0.3">
      <c r="A929" t="s">
        <v>47</v>
      </c>
      <c r="B929">
        <v>2299</v>
      </c>
      <c r="C929">
        <v>27588</v>
      </c>
      <c r="D929">
        <v>1655.28</v>
      </c>
    </row>
    <row r="930" spans="1:4" x14ac:dyDescent="0.3">
      <c r="A930" t="s">
        <v>47</v>
      </c>
      <c r="B930">
        <v>2030</v>
      </c>
      <c r="C930">
        <v>30450</v>
      </c>
      <c r="D930">
        <v>1827</v>
      </c>
    </row>
    <row r="931" spans="1:4" x14ac:dyDescent="0.3">
      <c r="A931" t="s">
        <v>47</v>
      </c>
      <c r="B931">
        <v>263</v>
      </c>
      <c r="C931">
        <v>1841</v>
      </c>
      <c r="D931">
        <v>110.46</v>
      </c>
    </row>
    <row r="932" spans="1:4" x14ac:dyDescent="0.3">
      <c r="A932" t="s">
        <v>47</v>
      </c>
      <c r="B932">
        <v>887</v>
      </c>
      <c r="C932">
        <v>110875</v>
      </c>
      <c r="D932">
        <v>6652.5</v>
      </c>
    </row>
    <row r="933" spans="1:4" x14ac:dyDescent="0.3">
      <c r="A933" t="s">
        <v>47</v>
      </c>
      <c r="B933">
        <v>980</v>
      </c>
      <c r="C933">
        <v>343000</v>
      </c>
      <c r="D933">
        <v>20580</v>
      </c>
    </row>
    <row r="934" spans="1:4" x14ac:dyDescent="0.3">
      <c r="A934" t="s">
        <v>47</v>
      </c>
      <c r="B934">
        <v>1460</v>
      </c>
      <c r="C934">
        <v>511000</v>
      </c>
      <c r="D934">
        <v>30660</v>
      </c>
    </row>
    <row r="935" spans="1:4" x14ac:dyDescent="0.3">
      <c r="A935" t="s">
        <v>47</v>
      </c>
      <c r="B935">
        <v>1403</v>
      </c>
      <c r="C935">
        <v>9821</v>
      </c>
      <c r="D935">
        <v>589.26</v>
      </c>
    </row>
    <row r="936" spans="1:4" x14ac:dyDescent="0.3">
      <c r="A936" t="s">
        <v>47</v>
      </c>
      <c r="B936">
        <v>2723</v>
      </c>
      <c r="C936">
        <v>32676</v>
      </c>
      <c r="D936">
        <v>1960.56</v>
      </c>
    </row>
    <row r="937" spans="1:4" x14ac:dyDescent="0.3">
      <c r="A937" t="s">
        <v>47</v>
      </c>
      <c r="B937">
        <v>1496</v>
      </c>
      <c r="C937">
        <v>523600</v>
      </c>
      <c r="D937">
        <v>31416</v>
      </c>
    </row>
    <row r="938" spans="1:4" x14ac:dyDescent="0.3">
      <c r="A938" t="s">
        <v>47</v>
      </c>
      <c r="B938">
        <v>2299</v>
      </c>
      <c r="C938">
        <v>27588</v>
      </c>
      <c r="D938">
        <v>1655.28</v>
      </c>
    </row>
    <row r="939" spans="1:4" x14ac:dyDescent="0.3">
      <c r="A939" t="s">
        <v>47</v>
      </c>
      <c r="B939">
        <v>727</v>
      </c>
      <c r="C939">
        <v>254450</v>
      </c>
      <c r="D939">
        <v>15267</v>
      </c>
    </row>
    <row r="940" spans="1:4" x14ac:dyDescent="0.3">
      <c r="A940" t="s">
        <v>47</v>
      </c>
      <c r="B940">
        <v>952</v>
      </c>
      <c r="C940">
        <v>119000</v>
      </c>
      <c r="D940">
        <v>7140</v>
      </c>
    </row>
    <row r="941" spans="1:4" x14ac:dyDescent="0.3">
      <c r="A941" t="s">
        <v>47</v>
      </c>
      <c r="B941">
        <v>2755</v>
      </c>
      <c r="C941">
        <v>344375</v>
      </c>
      <c r="D941">
        <v>20662.5</v>
      </c>
    </row>
    <row r="942" spans="1:4" x14ac:dyDescent="0.3">
      <c r="A942" t="s">
        <v>47</v>
      </c>
      <c r="B942">
        <v>1530</v>
      </c>
      <c r="C942">
        <v>22950</v>
      </c>
      <c r="D942">
        <v>1377</v>
      </c>
    </row>
    <row r="943" spans="1:4" x14ac:dyDescent="0.3">
      <c r="A943" t="s">
        <v>47</v>
      </c>
      <c r="B943">
        <v>1496</v>
      </c>
      <c r="C943">
        <v>523600</v>
      </c>
      <c r="D943">
        <v>31416</v>
      </c>
    </row>
    <row r="944" spans="1:4" x14ac:dyDescent="0.3">
      <c r="A944" t="s">
        <v>47</v>
      </c>
      <c r="B944">
        <v>1498</v>
      </c>
      <c r="C944">
        <v>10486</v>
      </c>
      <c r="D944">
        <v>629.16</v>
      </c>
    </row>
    <row r="945" spans="1:4" x14ac:dyDescent="0.3">
      <c r="A945" t="s">
        <v>47</v>
      </c>
      <c r="B945">
        <v>1221</v>
      </c>
      <c r="C945">
        <v>366300</v>
      </c>
      <c r="D945">
        <v>21978</v>
      </c>
    </row>
    <row r="946" spans="1:4" x14ac:dyDescent="0.3">
      <c r="A946" t="s">
        <v>47</v>
      </c>
      <c r="B946">
        <v>2076</v>
      </c>
      <c r="C946">
        <v>726600</v>
      </c>
      <c r="D946">
        <v>43596</v>
      </c>
    </row>
    <row r="947" spans="1:4" x14ac:dyDescent="0.3">
      <c r="A947" t="s">
        <v>47</v>
      </c>
      <c r="B947">
        <v>2844</v>
      </c>
      <c r="C947">
        <v>42660</v>
      </c>
      <c r="D947">
        <v>2559.6</v>
      </c>
    </row>
    <row r="948" spans="1:4" x14ac:dyDescent="0.3">
      <c r="A948" t="s">
        <v>47</v>
      </c>
      <c r="B948">
        <v>1498</v>
      </c>
      <c r="C948">
        <v>10486</v>
      </c>
      <c r="D948">
        <v>629.16</v>
      </c>
    </row>
    <row r="949" spans="1:4" x14ac:dyDescent="0.3">
      <c r="A949" t="s">
        <v>47</v>
      </c>
      <c r="B949">
        <v>1221</v>
      </c>
      <c r="C949">
        <v>366300</v>
      </c>
      <c r="D949">
        <v>21978</v>
      </c>
    </row>
    <row r="950" spans="1:4" x14ac:dyDescent="0.3">
      <c r="A950" t="s">
        <v>47</v>
      </c>
      <c r="B950">
        <v>1123</v>
      </c>
      <c r="C950">
        <v>22460</v>
      </c>
      <c r="D950">
        <v>1347.6</v>
      </c>
    </row>
    <row r="951" spans="1:4" x14ac:dyDescent="0.3">
      <c r="A951" t="s">
        <v>47</v>
      </c>
      <c r="B951">
        <v>2436</v>
      </c>
      <c r="C951">
        <v>730800</v>
      </c>
      <c r="D951">
        <v>43848</v>
      </c>
    </row>
    <row r="952" spans="1:4" x14ac:dyDescent="0.3">
      <c r="A952" t="s">
        <v>47</v>
      </c>
      <c r="B952">
        <v>1987.5</v>
      </c>
      <c r="C952">
        <v>248437.5</v>
      </c>
      <c r="D952">
        <v>14906.25</v>
      </c>
    </row>
    <row r="953" spans="1:4" x14ac:dyDescent="0.3">
      <c r="A953" t="s">
        <v>47</v>
      </c>
      <c r="B953">
        <v>1679</v>
      </c>
      <c r="C953">
        <v>587650</v>
      </c>
      <c r="D953">
        <v>35259</v>
      </c>
    </row>
    <row r="954" spans="1:4" x14ac:dyDescent="0.3">
      <c r="A954" t="s">
        <v>47</v>
      </c>
      <c r="B954">
        <v>727</v>
      </c>
      <c r="C954">
        <v>254450</v>
      </c>
      <c r="D954">
        <v>15267</v>
      </c>
    </row>
    <row r="955" spans="1:4" x14ac:dyDescent="0.3">
      <c r="A955" t="s">
        <v>47</v>
      </c>
      <c r="B955">
        <v>1403</v>
      </c>
      <c r="C955">
        <v>9821</v>
      </c>
      <c r="D955">
        <v>589.26</v>
      </c>
    </row>
    <row r="956" spans="1:4" x14ac:dyDescent="0.3">
      <c r="A956" t="s">
        <v>47</v>
      </c>
      <c r="B956">
        <v>2076</v>
      </c>
      <c r="C956">
        <v>726600</v>
      </c>
      <c r="D956">
        <v>43596</v>
      </c>
    </row>
    <row r="957" spans="1:4" x14ac:dyDescent="0.3">
      <c r="A957" t="s">
        <v>47</v>
      </c>
      <c r="B957">
        <v>1757</v>
      </c>
      <c r="C957">
        <v>35140</v>
      </c>
      <c r="D957">
        <v>2108.4</v>
      </c>
    </row>
    <row r="958" spans="1:4" x14ac:dyDescent="0.3">
      <c r="A958" t="s">
        <v>47</v>
      </c>
      <c r="B958">
        <v>2198</v>
      </c>
      <c r="C958">
        <v>32970</v>
      </c>
      <c r="D958">
        <v>1978.2</v>
      </c>
    </row>
    <row r="959" spans="1:4" x14ac:dyDescent="0.3">
      <c r="A959" t="s">
        <v>47</v>
      </c>
      <c r="B959">
        <v>1743</v>
      </c>
      <c r="C959">
        <v>26145</v>
      </c>
      <c r="D959">
        <v>1568.7</v>
      </c>
    </row>
    <row r="960" spans="1:4" x14ac:dyDescent="0.3">
      <c r="A960" t="s">
        <v>47</v>
      </c>
      <c r="B960">
        <v>1153</v>
      </c>
      <c r="C960">
        <v>17295</v>
      </c>
      <c r="D960">
        <v>1037.7</v>
      </c>
    </row>
    <row r="961" spans="1:4" x14ac:dyDescent="0.3">
      <c r="A961" t="s">
        <v>47</v>
      </c>
      <c r="B961">
        <v>1757</v>
      </c>
      <c r="C961">
        <v>35140</v>
      </c>
      <c r="D961">
        <v>2108.4</v>
      </c>
    </row>
    <row r="962" spans="1:4" x14ac:dyDescent="0.3">
      <c r="A962" t="s">
        <v>47</v>
      </c>
      <c r="B962">
        <v>1001</v>
      </c>
      <c r="C962">
        <v>20020</v>
      </c>
      <c r="D962">
        <v>1201.2</v>
      </c>
    </row>
    <row r="963" spans="1:4" x14ac:dyDescent="0.3">
      <c r="A963" t="s">
        <v>47</v>
      </c>
      <c r="B963">
        <v>1333</v>
      </c>
      <c r="C963">
        <v>9331</v>
      </c>
      <c r="D963">
        <v>559.86</v>
      </c>
    </row>
    <row r="964" spans="1:4" x14ac:dyDescent="0.3">
      <c r="A964" t="s">
        <v>47</v>
      </c>
      <c r="B964">
        <v>1153</v>
      </c>
      <c r="C964">
        <v>17295</v>
      </c>
      <c r="D964">
        <v>1037.7</v>
      </c>
    </row>
    <row r="965" spans="1:4" x14ac:dyDescent="0.3">
      <c r="A965" t="s">
        <v>47</v>
      </c>
      <c r="B965">
        <v>727</v>
      </c>
      <c r="C965">
        <v>8724</v>
      </c>
      <c r="D965">
        <v>610.67999999999995</v>
      </c>
    </row>
    <row r="966" spans="1:4" x14ac:dyDescent="0.3">
      <c r="A966" t="s">
        <v>47</v>
      </c>
      <c r="B966">
        <v>1884</v>
      </c>
      <c r="C966">
        <v>22608</v>
      </c>
      <c r="D966">
        <v>1582.56</v>
      </c>
    </row>
    <row r="967" spans="1:4" x14ac:dyDescent="0.3">
      <c r="A967" t="s">
        <v>47</v>
      </c>
      <c r="B967">
        <v>1834</v>
      </c>
      <c r="C967">
        <v>36680</v>
      </c>
      <c r="D967">
        <v>2567.6</v>
      </c>
    </row>
    <row r="968" spans="1:4" x14ac:dyDescent="0.3">
      <c r="A968" t="s">
        <v>47</v>
      </c>
      <c r="B968">
        <v>2340</v>
      </c>
      <c r="C968">
        <v>28080</v>
      </c>
      <c r="D968">
        <v>1965.6</v>
      </c>
    </row>
    <row r="969" spans="1:4" x14ac:dyDescent="0.3">
      <c r="A969" t="s">
        <v>47</v>
      </c>
      <c r="B969">
        <v>2342</v>
      </c>
      <c r="C969">
        <v>28104</v>
      </c>
      <c r="D969">
        <v>1967.28</v>
      </c>
    </row>
    <row r="970" spans="1:4" x14ac:dyDescent="0.3">
      <c r="A970" t="s">
        <v>47</v>
      </c>
      <c r="B970">
        <v>1031</v>
      </c>
      <c r="C970">
        <v>7217</v>
      </c>
      <c r="D970">
        <v>505.19</v>
      </c>
    </row>
    <row r="971" spans="1:4" x14ac:dyDescent="0.3">
      <c r="A971" t="s">
        <v>47</v>
      </c>
      <c r="B971">
        <v>3513</v>
      </c>
      <c r="C971">
        <v>439125</v>
      </c>
      <c r="D971">
        <v>30738.75</v>
      </c>
    </row>
    <row r="972" spans="1:4" x14ac:dyDescent="0.3">
      <c r="A972" t="s">
        <v>47</v>
      </c>
      <c r="B972">
        <v>2101</v>
      </c>
      <c r="C972">
        <v>31515</v>
      </c>
      <c r="D972">
        <v>2206.0500000000002</v>
      </c>
    </row>
    <row r="973" spans="1:4" x14ac:dyDescent="0.3">
      <c r="A973" t="s">
        <v>47</v>
      </c>
      <c r="B973">
        <v>2931</v>
      </c>
      <c r="C973">
        <v>43965</v>
      </c>
      <c r="D973">
        <v>3077.55</v>
      </c>
    </row>
    <row r="974" spans="1:4" x14ac:dyDescent="0.3">
      <c r="A974" t="s">
        <v>47</v>
      </c>
      <c r="B974">
        <v>1535</v>
      </c>
      <c r="C974">
        <v>30700</v>
      </c>
      <c r="D974">
        <v>2149</v>
      </c>
    </row>
    <row r="975" spans="1:4" x14ac:dyDescent="0.3">
      <c r="A975" t="s">
        <v>47</v>
      </c>
      <c r="B975">
        <v>1123</v>
      </c>
      <c r="C975">
        <v>336900</v>
      </c>
      <c r="D975">
        <v>23583</v>
      </c>
    </row>
    <row r="976" spans="1:4" x14ac:dyDescent="0.3">
      <c r="A976" t="s">
        <v>47</v>
      </c>
      <c r="B976">
        <v>1404</v>
      </c>
      <c r="C976">
        <v>421200</v>
      </c>
      <c r="D976">
        <v>29484</v>
      </c>
    </row>
    <row r="977" spans="1:4" x14ac:dyDescent="0.3">
      <c r="A977" t="s">
        <v>47</v>
      </c>
      <c r="B977">
        <v>2763</v>
      </c>
      <c r="C977">
        <v>33156</v>
      </c>
      <c r="D977">
        <v>2320.92</v>
      </c>
    </row>
    <row r="978" spans="1:4" x14ac:dyDescent="0.3">
      <c r="A978" t="s">
        <v>47</v>
      </c>
      <c r="B978">
        <v>2125</v>
      </c>
      <c r="C978">
        <v>14875</v>
      </c>
      <c r="D978">
        <v>1041.25</v>
      </c>
    </row>
    <row r="979" spans="1:4" x14ac:dyDescent="0.3">
      <c r="A979" t="s">
        <v>47</v>
      </c>
      <c r="B979">
        <v>1659</v>
      </c>
      <c r="C979">
        <v>497700</v>
      </c>
      <c r="D979">
        <v>34839</v>
      </c>
    </row>
    <row r="980" spans="1:4" x14ac:dyDescent="0.3">
      <c r="A980" t="s">
        <v>47</v>
      </c>
      <c r="B980">
        <v>609</v>
      </c>
      <c r="C980">
        <v>12180</v>
      </c>
      <c r="D980">
        <v>852.6</v>
      </c>
    </row>
    <row r="981" spans="1:4" x14ac:dyDescent="0.3">
      <c r="A981" t="s">
        <v>47</v>
      </c>
      <c r="B981">
        <v>2087</v>
      </c>
      <c r="C981">
        <v>260875</v>
      </c>
      <c r="D981">
        <v>18261.25</v>
      </c>
    </row>
    <row r="982" spans="1:4" x14ac:dyDescent="0.3">
      <c r="A982" t="s">
        <v>47</v>
      </c>
      <c r="B982">
        <v>1976</v>
      </c>
      <c r="C982">
        <v>39520</v>
      </c>
      <c r="D982">
        <v>2766.4</v>
      </c>
    </row>
    <row r="983" spans="1:4" x14ac:dyDescent="0.3">
      <c r="A983" t="s">
        <v>47</v>
      </c>
      <c r="B983">
        <v>1421</v>
      </c>
      <c r="C983">
        <v>28420</v>
      </c>
      <c r="D983">
        <v>1989.4</v>
      </c>
    </row>
    <row r="984" spans="1:4" x14ac:dyDescent="0.3">
      <c r="A984" t="s">
        <v>47</v>
      </c>
      <c r="B984">
        <v>1372</v>
      </c>
      <c r="C984">
        <v>411600</v>
      </c>
      <c r="D984">
        <v>28812</v>
      </c>
    </row>
    <row r="985" spans="1:4" x14ac:dyDescent="0.3">
      <c r="A985" t="s">
        <v>47</v>
      </c>
      <c r="B985">
        <v>588</v>
      </c>
      <c r="C985">
        <v>11760</v>
      </c>
      <c r="D985">
        <v>823.2</v>
      </c>
    </row>
    <row r="986" spans="1:4" x14ac:dyDescent="0.3">
      <c r="A986" t="s">
        <v>47</v>
      </c>
      <c r="B986">
        <v>3244.5</v>
      </c>
      <c r="C986">
        <v>38934</v>
      </c>
      <c r="D986">
        <v>2725.38</v>
      </c>
    </row>
    <row r="987" spans="1:4" x14ac:dyDescent="0.3">
      <c r="A987" t="s">
        <v>47</v>
      </c>
      <c r="B987">
        <v>959</v>
      </c>
      <c r="C987">
        <v>287700</v>
      </c>
      <c r="D987">
        <v>20139</v>
      </c>
    </row>
    <row r="988" spans="1:4" x14ac:dyDescent="0.3">
      <c r="A988" t="s">
        <v>47</v>
      </c>
      <c r="B988">
        <v>2747</v>
      </c>
      <c r="C988">
        <v>824100</v>
      </c>
      <c r="D988">
        <v>57687</v>
      </c>
    </row>
    <row r="989" spans="1:4" x14ac:dyDescent="0.3">
      <c r="A989" t="s">
        <v>47</v>
      </c>
      <c r="B989">
        <v>1645</v>
      </c>
      <c r="C989">
        <v>205625</v>
      </c>
      <c r="D989">
        <v>14393.75</v>
      </c>
    </row>
    <row r="990" spans="1:4" x14ac:dyDescent="0.3">
      <c r="A990" t="s">
        <v>47</v>
      </c>
      <c r="B990">
        <v>2876</v>
      </c>
      <c r="C990">
        <v>1006600</v>
      </c>
      <c r="D990">
        <v>70462</v>
      </c>
    </row>
    <row r="991" spans="1:4" x14ac:dyDescent="0.3">
      <c r="A991" t="s">
        <v>47</v>
      </c>
      <c r="B991">
        <v>994</v>
      </c>
      <c r="C991">
        <v>124250</v>
      </c>
      <c r="D991">
        <v>8697.5</v>
      </c>
    </row>
    <row r="992" spans="1:4" x14ac:dyDescent="0.3">
      <c r="A992" t="s">
        <v>47</v>
      </c>
      <c r="B992">
        <v>1118</v>
      </c>
      <c r="C992">
        <v>22360</v>
      </c>
      <c r="D992">
        <v>1565.2</v>
      </c>
    </row>
    <row r="993" spans="1:4" x14ac:dyDescent="0.3">
      <c r="A993" t="s">
        <v>47</v>
      </c>
      <c r="B993">
        <v>1372</v>
      </c>
      <c r="C993">
        <v>411600</v>
      </c>
      <c r="D993">
        <v>28812</v>
      </c>
    </row>
    <row r="994" spans="1:4" x14ac:dyDescent="0.3">
      <c r="A994" t="s">
        <v>47</v>
      </c>
      <c r="B994">
        <v>488</v>
      </c>
      <c r="C994">
        <v>3416</v>
      </c>
      <c r="D994">
        <v>273.27999999999997</v>
      </c>
    </row>
    <row r="995" spans="1:4" x14ac:dyDescent="0.3">
      <c r="A995" t="s">
        <v>47</v>
      </c>
      <c r="B995">
        <v>1282</v>
      </c>
      <c r="C995">
        <v>25640</v>
      </c>
      <c r="D995">
        <v>2051.1999999999998</v>
      </c>
    </row>
    <row r="996" spans="1:4" x14ac:dyDescent="0.3">
      <c r="A996" t="s">
        <v>47</v>
      </c>
      <c r="B996">
        <v>257</v>
      </c>
      <c r="C996">
        <v>1799</v>
      </c>
      <c r="D996">
        <v>143.91999999999999</v>
      </c>
    </row>
    <row r="997" spans="1:4" x14ac:dyDescent="0.3">
      <c r="A997" t="s">
        <v>47</v>
      </c>
      <c r="B997">
        <v>1282</v>
      </c>
      <c r="C997">
        <v>25640</v>
      </c>
      <c r="D997">
        <v>2051.1999999999998</v>
      </c>
    </row>
    <row r="998" spans="1:4" x14ac:dyDescent="0.3">
      <c r="A998" t="s">
        <v>47</v>
      </c>
      <c r="B998">
        <v>1540</v>
      </c>
      <c r="C998">
        <v>192500</v>
      </c>
      <c r="D998">
        <v>15400</v>
      </c>
    </row>
    <row r="999" spans="1:4" x14ac:dyDescent="0.3">
      <c r="A999" t="s">
        <v>47</v>
      </c>
      <c r="B999">
        <v>490</v>
      </c>
      <c r="C999">
        <v>7350</v>
      </c>
      <c r="D999">
        <v>588</v>
      </c>
    </row>
    <row r="1000" spans="1:4" x14ac:dyDescent="0.3">
      <c r="A1000" t="s">
        <v>47</v>
      </c>
      <c r="B1000">
        <v>1362</v>
      </c>
      <c r="C1000">
        <v>476700</v>
      </c>
      <c r="D1000">
        <v>38136</v>
      </c>
    </row>
    <row r="1001" spans="1:4" x14ac:dyDescent="0.3">
      <c r="A1001" t="s">
        <v>47</v>
      </c>
      <c r="B1001">
        <v>2501</v>
      </c>
      <c r="C1001">
        <v>37515</v>
      </c>
      <c r="D1001">
        <v>3001.2</v>
      </c>
    </row>
    <row r="1002" spans="1:4" x14ac:dyDescent="0.3">
      <c r="A1002" t="s">
        <v>47</v>
      </c>
      <c r="B1002">
        <v>708</v>
      </c>
      <c r="C1002">
        <v>14160</v>
      </c>
      <c r="D1002">
        <v>1132.8</v>
      </c>
    </row>
    <row r="1003" spans="1:4" x14ac:dyDescent="0.3">
      <c r="A1003" t="s">
        <v>47</v>
      </c>
      <c r="B1003">
        <v>645</v>
      </c>
      <c r="C1003">
        <v>12900</v>
      </c>
      <c r="D1003">
        <v>1032</v>
      </c>
    </row>
    <row r="1004" spans="1:4" x14ac:dyDescent="0.3">
      <c r="A1004" t="s">
        <v>47</v>
      </c>
      <c r="B1004">
        <v>1562</v>
      </c>
      <c r="C1004">
        <v>468600</v>
      </c>
      <c r="D1004">
        <v>37488</v>
      </c>
    </row>
    <row r="1005" spans="1:4" x14ac:dyDescent="0.3">
      <c r="A1005" t="s">
        <v>47</v>
      </c>
      <c r="B1005">
        <v>1283</v>
      </c>
      <c r="C1005">
        <v>384900</v>
      </c>
      <c r="D1005">
        <v>30792</v>
      </c>
    </row>
    <row r="1006" spans="1:4" x14ac:dyDescent="0.3">
      <c r="A1006" t="s">
        <v>47</v>
      </c>
      <c r="B1006">
        <v>711</v>
      </c>
      <c r="C1006">
        <v>10665</v>
      </c>
      <c r="D1006">
        <v>853.2</v>
      </c>
    </row>
    <row r="1007" spans="1:4" x14ac:dyDescent="0.3">
      <c r="A1007" t="s">
        <v>47</v>
      </c>
      <c r="B1007">
        <v>1114</v>
      </c>
      <c r="C1007">
        <v>139250</v>
      </c>
      <c r="D1007">
        <v>11140</v>
      </c>
    </row>
    <row r="1008" spans="1:4" x14ac:dyDescent="0.3">
      <c r="A1008" t="s">
        <v>47</v>
      </c>
      <c r="B1008">
        <v>1259</v>
      </c>
      <c r="C1008">
        <v>8813</v>
      </c>
      <c r="D1008">
        <v>705.04</v>
      </c>
    </row>
    <row r="1009" spans="1:4" x14ac:dyDescent="0.3">
      <c r="A1009" t="s">
        <v>47</v>
      </c>
      <c r="B1009">
        <v>1095</v>
      </c>
      <c r="C1009">
        <v>7665</v>
      </c>
      <c r="D1009">
        <v>613.20000000000005</v>
      </c>
    </row>
    <row r="1010" spans="1:4" x14ac:dyDescent="0.3">
      <c r="A1010" t="s">
        <v>47</v>
      </c>
      <c r="B1010">
        <v>1366</v>
      </c>
      <c r="C1010">
        <v>27320</v>
      </c>
      <c r="D1010">
        <v>2185.6</v>
      </c>
    </row>
    <row r="1011" spans="1:4" x14ac:dyDescent="0.3">
      <c r="A1011" t="s">
        <v>47</v>
      </c>
      <c r="B1011">
        <v>2460</v>
      </c>
      <c r="C1011">
        <v>738000</v>
      </c>
      <c r="D1011">
        <v>59040</v>
      </c>
    </row>
    <row r="1012" spans="1:4" x14ac:dyDescent="0.3">
      <c r="A1012" t="s">
        <v>47</v>
      </c>
      <c r="B1012">
        <v>678</v>
      </c>
      <c r="C1012">
        <v>4746</v>
      </c>
      <c r="D1012">
        <v>379.68</v>
      </c>
    </row>
    <row r="1013" spans="1:4" x14ac:dyDescent="0.3">
      <c r="A1013" t="s">
        <v>47</v>
      </c>
      <c r="B1013">
        <v>1598</v>
      </c>
      <c r="C1013">
        <v>11186</v>
      </c>
      <c r="D1013">
        <v>894.88</v>
      </c>
    </row>
    <row r="1014" spans="1:4" x14ac:dyDescent="0.3">
      <c r="A1014" t="s">
        <v>47</v>
      </c>
      <c r="B1014">
        <v>2409</v>
      </c>
      <c r="C1014">
        <v>16863</v>
      </c>
      <c r="D1014">
        <v>1349.04</v>
      </c>
    </row>
    <row r="1015" spans="1:4" x14ac:dyDescent="0.3">
      <c r="A1015" t="s">
        <v>48</v>
      </c>
      <c r="B1015">
        <v>1743</v>
      </c>
      <c r="C1015">
        <v>34860</v>
      </c>
      <c r="D1015">
        <v>4880.3999999999996</v>
      </c>
    </row>
    <row r="1016" spans="1:4" x14ac:dyDescent="0.3">
      <c r="A1016" t="s">
        <v>48</v>
      </c>
      <c r="B1016">
        <v>2996</v>
      </c>
      <c r="C1016">
        <v>20972</v>
      </c>
      <c r="D1016">
        <v>2936.08</v>
      </c>
    </row>
    <row r="1017" spans="1:4" x14ac:dyDescent="0.3">
      <c r="A1017" t="s">
        <v>48</v>
      </c>
      <c r="B1017">
        <v>280</v>
      </c>
      <c r="C1017">
        <v>1960</v>
      </c>
      <c r="D1017">
        <v>274.39999999999998</v>
      </c>
    </row>
    <row r="1018" spans="1:4" x14ac:dyDescent="0.3">
      <c r="A1018" t="s">
        <v>48</v>
      </c>
      <c r="B1018">
        <v>293</v>
      </c>
      <c r="C1018">
        <v>2051</v>
      </c>
      <c r="D1018">
        <v>287.14</v>
      </c>
    </row>
    <row r="1019" spans="1:4" x14ac:dyDescent="0.3">
      <c r="A1019" t="s">
        <v>48</v>
      </c>
      <c r="B1019">
        <v>2996</v>
      </c>
      <c r="C1019">
        <v>20972</v>
      </c>
      <c r="D1019">
        <v>2936.08</v>
      </c>
    </row>
    <row r="1020" spans="1:4" x14ac:dyDescent="0.3">
      <c r="A1020" t="s">
        <v>48</v>
      </c>
      <c r="B1020">
        <v>278</v>
      </c>
      <c r="C1020">
        <v>4170</v>
      </c>
      <c r="D1020">
        <v>583.79999999999995</v>
      </c>
    </row>
    <row r="1021" spans="1:4" x14ac:dyDescent="0.3">
      <c r="A1021" t="s">
        <v>48</v>
      </c>
      <c r="B1021">
        <v>2428</v>
      </c>
      <c r="C1021">
        <v>48560</v>
      </c>
      <c r="D1021">
        <v>6798.4</v>
      </c>
    </row>
    <row r="1022" spans="1:4" x14ac:dyDescent="0.3">
      <c r="A1022" t="s">
        <v>48</v>
      </c>
      <c r="B1022">
        <v>1767</v>
      </c>
      <c r="C1022">
        <v>26505</v>
      </c>
      <c r="D1022">
        <v>3710.7</v>
      </c>
    </row>
    <row r="1023" spans="1:4" x14ac:dyDescent="0.3">
      <c r="A1023" t="s">
        <v>48</v>
      </c>
      <c r="B1023">
        <v>1393</v>
      </c>
      <c r="C1023">
        <v>16716</v>
      </c>
      <c r="D1023">
        <v>2340.2399999999998</v>
      </c>
    </row>
    <row r="1024" spans="1:4" x14ac:dyDescent="0.3">
      <c r="A1024" t="s">
        <v>48</v>
      </c>
      <c r="B1024">
        <v>280</v>
      </c>
      <c r="C1024">
        <v>1960</v>
      </c>
      <c r="D1024">
        <v>274.39999999999998</v>
      </c>
    </row>
    <row r="1025" spans="1:4" x14ac:dyDescent="0.3">
      <c r="A1025" t="s">
        <v>48</v>
      </c>
      <c r="B1025">
        <v>1393</v>
      </c>
      <c r="C1025">
        <v>16716</v>
      </c>
      <c r="D1025">
        <v>2340.2399999999998</v>
      </c>
    </row>
    <row r="1026" spans="1:4" x14ac:dyDescent="0.3">
      <c r="A1026" t="s">
        <v>48</v>
      </c>
      <c r="B1026">
        <v>2015</v>
      </c>
      <c r="C1026">
        <v>24180</v>
      </c>
      <c r="D1026">
        <v>3385.2</v>
      </c>
    </row>
    <row r="1027" spans="1:4" x14ac:dyDescent="0.3">
      <c r="A1027" t="s">
        <v>48</v>
      </c>
      <c r="B1027">
        <v>801</v>
      </c>
      <c r="C1027">
        <v>240300</v>
      </c>
      <c r="D1027">
        <v>33642</v>
      </c>
    </row>
    <row r="1028" spans="1:4" x14ac:dyDescent="0.3">
      <c r="A1028" t="s">
        <v>48</v>
      </c>
      <c r="B1028">
        <v>1023</v>
      </c>
      <c r="C1028">
        <v>127875</v>
      </c>
      <c r="D1028">
        <v>17902.5</v>
      </c>
    </row>
    <row r="1029" spans="1:4" x14ac:dyDescent="0.3">
      <c r="A1029" t="s">
        <v>48</v>
      </c>
      <c r="B1029">
        <v>1496</v>
      </c>
      <c r="C1029">
        <v>448800</v>
      </c>
      <c r="D1029">
        <v>62832</v>
      </c>
    </row>
    <row r="1030" spans="1:4" x14ac:dyDescent="0.3">
      <c r="A1030" t="s">
        <v>48</v>
      </c>
      <c r="B1030">
        <v>1010</v>
      </c>
      <c r="C1030">
        <v>303000</v>
      </c>
      <c r="D1030">
        <v>42420</v>
      </c>
    </row>
    <row r="1031" spans="1:4" x14ac:dyDescent="0.3">
      <c r="A1031" t="s">
        <v>48</v>
      </c>
      <c r="B1031">
        <v>1513</v>
      </c>
      <c r="C1031">
        <v>22695</v>
      </c>
      <c r="D1031">
        <v>3177.3</v>
      </c>
    </row>
    <row r="1032" spans="1:4" x14ac:dyDescent="0.3">
      <c r="A1032" t="s">
        <v>48</v>
      </c>
      <c r="B1032">
        <v>2300</v>
      </c>
      <c r="C1032">
        <v>34500</v>
      </c>
      <c r="D1032">
        <v>4830</v>
      </c>
    </row>
    <row r="1033" spans="1:4" x14ac:dyDescent="0.3">
      <c r="A1033" t="s">
        <v>48</v>
      </c>
      <c r="B1033">
        <v>2821</v>
      </c>
      <c r="C1033">
        <v>352625</v>
      </c>
      <c r="D1033">
        <v>49367.5</v>
      </c>
    </row>
    <row r="1034" spans="1:4" x14ac:dyDescent="0.3">
      <c r="A1034" t="s">
        <v>48</v>
      </c>
      <c r="B1034">
        <v>2227.5</v>
      </c>
      <c r="C1034">
        <v>779625</v>
      </c>
      <c r="D1034">
        <v>109147.5</v>
      </c>
    </row>
    <row r="1035" spans="1:4" x14ac:dyDescent="0.3">
      <c r="A1035" t="s">
        <v>48</v>
      </c>
      <c r="B1035">
        <v>1199</v>
      </c>
      <c r="C1035">
        <v>419650</v>
      </c>
      <c r="D1035">
        <v>58751</v>
      </c>
    </row>
    <row r="1036" spans="1:4" x14ac:dyDescent="0.3">
      <c r="A1036" t="s">
        <v>48</v>
      </c>
      <c r="B1036">
        <v>200</v>
      </c>
      <c r="C1036">
        <v>70000</v>
      </c>
      <c r="D1036">
        <v>9800</v>
      </c>
    </row>
    <row r="1037" spans="1:4" x14ac:dyDescent="0.3">
      <c r="A1037" t="s">
        <v>48</v>
      </c>
      <c r="B1037">
        <v>388</v>
      </c>
      <c r="C1037">
        <v>2716</v>
      </c>
      <c r="D1037">
        <v>380.24</v>
      </c>
    </row>
    <row r="1038" spans="1:4" x14ac:dyDescent="0.3">
      <c r="A1038" t="s">
        <v>48</v>
      </c>
      <c r="B1038">
        <v>1727</v>
      </c>
      <c r="C1038">
        <v>12089</v>
      </c>
      <c r="D1038">
        <v>1692.46</v>
      </c>
    </row>
    <row r="1039" spans="1:4" x14ac:dyDescent="0.3">
      <c r="A1039" t="s">
        <v>48</v>
      </c>
      <c r="B1039">
        <v>2300</v>
      </c>
      <c r="C1039">
        <v>34500</v>
      </c>
      <c r="D1039">
        <v>4830</v>
      </c>
    </row>
    <row r="1040" spans="1:4" x14ac:dyDescent="0.3">
      <c r="A1040" t="s">
        <v>48</v>
      </c>
      <c r="B1040">
        <v>260</v>
      </c>
      <c r="C1040">
        <v>5200</v>
      </c>
      <c r="D1040">
        <v>728</v>
      </c>
    </row>
    <row r="1041" spans="1:4" x14ac:dyDescent="0.3">
      <c r="A1041" t="s">
        <v>48</v>
      </c>
      <c r="B1041">
        <v>2470</v>
      </c>
      <c r="C1041">
        <v>37050</v>
      </c>
      <c r="D1041">
        <v>5187</v>
      </c>
    </row>
    <row r="1042" spans="1:4" x14ac:dyDescent="0.3">
      <c r="A1042" t="s">
        <v>48</v>
      </c>
      <c r="B1042">
        <v>1743</v>
      </c>
      <c r="C1042">
        <v>26145</v>
      </c>
      <c r="D1042">
        <v>3660.3</v>
      </c>
    </row>
    <row r="1043" spans="1:4" x14ac:dyDescent="0.3">
      <c r="A1043" t="s">
        <v>48</v>
      </c>
      <c r="B1043">
        <v>2914</v>
      </c>
      <c r="C1043">
        <v>34968</v>
      </c>
      <c r="D1043">
        <v>4895.5200000000004</v>
      </c>
    </row>
    <row r="1044" spans="1:4" x14ac:dyDescent="0.3">
      <c r="A1044" t="s">
        <v>48</v>
      </c>
      <c r="B1044">
        <v>1731</v>
      </c>
      <c r="C1044">
        <v>12117</v>
      </c>
      <c r="D1044">
        <v>1696.38</v>
      </c>
    </row>
    <row r="1045" spans="1:4" x14ac:dyDescent="0.3">
      <c r="A1045" t="s">
        <v>48</v>
      </c>
      <c r="B1045">
        <v>700</v>
      </c>
      <c r="C1045">
        <v>245000</v>
      </c>
      <c r="D1045">
        <v>34300</v>
      </c>
    </row>
    <row r="1046" spans="1:4" x14ac:dyDescent="0.3">
      <c r="A1046" t="s">
        <v>48</v>
      </c>
      <c r="B1046">
        <v>2222</v>
      </c>
      <c r="C1046">
        <v>26664</v>
      </c>
      <c r="D1046">
        <v>3732.96</v>
      </c>
    </row>
    <row r="1047" spans="1:4" x14ac:dyDescent="0.3">
      <c r="A1047" t="s">
        <v>48</v>
      </c>
      <c r="B1047">
        <v>1177</v>
      </c>
      <c r="C1047">
        <v>411950</v>
      </c>
      <c r="D1047">
        <v>57673</v>
      </c>
    </row>
    <row r="1048" spans="1:4" x14ac:dyDescent="0.3">
      <c r="A1048" t="s">
        <v>48</v>
      </c>
      <c r="B1048">
        <v>1922</v>
      </c>
      <c r="C1048">
        <v>672700</v>
      </c>
      <c r="D1048">
        <v>94178</v>
      </c>
    </row>
    <row r="1049" spans="1:4" x14ac:dyDescent="0.3">
      <c r="A1049" t="s">
        <v>48</v>
      </c>
      <c r="B1049">
        <v>1575</v>
      </c>
      <c r="C1049">
        <v>196875</v>
      </c>
      <c r="D1049">
        <v>27562.5</v>
      </c>
    </row>
    <row r="1050" spans="1:4" x14ac:dyDescent="0.3">
      <c r="A1050" t="s">
        <v>48</v>
      </c>
      <c r="B1050">
        <v>606</v>
      </c>
      <c r="C1050">
        <v>12120</v>
      </c>
      <c r="D1050">
        <v>1696.8</v>
      </c>
    </row>
    <row r="1051" spans="1:4" x14ac:dyDescent="0.3">
      <c r="A1051" t="s">
        <v>48</v>
      </c>
      <c r="B1051">
        <v>2460</v>
      </c>
      <c r="C1051">
        <v>738000</v>
      </c>
      <c r="D1051">
        <v>103320</v>
      </c>
    </row>
    <row r="1052" spans="1:4" x14ac:dyDescent="0.3">
      <c r="A1052" t="s">
        <v>48</v>
      </c>
      <c r="B1052">
        <v>269</v>
      </c>
      <c r="C1052">
        <v>80700</v>
      </c>
      <c r="D1052">
        <v>11298</v>
      </c>
    </row>
    <row r="1053" spans="1:4" x14ac:dyDescent="0.3">
      <c r="A1053" t="s">
        <v>48</v>
      </c>
      <c r="B1053">
        <v>2536</v>
      </c>
      <c r="C1053">
        <v>760800</v>
      </c>
      <c r="D1053">
        <v>106512</v>
      </c>
    </row>
    <row r="1054" spans="1:4" x14ac:dyDescent="0.3">
      <c r="A1054" t="s">
        <v>48</v>
      </c>
      <c r="B1054">
        <v>2903</v>
      </c>
      <c r="C1054">
        <v>20321</v>
      </c>
      <c r="D1054">
        <v>2844.94</v>
      </c>
    </row>
    <row r="1055" spans="1:4" x14ac:dyDescent="0.3">
      <c r="A1055" t="s">
        <v>48</v>
      </c>
      <c r="B1055">
        <v>2541</v>
      </c>
      <c r="C1055">
        <v>762300</v>
      </c>
      <c r="D1055">
        <v>106722</v>
      </c>
    </row>
    <row r="1056" spans="1:4" x14ac:dyDescent="0.3">
      <c r="A1056" t="s">
        <v>48</v>
      </c>
      <c r="B1056">
        <v>269</v>
      </c>
      <c r="C1056">
        <v>80700</v>
      </c>
      <c r="D1056">
        <v>11298</v>
      </c>
    </row>
    <row r="1057" spans="1:4" x14ac:dyDescent="0.3">
      <c r="A1057" t="s">
        <v>48</v>
      </c>
      <c r="B1057">
        <v>1496</v>
      </c>
      <c r="C1057">
        <v>448800</v>
      </c>
      <c r="D1057">
        <v>62832</v>
      </c>
    </row>
    <row r="1058" spans="1:4" x14ac:dyDescent="0.3">
      <c r="A1058" t="s">
        <v>48</v>
      </c>
      <c r="B1058">
        <v>1010</v>
      </c>
      <c r="C1058">
        <v>303000</v>
      </c>
      <c r="D1058">
        <v>42420</v>
      </c>
    </row>
    <row r="1059" spans="1:4" x14ac:dyDescent="0.3">
      <c r="A1059" t="s">
        <v>48</v>
      </c>
      <c r="B1059">
        <v>1281</v>
      </c>
      <c r="C1059">
        <v>448350</v>
      </c>
      <c r="D1059">
        <v>62769</v>
      </c>
    </row>
    <row r="1060" spans="1:4" x14ac:dyDescent="0.3">
      <c r="A1060" t="s">
        <v>48</v>
      </c>
      <c r="B1060">
        <v>888</v>
      </c>
      <c r="C1060">
        <v>266400</v>
      </c>
      <c r="D1060">
        <v>37296</v>
      </c>
    </row>
    <row r="1061" spans="1:4" x14ac:dyDescent="0.3">
      <c r="A1061" t="s">
        <v>48</v>
      </c>
      <c r="B1061">
        <v>2844</v>
      </c>
      <c r="C1061">
        <v>355500</v>
      </c>
      <c r="D1061">
        <v>49770</v>
      </c>
    </row>
    <row r="1062" spans="1:4" x14ac:dyDescent="0.3">
      <c r="A1062" t="s">
        <v>48</v>
      </c>
      <c r="B1062">
        <v>2475</v>
      </c>
      <c r="C1062">
        <v>29700</v>
      </c>
      <c r="D1062">
        <v>4158</v>
      </c>
    </row>
    <row r="1063" spans="1:4" x14ac:dyDescent="0.3">
      <c r="A1063" t="s">
        <v>48</v>
      </c>
      <c r="B1063">
        <v>1743</v>
      </c>
      <c r="C1063">
        <v>26145</v>
      </c>
      <c r="D1063">
        <v>3660.3</v>
      </c>
    </row>
    <row r="1064" spans="1:4" x14ac:dyDescent="0.3">
      <c r="A1064" t="s">
        <v>48</v>
      </c>
      <c r="B1064">
        <v>2914</v>
      </c>
      <c r="C1064">
        <v>34968</v>
      </c>
      <c r="D1064">
        <v>4895.5200000000004</v>
      </c>
    </row>
    <row r="1065" spans="1:4" x14ac:dyDescent="0.3">
      <c r="A1065" t="s">
        <v>48</v>
      </c>
      <c r="B1065">
        <v>1731</v>
      </c>
      <c r="C1065">
        <v>12117</v>
      </c>
      <c r="D1065">
        <v>1696.38</v>
      </c>
    </row>
    <row r="1066" spans="1:4" x14ac:dyDescent="0.3">
      <c r="A1066" t="s">
        <v>48</v>
      </c>
      <c r="B1066">
        <v>1727</v>
      </c>
      <c r="C1066">
        <v>12089</v>
      </c>
      <c r="D1066">
        <v>1692.46</v>
      </c>
    </row>
    <row r="1067" spans="1:4" x14ac:dyDescent="0.3">
      <c r="A1067" t="s">
        <v>48</v>
      </c>
      <c r="B1067">
        <v>1870</v>
      </c>
      <c r="C1067">
        <v>28050</v>
      </c>
      <c r="D1067">
        <v>3927</v>
      </c>
    </row>
    <row r="1068" spans="1:4" x14ac:dyDescent="0.3">
      <c r="A1068" t="s">
        <v>48</v>
      </c>
      <c r="B1068">
        <v>1174</v>
      </c>
      <c r="C1068">
        <v>146750</v>
      </c>
      <c r="D1068">
        <v>22012.5</v>
      </c>
    </row>
    <row r="1069" spans="1:4" x14ac:dyDescent="0.3">
      <c r="A1069" t="s">
        <v>48</v>
      </c>
      <c r="B1069">
        <v>2767</v>
      </c>
      <c r="C1069">
        <v>345875</v>
      </c>
      <c r="D1069">
        <v>51881.25</v>
      </c>
    </row>
    <row r="1070" spans="1:4" x14ac:dyDescent="0.3">
      <c r="A1070" t="s">
        <v>48</v>
      </c>
      <c r="B1070">
        <v>1085</v>
      </c>
      <c r="C1070">
        <v>135625</v>
      </c>
      <c r="D1070">
        <v>20343.75</v>
      </c>
    </row>
    <row r="1071" spans="1:4" x14ac:dyDescent="0.3">
      <c r="A1071" t="s">
        <v>48</v>
      </c>
      <c r="B1071">
        <v>546</v>
      </c>
      <c r="C1071">
        <v>163800</v>
      </c>
      <c r="D1071">
        <v>24570</v>
      </c>
    </row>
    <row r="1072" spans="1:4" x14ac:dyDescent="0.3">
      <c r="A1072" t="s">
        <v>48</v>
      </c>
      <c r="B1072">
        <v>1158</v>
      </c>
      <c r="C1072">
        <v>23160</v>
      </c>
      <c r="D1072">
        <v>3474</v>
      </c>
    </row>
    <row r="1073" spans="1:4" x14ac:dyDescent="0.3">
      <c r="A1073" t="s">
        <v>48</v>
      </c>
      <c r="B1073">
        <v>1614</v>
      </c>
      <c r="C1073">
        <v>24210</v>
      </c>
      <c r="D1073">
        <v>3631.5</v>
      </c>
    </row>
    <row r="1074" spans="1:4" x14ac:dyDescent="0.3">
      <c r="A1074" t="s">
        <v>48</v>
      </c>
      <c r="B1074">
        <v>2535</v>
      </c>
      <c r="C1074">
        <v>17745</v>
      </c>
      <c r="D1074">
        <v>2661.75</v>
      </c>
    </row>
    <row r="1075" spans="1:4" x14ac:dyDescent="0.3">
      <c r="A1075" t="s">
        <v>48</v>
      </c>
      <c r="B1075">
        <v>2851</v>
      </c>
      <c r="C1075">
        <v>997850</v>
      </c>
      <c r="D1075">
        <v>149677.5</v>
      </c>
    </row>
    <row r="1076" spans="1:4" x14ac:dyDescent="0.3">
      <c r="A1076" t="s">
        <v>48</v>
      </c>
      <c r="B1076">
        <v>2559</v>
      </c>
      <c r="C1076">
        <v>38385</v>
      </c>
      <c r="D1076">
        <v>5757.75</v>
      </c>
    </row>
    <row r="1077" spans="1:4" x14ac:dyDescent="0.3">
      <c r="A1077" t="s">
        <v>48</v>
      </c>
      <c r="B1077">
        <v>267</v>
      </c>
      <c r="C1077">
        <v>5340</v>
      </c>
      <c r="D1077">
        <v>801</v>
      </c>
    </row>
    <row r="1078" spans="1:4" x14ac:dyDescent="0.3">
      <c r="A1078" t="s">
        <v>48</v>
      </c>
      <c r="B1078">
        <v>1085</v>
      </c>
      <c r="C1078">
        <v>135625</v>
      </c>
      <c r="D1078">
        <v>20343.75</v>
      </c>
    </row>
    <row r="1079" spans="1:4" x14ac:dyDescent="0.3">
      <c r="A1079" t="s">
        <v>48</v>
      </c>
      <c r="B1079">
        <v>1175</v>
      </c>
      <c r="C1079">
        <v>17625</v>
      </c>
      <c r="D1079">
        <v>2643.75</v>
      </c>
    </row>
    <row r="1080" spans="1:4" x14ac:dyDescent="0.3">
      <c r="A1080" t="s">
        <v>48</v>
      </c>
      <c r="B1080">
        <v>2007</v>
      </c>
      <c r="C1080">
        <v>702450</v>
      </c>
      <c r="D1080">
        <v>105367.5</v>
      </c>
    </row>
    <row r="1081" spans="1:4" x14ac:dyDescent="0.3">
      <c r="A1081" t="s">
        <v>48</v>
      </c>
      <c r="B1081">
        <v>2151</v>
      </c>
      <c r="C1081">
        <v>752850</v>
      </c>
      <c r="D1081">
        <v>112927.5</v>
      </c>
    </row>
    <row r="1082" spans="1:4" x14ac:dyDescent="0.3">
      <c r="A1082" t="s">
        <v>48</v>
      </c>
      <c r="B1082">
        <v>914</v>
      </c>
      <c r="C1082">
        <v>10968</v>
      </c>
      <c r="D1082">
        <v>1645.2</v>
      </c>
    </row>
    <row r="1083" spans="1:4" x14ac:dyDescent="0.3">
      <c r="A1083" t="s">
        <v>45</v>
      </c>
      <c r="B1083">
        <f ca="1">ROUND(RANDBETWEEN(200,3000) + IF(RAND()&gt;0.7,0.5),1)</f>
        <v>2376.5</v>
      </c>
      <c r="C1083">
        <f ca="1">RANDBETWEEN(5000,58000)</f>
        <v>35237</v>
      </c>
      <c r="D1083">
        <f ca="1">ROUND(RAND()*4500+58000,2)</f>
        <v>61746.9</v>
      </c>
    </row>
    <row r="1084" spans="1:4" x14ac:dyDescent="0.3">
      <c r="A1084" t="s">
        <v>45</v>
      </c>
      <c r="B1084">
        <f t="shared" ref="B1084:B1147" ca="1" si="0">ROUND(RANDBETWEEN(200,3000) + IF(RAND()&gt;0.7,0.5),1)</f>
        <v>1911</v>
      </c>
      <c r="C1084">
        <f t="shared" ref="C1084:C1147" ca="1" si="1">RANDBETWEEN(5000,58000)</f>
        <v>44958</v>
      </c>
      <c r="D1084">
        <f t="shared" ref="D1084:D1147" ca="1" si="2">ROUND(RAND()*4500+58000,2)</f>
        <v>62418.54</v>
      </c>
    </row>
    <row r="1085" spans="1:4" x14ac:dyDescent="0.3">
      <c r="A1085" t="s">
        <v>45</v>
      </c>
      <c r="B1085">
        <f t="shared" ca="1" si="0"/>
        <v>361.5</v>
      </c>
      <c r="C1085">
        <f t="shared" ca="1" si="1"/>
        <v>56952</v>
      </c>
      <c r="D1085">
        <f t="shared" ca="1" si="2"/>
        <v>58418.05</v>
      </c>
    </row>
    <row r="1086" spans="1:4" x14ac:dyDescent="0.3">
      <c r="A1086" t="s">
        <v>45</v>
      </c>
      <c r="B1086">
        <f t="shared" ca="1" si="0"/>
        <v>1983</v>
      </c>
      <c r="C1086">
        <f t="shared" ca="1" si="1"/>
        <v>7706</v>
      </c>
      <c r="D1086">
        <f t="shared" ca="1" si="2"/>
        <v>61330.26</v>
      </c>
    </row>
    <row r="1087" spans="1:4" x14ac:dyDescent="0.3">
      <c r="A1087" t="s">
        <v>45</v>
      </c>
      <c r="B1087">
        <f t="shared" ca="1" si="0"/>
        <v>711</v>
      </c>
      <c r="C1087">
        <f t="shared" ca="1" si="1"/>
        <v>6651</v>
      </c>
      <c r="D1087">
        <f t="shared" ca="1" si="2"/>
        <v>62296.93</v>
      </c>
    </row>
    <row r="1088" spans="1:4" x14ac:dyDescent="0.3">
      <c r="A1088" t="s">
        <v>45</v>
      </c>
      <c r="B1088">
        <f t="shared" ca="1" si="0"/>
        <v>1206</v>
      </c>
      <c r="C1088">
        <f t="shared" ca="1" si="1"/>
        <v>18560</v>
      </c>
      <c r="D1088">
        <f t="shared" ca="1" si="2"/>
        <v>59708.6</v>
      </c>
    </row>
    <row r="1089" spans="1:4" x14ac:dyDescent="0.3">
      <c r="A1089" t="s">
        <v>45</v>
      </c>
      <c r="B1089">
        <f t="shared" ca="1" si="0"/>
        <v>2447.5</v>
      </c>
      <c r="C1089">
        <f t="shared" ca="1" si="1"/>
        <v>42143</v>
      </c>
      <c r="D1089">
        <f t="shared" ca="1" si="2"/>
        <v>58369.08</v>
      </c>
    </row>
    <row r="1090" spans="1:4" x14ac:dyDescent="0.3">
      <c r="A1090" t="s">
        <v>45</v>
      </c>
      <c r="B1090">
        <f t="shared" ca="1" si="0"/>
        <v>1473.5</v>
      </c>
      <c r="C1090">
        <f t="shared" ca="1" si="1"/>
        <v>17442</v>
      </c>
      <c r="D1090">
        <f t="shared" ca="1" si="2"/>
        <v>61260.92</v>
      </c>
    </row>
    <row r="1091" spans="1:4" x14ac:dyDescent="0.3">
      <c r="A1091" t="s">
        <v>45</v>
      </c>
      <c r="B1091">
        <f t="shared" ca="1" si="0"/>
        <v>236.5</v>
      </c>
      <c r="C1091">
        <f t="shared" ca="1" si="1"/>
        <v>42026</v>
      </c>
      <c r="D1091">
        <f t="shared" ca="1" si="2"/>
        <v>61322.38</v>
      </c>
    </row>
    <row r="1092" spans="1:4" x14ac:dyDescent="0.3">
      <c r="A1092" t="s">
        <v>47</v>
      </c>
      <c r="B1092">
        <f t="shared" ca="1" si="0"/>
        <v>1278.5</v>
      </c>
      <c r="C1092">
        <f t="shared" ca="1" si="1"/>
        <v>41038</v>
      </c>
      <c r="D1092">
        <f t="shared" ca="1" si="2"/>
        <v>59994.83</v>
      </c>
    </row>
    <row r="1093" spans="1:4" x14ac:dyDescent="0.3">
      <c r="A1093" t="s">
        <v>47</v>
      </c>
      <c r="B1093">
        <f t="shared" ca="1" si="0"/>
        <v>841</v>
      </c>
      <c r="C1093">
        <f t="shared" ca="1" si="1"/>
        <v>56221</v>
      </c>
      <c r="D1093">
        <f t="shared" ca="1" si="2"/>
        <v>59436.81</v>
      </c>
    </row>
    <row r="1094" spans="1:4" x14ac:dyDescent="0.3">
      <c r="A1094" t="s">
        <v>47</v>
      </c>
      <c r="B1094">
        <f t="shared" ca="1" si="0"/>
        <v>2715.5</v>
      </c>
      <c r="C1094">
        <f t="shared" ca="1" si="1"/>
        <v>52122</v>
      </c>
      <c r="D1094">
        <f t="shared" ca="1" si="2"/>
        <v>61241.69</v>
      </c>
    </row>
    <row r="1095" spans="1:4" x14ac:dyDescent="0.3">
      <c r="A1095" t="s">
        <v>47</v>
      </c>
      <c r="B1095">
        <f t="shared" ca="1" si="0"/>
        <v>412.5</v>
      </c>
      <c r="C1095">
        <f t="shared" ca="1" si="1"/>
        <v>27756</v>
      </c>
      <c r="D1095">
        <v>0</v>
      </c>
    </row>
    <row r="1096" spans="1:4" x14ac:dyDescent="0.3">
      <c r="A1096" t="s">
        <v>47</v>
      </c>
      <c r="B1096">
        <f t="shared" ca="1" si="0"/>
        <v>1866</v>
      </c>
      <c r="C1096">
        <f t="shared" ca="1" si="1"/>
        <v>9066</v>
      </c>
      <c r="D1096">
        <f t="shared" ca="1" si="2"/>
        <v>59685.25</v>
      </c>
    </row>
    <row r="1097" spans="1:4" x14ac:dyDescent="0.3">
      <c r="A1097" t="s">
        <v>47</v>
      </c>
      <c r="B1097">
        <f t="shared" ca="1" si="0"/>
        <v>469</v>
      </c>
      <c r="C1097">
        <f t="shared" ca="1" si="1"/>
        <v>47276</v>
      </c>
      <c r="D1097">
        <f t="shared" ca="1" si="2"/>
        <v>62341.45</v>
      </c>
    </row>
    <row r="1098" spans="1:4" x14ac:dyDescent="0.3">
      <c r="A1098" t="s">
        <v>47</v>
      </c>
      <c r="B1098">
        <f t="shared" ca="1" si="0"/>
        <v>468</v>
      </c>
      <c r="C1098">
        <f t="shared" ca="1" si="1"/>
        <v>39993</v>
      </c>
      <c r="D1098">
        <f t="shared" ca="1" si="2"/>
        <v>60427.18</v>
      </c>
    </row>
    <row r="1099" spans="1:4" x14ac:dyDescent="0.3">
      <c r="A1099" t="s">
        <v>47</v>
      </c>
      <c r="B1099">
        <f t="shared" ca="1" si="0"/>
        <v>2627</v>
      </c>
      <c r="C1099">
        <f t="shared" ca="1" si="1"/>
        <v>28615</v>
      </c>
      <c r="D1099">
        <f t="shared" ca="1" si="2"/>
        <v>58564.84</v>
      </c>
    </row>
    <row r="1100" spans="1:4" x14ac:dyDescent="0.3">
      <c r="A1100" t="s">
        <v>47</v>
      </c>
      <c r="B1100">
        <f t="shared" ca="1" si="0"/>
        <v>1076</v>
      </c>
      <c r="C1100">
        <f t="shared" ca="1" si="1"/>
        <v>5055</v>
      </c>
      <c r="D1100">
        <f t="shared" ca="1" si="2"/>
        <v>58380.88</v>
      </c>
    </row>
    <row r="1101" spans="1:4" x14ac:dyDescent="0.3">
      <c r="A1101" t="s">
        <v>47</v>
      </c>
      <c r="B1101">
        <f t="shared" ca="1" si="0"/>
        <v>1478</v>
      </c>
      <c r="C1101">
        <f t="shared" ca="1" si="1"/>
        <v>15160</v>
      </c>
      <c r="D1101">
        <f t="shared" ca="1" si="2"/>
        <v>59659.27</v>
      </c>
    </row>
    <row r="1102" spans="1:4" x14ac:dyDescent="0.3">
      <c r="A1102" t="s">
        <v>47</v>
      </c>
      <c r="B1102">
        <f t="shared" ca="1" si="0"/>
        <v>1482.5</v>
      </c>
      <c r="C1102">
        <f t="shared" ca="1" si="1"/>
        <v>50323</v>
      </c>
      <c r="D1102">
        <f t="shared" ca="1" si="2"/>
        <v>59202.44</v>
      </c>
    </row>
    <row r="1103" spans="1:4" x14ac:dyDescent="0.3">
      <c r="A1103" t="s">
        <v>48</v>
      </c>
      <c r="B1103">
        <f t="shared" ca="1" si="0"/>
        <v>2011</v>
      </c>
      <c r="C1103">
        <f t="shared" ca="1" si="1"/>
        <v>33825</v>
      </c>
      <c r="D1103">
        <f t="shared" ca="1" si="2"/>
        <v>58977.67</v>
      </c>
    </row>
    <row r="1104" spans="1:4" x14ac:dyDescent="0.3">
      <c r="A1104" t="s">
        <v>48</v>
      </c>
      <c r="B1104">
        <f t="shared" ca="1" si="0"/>
        <v>1071</v>
      </c>
      <c r="C1104">
        <f t="shared" ca="1" si="1"/>
        <v>23824</v>
      </c>
      <c r="D1104">
        <f t="shared" ca="1" si="2"/>
        <v>61715.87</v>
      </c>
    </row>
    <row r="1105" spans="1:4" x14ac:dyDescent="0.3">
      <c r="A1105" t="s">
        <v>48</v>
      </c>
      <c r="B1105">
        <f t="shared" ca="1" si="0"/>
        <v>1252</v>
      </c>
      <c r="C1105">
        <f t="shared" ca="1" si="1"/>
        <v>28598</v>
      </c>
      <c r="D1105">
        <f t="shared" ca="1" si="2"/>
        <v>60528.66</v>
      </c>
    </row>
    <row r="1106" spans="1:4" x14ac:dyDescent="0.3">
      <c r="A1106" t="s">
        <v>48</v>
      </c>
      <c r="B1106">
        <f t="shared" ca="1" si="0"/>
        <v>2461.5</v>
      </c>
      <c r="C1106">
        <f t="shared" ca="1" si="1"/>
        <v>20586</v>
      </c>
      <c r="D1106">
        <f t="shared" ca="1" si="2"/>
        <v>58355.44</v>
      </c>
    </row>
    <row r="1107" spans="1:4" x14ac:dyDescent="0.3">
      <c r="A1107" t="s">
        <v>48</v>
      </c>
      <c r="B1107">
        <f t="shared" ca="1" si="0"/>
        <v>2217</v>
      </c>
      <c r="C1107">
        <f t="shared" ca="1" si="1"/>
        <v>32237</v>
      </c>
      <c r="D1107">
        <f t="shared" ca="1" si="2"/>
        <v>60299.76</v>
      </c>
    </row>
    <row r="1108" spans="1:4" x14ac:dyDescent="0.3">
      <c r="A1108" t="s">
        <v>48</v>
      </c>
      <c r="B1108">
        <f t="shared" ca="1" si="0"/>
        <v>1279</v>
      </c>
      <c r="C1108">
        <f t="shared" ca="1" si="1"/>
        <v>27523</v>
      </c>
      <c r="D1108">
        <f t="shared" ca="1" si="2"/>
        <v>58352.32</v>
      </c>
    </row>
    <row r="1109" spans="1:4" x14ac:dyDescent="0.3">
      <c r="A1109" t="s">
        <v>48</v>
      </c>
      <c r="B1109">
        <f t="shared" ca="1" si="0"/>
        <v>1618</v>
      </c>
      <c r="C1109">
        <f t="shared" ca="1" si="1"/>
        <v>42532</v>
      </c>
      <c r="D1109">
        <f t="shared" ca="1" si="2"/>
        <v>62221.48</v>
      </c>
    </row>
    <row r="1110" spans="1:4" x14ac:dyDescent="0.3">
      <c r="A1110" t="s">
        <v>48</v>
      </c>
      <c r="B1110">
        <f t="shared" ca="1" si="0"/>
        <v>307</v>
      </c>
      <c r="C1110">
        <f t="shared" ca="1" si="1"/>
        <v>16031</v>
      </c>
      <c r="D1110">
        <f t="shared" ca="1" si="2"/>
        <v>61079.45</v>
      </c>
    </row>
    <row r="1111" spans="1:4" x14ac:dyDescent="0.3">
      <c r="A1111" t="s">
        <v>48</v>
      </c>
      <c r="B1111">
        <f t="shared" ca="1" si="0"/>
        <v>2980</v>
      </c>
      <c r="C1111">
        <f t="shared" ca="1" si="1"/>
        <v>34593</v>
      </c>
      <c r="D1111">
        <f t="shared" ca="1" si="2"/>
        <v>58480.82</v>
      </c>
    </row>
    <row r="1112" spans="1:4" x14ac:dyDescent="0.3">
      <c r="A1112" t="s">
        <v>48</v>
      </c>
      <c r="B1112">
        <f t="shared" ca="1" si="0"/>
        <v>2986</v>
      </c>
      <c r="C1112">
        <f t="shared" ca="1" si="1"/>
        <v>53743</v>
      </c>
      <c r="D1112">
        <f t="shared" ca="1" si="2"/>
        <v>60501.52</v>
      </c>
    </row>
    <row r="1113" spans="1:4" x14ac:dyDescent="0.3">
      <c r="A1113" t="s">
        <v>48</v>
      </c>
      <c r="B1113">
        <f t="shared" ca="1" si="0"/>
        <v>730</v>
      </c>
      <c r="C1113">
        <f t="shared" ca="1" si="1"/>
        <v>55807</v>
      </c>
      <c r="D1113">
        <f t="shared" ca="1" si="2"/>
        <v>62113.52</v>
      </c>
    </row>
    <row r="1114" spans="1:4" x14ac:dyDescent="0.3">
      <c r="A1114" t="s">
        <v>48</v>
      </c>
      <c r="B1114">
        <f t="shared" ca="1" si="0"/>
        <v>1914.5</v>
      </c>
      <c r="C1114">
        <f t="shared" ca="1" si="1"/>
        <v>27401</v>
      </c>
      <c r="D1114">
        <f t="shared" ca="1" si="2"/>
        <v>59272.42</v>
      </c>
    </row>
    <row r="1115" spans="1:4" x14ac:dyDescent="0.3">
      <c r="A1115" t="s">
        <v>48</v>
      </c>
      <c r="B1115">
        <f t="shared" ca="1" si="0"/>
        <v>2292</v>
      </c>
      <c r="C1115">
        <f t="shared" ca="1" si="1"/>
        <v>17316</v>
      </c>
      <c r="D1115">
        <f t="shared" ca="1" si="2"/>
        <v>59433.25</v>
      </c>
    </row>
    <row r="1116" spans="1:4" x14ac:dyDescent="0.3">
      <c r="A1116" t="s">
        <v>48</v>
      </c>
      <c r="B1116">
        <f t="shared" ca="1" si="0"/>
        <v>1376</v>
      </c>
      <c r="C1116">
        <f t="shared" ca="1" si="1"/>
        <v>12363</v>
      </c>
      <c r="D1116">
        <f t="shared" ca="1" si="2"/>
        <v>58935.78</v>
      </c>
    </row>
    <row r="1117" spans="1:4" x14ac:dyDescent="0.3">
      <c r="A1117" t="s">
        <v>48</v>
      </c>
      <c r="B1117">
        <f t="shared" ca="1" si="0"/>
        <v>1033</v>
      </c>
      <c r="C1117">
        <f t="shared" ca="1" si="1"/>
        <v>30674</v>
      </c>
      <c r="D1117">
        <f t="shared" ca="1" si="2"/>
        <v>60625.03</v>
      </c>
    </row>
    <row r="1118" spans="1:4" x14ac:dyDescent="0.3">
      <c r="A1118" t="s">
        <v>45</v>
      </c>
      <c r="B1118">
        <f t="shared" ca="1" si="0"/>
        <v>1782</v>
      </c>
      <c r="C1118">
        <f t="shared" ca="1" si="1"/>
        <v>43462</v>
      </c>
      <c r="D1118">
        <f t="shared" ca="1" si="2"/>
        <v>58055.12</v>
      </c>
    </row>
    <row r="1119" spans="1:4" x14ac:dyDescent="0.3">
      <c r="A1119" t="s">
        <v>45</v>
      </c>
      <c r="B1119">
        <f t="shared" ca="1" si="0"/>
        <v>1492</v>
      </c>
      <c r="C1119">
        <f t="shared" ca="1" si="1"/>
        <v>21371</v>
      </c>
      <c r="D1119">
        <f t="shared" ca="1" si="2"/>
        <v>60743.37</v>
      </c>
    </row>
    <row r="1120" spans="1:4" x14ac:dyDescent="0.3">
      <c r="A1120" t="s">
        <v>45</v>
      </c>
      <c r="B1120">
        <f t="shared" ca="1" si="0"/>
        <v>2800</v>
      </c>
      <c r="C1120">
        <f t="shared" ca="1" si="1"/>
        <v>26685</v>
      </c>
      <c r="D1120">
        <f t="shared" ca="1" si="2"/>
        <v>59302.92</v>
      </c>
    </row>
    <row r="1121" spans="1:4" x14ac:dyDescent="0.3">
      <c r="A1121" t="s">
        <v>45</v>
      </c>
      <c r="B1121">
        <f t="shared" ca="1" si="0"/>
        <v>1500</v>
      </c>
      <c r="C1121">
        <f t="shared" ca="1" si="1"/>
        <v>40410</v>
      </c>
      <c r="D1121">
        <f t="shared" ca="1" si="2"/>
        <v>60316.33</v>
      </c>
    </row>
    <row r="1122" spans="1:4" x14ac:dyDescent="0.3">
      <c r="A1122" t="s">
        <v>45</v>
      </c>
      <c r="B1122">
        <f t="shared" ca="1" si="0"/>
        <v>953</v>
      </c>
      <c r="C1122">
        <f t="shared" ca="1" si="1"/>
        <v>14978</v>
      </c>
      <c r="D1122">
        <f t="shared" ca="1" si="2"/>
        <v>61850</v>
      </c>
    </row>
    <row r="1123" spans="1:4" x14ac:dyDescent="0.3">
      <c r="A1123" t="s">
        <v>45</v>
      </c>
      <c r="B1123">
        <f t="shared" ca="1" si="0"/>
        <v>240.5</v>
      </c>
      <c r="C1123">
        <f t="shared" ca="1" si="1"/>
        <v>14122</v>
      </c>
      <c r="D1123">
        <f t="shared" ca="1" si="2"/>
        <v>62298.65</v>
      </c>
    </row>
    <row r="1124" spans="1:4" x14ac:dyDescent="0.3">
      <c r="A1124" t="s">
        <v>47</v>
      </c>
      <c r="B1124">
        <f t="shared" ca="1" si="0"/>
        <v>1221</v>
      </c>
      <c r="C1124">
        <f t="shared" ca="1" si="1"/>
        <v>11777</v>
      </c>
      <c r="D1124">
        <f t="shared" ca="1" si="2"/>
        <v>58920.85</v>
      </c>
    </row>
    <row r="1125" spans="1:4" x14ac:dyDescent="0.3">
      <c r="A1125" t="s">
        <v>47</v>
      </c>
      <c r="B1125">
        <f t="shared" ca="1" si="0"/>
        <v>1204.5</v>
      </c>
      <c r="C1125">
        <f t="shared" ca="1" si="1"/>
        <v>51271</v>
      </c>
      <c r="D1125">
        <f t="shared" ca="1" si="2"/>
        <v>60006.67</v>
      </c>
    </row>
    <row r="1126" spans="1:4" x14ac:dyDescent="0.3">
      <c r="A1126" t="s">
        <v>47</v>
      </c>
      <c r="B1126">
        <f t="shared" ca="1" si="0"/>
        <v>930</v>
      </c>
      <c r="C1126">
        <f t="shared" ca="1" si="1"/>
        <v>10152</v>
      </c>
      <c r="D1126">
        <f t="shared" ca="1" si="2"/>
        <v>60530.58</v>
      </c>
    </row>
    <row r="1127" spans="1:4" x14ac:dyDescent="0.3">
      <c r="A1127" t="s">
        <v>47</v>
      </c>
      <c r="B1127">
        <f t="shared" ca="1" si="0"/>
        <v>417</v>
      </c>
      <c r="C1127">
        <f t="shared" ca="1" si="1"/>
        <v>16456</v>
      </c>
      <c r="D1127">
        <f t="shared" ca="1" si="2"/>
        <v>58097.47</v>
      </c>
    </row>
    <row r="1128" spans="1:4" x14ac:dyDescent="0.3">
      <c r="A1128" t="s">
        <v>47</v>
      </c>
      <c r="B1128">
        <f t="shared" ca="1" si="0"/>
        <v>2045</v>
      </c>
      <c r="C1128">
        <f t="shared" ca="1" si="1"/>
        <v>35521</v>
      </c>
      <c r="D1128">
        <f t="shared" ca="1" si="2"/>
        <v>58629.57</v>
      </c>
    </row>
    <row r="1129" spans="1:4" x14ac:dyDescent="0.3">
      <c r="A1129" t="s">
        <v>48</v>
      </c>
      <c r="B1129">
        <f t="shared" ca="1" si="0"/>
        <v>519</v>
      </c>
      <c r="C1129">
        <f t="shared" ca="1" si="1"/>
        <v>47827</v>
      </c>
      <c r="D1129">
        <f t="shared" ca="1" si="2"/>
        <v>61605.34</v>
      </c>
    </row>
    <row r="1130" spans="1:4" x14ac:dyDescent="0.3">
      <c r="A1130" t="s">
        <v>48</v>
      </c>
      <c r="B1130">
        <f t="shared" ca="1" si="0"/>
        <v>1119</v>
      </c>
      <c r="C1130">
        <f t="shared" ca="1" si="1"/>
        <v>44770</v>
      </c>
      <c r="D1130">
        <v>0</v>
      </c>
    </row>
    <row r="1131" spans="1:4" x14ac:dyDescent="0.3">
      <c r="A1131" t="s">
        <v>48</v>
      </c>
      <c r="B1131">
        <f t="shared" ca="1" si="0"/>
        <v>1719.5</v>
      </c>
      <c r="C1131">
        <f t="shared" ca="1" si="1"/>
        <v>42932</v>
      </c>
      <c r="D1131">
        <v>0</v>
      </c>
    </row>
    <row r="1132" spans="1:4" x14ac:dyDescent="0.3">
      <c r="A1132" t="s">
        <v>48</v>
      </c>
      <c r="B1132">
        <f t="shared" ca="1" si="0"/>
        <v>2086.5</v>
      </c>
      <c r="C1132">
        <f t="shared" ca="1" si="1"/>
        <v>14073</v>
      </c>
      <c r="D1132">
        <v>0</v>
      </c>
    </row>
    <row r="1133" spans="1:4" x14ac:dyDescent="0.3">
      <c r="A1133" t="s">
        <v>48</v>
      </c>
      <c r="B1133">
        <f t="shared" ca="1" si="0"/>
        <v>1830.5</v>
      </c>
      <c r="C1133">
        <f t="shared" ca="1" si="1"/>
        <v>50322</v>
      </c>
      <c r="D1133">
        <v>0</v>
      </c>
    </row>
    <row r="1134" spans="1:4" x14ac:dyDescent="0.3">
      <c r="A1134" t="s">
        <v>48</v>
      </c>
      <c r="B1134">
        <f t="shared" ca="1" si="0"/>
        <v>1406</v>
      </c>
      <c r="C1134">
        <f t="shared" ca="1" si="1"/>
        <v>56139</v>
      </c>
      <c r="D1134">
        <v>0</v>
      </c>
    </row>
    <row r="1135" spans="1:4" x14ac:dyDescent="0.3">
      <c r="A1135" t="s">
        <v>48</v>
      </c>
      <c r="B1135">
        <f t="shared" ca="1" si="0"/>
        <v>566</v>
      </c>
      <c r="C1135">
        <f t="shared" ca="1" si="1"/>
        <v>21082</v>
      </c>
      <c r="D1135">
        <v>0</v>
      </c>
    </row>
    <row r="1136" spans="1:4" x14ac:dyDescent="0.3">
      <c r="A1136" t="s">
        <v>48</v>
      </c>
      <c r="B1136">
        <f t="shared" ca="1" si="0"/>
        <v>774</v>
      </c>
      <c r="C1136">
        <f t="shared" ca="1" si="1"/>
        <v>14714</v>
      </c>
      <c r="D1136">
        <v>0</v>
      </c>
    </row>
    <row r="1137" spans="1:4" x14ac:dyDescent="0.3">
      <c r="A1137" t="s">
        <v>48</v>
      </c>
      <c r="B1137">
        <f t="shared" ca="1" si="0"/>
        <v>2202</v>
      </c>
      <c r="C1137">
        <f t="shared" ca="1" si="1"/>
        <v>53928</v>
      </c>
      <c r="D1137">
        <f t="shared" ca="1" si="2"/>
        <v>58355.11</v>
      </c>
    </row>
    <row r="1138" spans="1:4" x14ac:dyDescent="0.3">
      <c r="A1138" t="s">
        <v>48</v>
      </c>
      <c r="B1138">
        <f t="shared" ca="1" si="0"/>
        <v>2375</v>
      </c>
      <c r="C1138">
        <f t="shared" ca="1" si="1"/>
        <v>45331</v>
      </c>
      <c r="D1138">
        <f t="shared" ca="1" si="2"/>
        <v>60750</v>
      </c>
    </row>
    <row r="1139" spans="1:4" x14ac:dyDescent="0.3">
      <c r="A1139" t="s">
        <v>48</v>
      </c>
      <c r="B1139">
        <f t="shared" ca="1" si="0"/>
        <v>507</v>
      </c>
      <c r="C1139">
        <f t="shared" ca="1" si="1"/>
        <v>55689</v>
      </c>
      <c r="D1139">
        <f t="shared" ca="1" si="2"/>
        <v>58065.38</v>
      </c>
    </row>
    <row r="1140" spans="1:4" x14ac:dyDescent="0.3">
      <c r="A1140" t="s">
        <v>48</v>
      </c>
      <c r="B1140">
        <f t="shared" ca="1" si="0"/>
        <v>551.5</v>
      </c>
      <c r="C1140">
        <f t="shared" ca="1" si="1"/>
        <v>29372</v>
      </c>
      <c r="D1140">
        <f t="shared" ca="1" si="2"/>
        <v>61805.51</v>
      </c>
    </row>
    <row r="1141" spans="1:4" x14ac:dyDescent="0.3">
      <c r="A1141" t="s">
        <v>48</v>
      </c>
      <c r="B1141">
        <f t="shared" ca="1" si="0"/>
        <v>2934</v>
      </c>
      <c r="C1141">
        <f t="shared" ca="1" si="1"/>
        <v>23445</v>
      </c>
      <c r="D1141">
        <f t="shared" ca="1" si="2"/>
        <v>60771.44</v>
      </c>
    </row>
    <row r="1142" spans="1:4" x14ac:dyDescent="0.3">
      <c r="A1142" t="s">
        <v>48</v>
      </c>
      <c r="B1142">
        <f t="shared" ca="1" si="0"/>
        <v>2916.5</v>
      </c>
      <c r="C1142">
        <f t="shared" ca="1" si="1"/>
        <v>29061</v>
      </c>
      <c r="D1142">
        <f t="shared" ca="1" si="2"/>
        <v>61138.98</v>
      </c>
    </row>
    <row r="1143" spans="1:4" x14ac:dyDescent="0.3">
      <c r="A1143" t="s">
        <v>48</v>
      </c>
      <c r="B1143">
        <f t="shared" ca="1" si="0"/>
        <v>2414</v>
      </c>
      <c r="C1143">
        <f t="shared" ca="1" si="1"/>
        <v>22449</v>
      </c>
      <c r="D1143">
        <f t="shared" ca="1" si="2"/>
        <v>58026.22</v>
      </c>
    </row>
    <row r="1144" spans="1:4" x14ac:dyDescent="0.3">
      <c r="A1144" t="s">
        <v>45</v>
      </c>
      <c r="B1144">
        <f t="shared" ca="1" si="0"/>
        <v>1971</v>
      </c>
      <c r="C1144">
        <f t="shared" ca="1" si="1"/>
        <v>54928</v>
      </c>
      <c r="D1144">
        <f t="shared" ca="1" si="2"/>
        <v>58473.66</v>
      </c>
    </row>
    <row r="1145" spans="1:4" x14ac:dyDescent="0.3">
      <c r="A1145" t="s">
        <v>45</v>
      </c>
      <c r="B1145">
        <f t="shared" ca="1" si="0"/>
        <v>2293.5</v>
      </c>
      <c r="C1145">
        <f t="shared" ca="1" si="1"/>
        <v>9555</v>
      </c>
      <c r="D1145">
        <f t="shared" ca="1" si="2"/>
        <v>58184.69</v>
      </c>
    </row>
    <row r="1146" spans="1:4" x14ac:dyDescent="0.3">
      <c r="A1146" t="s">
        <v>45</v>
      </c>
      <c r="B1146">
        <f t="shared" ca="1" si="0"/>
        <v>905</v>
      </c>
      <c r="C1146">
        <f t="shared" ca="1" si="1"/>
        <v>41284</v>
      </c>
      <c r="D1146">
        <f t="shared" ca="1" si="2"/>
        <v>60424.05</v>
      </c>
    </row>
    <row r="1147" spans="1:4" x14ac:dyDescent="0.3">
      <c r="A1147" t="s">
        <v>45</v>
      </c>
      <c r="B1147">
        <f t="shared" ca="1" si="0"/>
        <v>358</v>
      </c>
      <c r="C1147">
        <f t="shared" ca="1" si="1"/>
        <v>39983</v>
      </c>
      <c r="D1147">
        <f t="shared" ca="1" si="2"/>
        <v>60776.13</v>
      </c>
    </row>
    <row r="1148" spans="1:4" x14ac:dyDescent="0.3">
      <c r="A1148" t="s">
        <v>45</v>
      </c>
      <c r="B1148">
        <f t="shared" ref="B1148:B1211" ca="1" si="3">ROUND(RANDBETWEEN(200,3000) + IF(RAND()&gt;0.7,0.5),1)</f>
        <v>752</v>
      </c>
      <c r="C1148">
        <f t="shared" ref="C1148:C1211" ca="1" si="4">RANDBETWEEN(5000,58000)</f>
        <v>57492</v>
      </c>
      <c r="D1148">
        <f t="shared" ref="D1148:D1175" ca="1" si="5">ROUND(RAND()*4500+58000,2)</f>
        <v>60287.33</v>
      </c>
    </row>
    <row r="1149" spans="1:4" x14ac:dyDescent="0.3">
      <c r="A1149" t="s">
        <v>45</v>
      </c>
      <c r="B1149">
        <f t="shared" ca="1" si="3"/>
        <v>1662</v>
      </c>
      <c r="C1149">
        <f t="shared" ca="1" si="4"/>
        <v>19279</v>
      </c>
      <c r="D1149">
        <f t="shared" ca="1" si="5"/>
        <v>58732.84</v>
      </c>
    </row>
    <row r="1150" spans="1:4" x14ac:dyDescent="0.3">
      <c r="A1150" t="s">
        <v>47</v>
      </c>
      <c r="B1150">
        <f t="shared" ca="1" si="3"/>
        <v>2042.5</v>
      </c>
      <c r="C1150">
        <f t="shared" ca="1" si="4"/>
        <v>29022</v>
      </c>
      <c r="D1150">
        <f t="shared" ca="1" si="5"/>
        <v>60203.24</v>
      </c>
    </row>
    <row r="1151" spans="1:4" x14ac:dyDescent="0.3">
      <c r="A1151" t="s">
        <v>47</v>
      </c>
      <c r="B1151">
        <f t="shared" ca="1" si="3"/>
        <v>2041</v>
      </c>
      <c r="C1151">
        <f t="shared" ca="1" si="4"/>
        <v>27974</v>
      </c>
      <c r="D1151">
        <f t="shared" ca="1" si="5"/>
        <v>61205.31</v>
      </c>
    </row>
    <row r="1152" spans="1:4" x14ac:dyDescent="0.3">
      <c r="A1152" t="s">
        <v>47</v>
      </c>
      <c r="B1152">
        <f t="shared" ca="1" si="3"/>
        <v>912</v>
      </c>
      <c r="C1152">
        <f t="shared" ca="1" si="4"/>
        <v>13893</v>
      </c>
      <c r="D1152">
        <f t="shared" ca="1" si="5"/>
        <v>59942.06</v>
      </c>
    </row>
    <row r="1153" spans="1:4" x14ac:dyDescent="0.3">
      <c r="A1153" t="s">
        <v>47</v>
      </c>
      <c r="B1153">
        <f t="shared" ca="1" si="3"/>
        <v>2550.5</v>
      </c>
      <c r="C1153">
        <f t="shared" ca="1" si="4"/>
        <v>14314</v>
      </c>
      <c r="D1153">
        <f t="shared" ca="1" si="5"/>
        <v>58903.55</v>
      </c>
    </row>
    <row r="1154" spans="1:4" x14ac:dyDescent="0.3">
      <c r="A1154" t="s">
        <v>47</v>
      </c>
      <c r="B1154">
        <f t="shared" ca="1" si="3"/>
        <v>572.5</v>
      </c>
      <c r="C1154">
        <f t="shared" ca="1" si="4"/>
        <v>37417</v>
      </c>
      <c r="D1154">
        <f t="shared" ca="1" si="5"/>
        <v>60993.73</v>
      </c>
    </row>
    <row r="1155" spans="1:4" x14ac:dyDescent="0.3">
      <c r="A1155" t="s">
        <v>48</v>
      </c>
      <c r="B1155">
        <f t="shared" ca="1" si="3"/>
        <v>2585.5</v>
      </c>
      <c r="C1155">
        <f t="shared" ca="1" si="4"/>
        <v>49749</v>
      </c>
      <c r="D1155">
        <f t="shared" ca="1" si="5"/>
        <v>60875.9</v>
      </c>
    </row>
    <row r="1156" spans="1:4" x14ac:dyDescent="0.3">
      <c r="A1156" t="s">
        <v>48</v>
      </c>
      <c r="B1156">
        <f t="shared" ca="1" si="3"/>
        <v>784</v>
      </c>
      <c r="C1156">
        <f t="shared" ca="1" si="4"/>
        <v>56650</v>
      </c>
      <c r="D1156">
        <f t="shared" ca="1" si="5"/>
        <v>60721.25</v>
      </c>
    </row>
    <row r="1157" spans="1:4" x14ac:dyDescent="0.3">
      <c r="A1157" t="s">
        <v>48</v>
      </c>
      <c r="B1157">
        <f t="shared" ca="1" si="3"/>
        <v>1546.5</v>
      </c>
      <c r="C1157">
        <f t="shared" ca="1" si="4"/>
        <v>52835</v>
      </c>
      <c r="D1157">
        <f t="shared" ca="1" si="5"/>
        <v>60252.06</v>
      </c>
    </row>
    <row r="1158" spans="1:4" x14ac:dyDescent="0.3">
      <c r="A1158" t="s">
        <v>48</v>
      </c>
      <c r="B1158">
        <f t="shared" ca="1" si="3"/>
        <v>867</v>
      </c>
      <c r="C1158">
        <f t="shared" ca="1" si="4"/>
        <v>46250</v>
      </c>
      <c r="D1158">
        <f t="shared" ca="1" si="5"/>
        <v>59681.64</v>
      </c>
    </row>
    <row r="1159" spans="1:4" x14ac:dyDescent="0.3">
      <c r="A1159" t="s">
        <v>48</v>
      </c>
      <c r="B1159">
        <f t="shared" ca="1" si="3"/>
        <v>2653.5</v>
      </c>
      <c r="C1159">
        <f t="shared" ca="1" si="4"/>
        <v>10189</v>
      </c>
      <c r="D1159">
        <f t="shared" ca="1" si="5"/>
        <v>58551</v>
      </c>
    </row>
    <row r="1160" spans="1:4" x14ac:dyDescent="0.3">
      <c r="A1160" t="s">
        <v>48</v>
      </c>
      <c r="B1160">
        <f t="shared" ca="1" si="3"/>
        <v>2762</v>
      </c>
      <c r="C1160">
        <f t="shared" ca="1" si="4"/>
        <v>37024</v>
      </c>
      <c r="D1160">
        <f t="shared" ca="1" si="5"/>
        <v>59085.48</v>
      </c>
    </row>
    <row r="1161" spans="1:4" x14ac:dyDescent="0.3">
      <c r="A1161" t="s">
        <v>48</v>
      </c>
      <c r="B1161">
        <f t="shared" ca="1" si="3"/>
        <v>675</v>
      </c>
      <c r="C1161">
        <f t="shared" ca="1" si="4"/>
        <v>17058</v>
      </c>
      <c r="D1161">
        <f t="shared" ca="1" si="5"/>
        <v>58626.12</v>
      </c>
    </row>
    <row r="1162" spans="1:4" x14ac:dyDescent="0.3">
      <c r="A1162" t="s">
        <v>45</v>
      </c>
      <c r="B1162">
        <f t="shared" ca="1" si="3"/>
        <v>1230.5</v>
      </c>
      <c r="C1162">
        <f t="shared" ca="1" si="4"/>
        <v>5273</v>
      </c>
      <c r="D1162">
        <f t="shared" ca="1" si="5"/>
        <v>60865.87</v>
      </c>
    </row>
    <row r="1163" spans="1:4" x14ac:dyDescent="0.3">
      <c r="A1163" t="s">
        <v>45</v>
      </c>
      <c r="B1163">
        <f t="shared" ca="1" si="3"/>
        <v>1995</v>
      </c>
      <c r="C1163">
        <f t="shared" ca="1" si="4"/>
        <v>13456</v>
      </c>
      <c r="D1163">
        <f t="shared" ca="1" si="5"/>
        <v>62394.559999999998</v>
      </c>
    </row>
    <row r="1164" spans="1:4" x14ac:dyDescent="0.3">
      <c r="A1164" t="s">
        <v>45</v>
      </c>
      <c r="B1164">
        <f t="shared" ca="1" si="3"/>
        <v>2251</v>
      </c>
      <c r="C1164">
        <f t="shared" ca="1" si="4"/>
        <v>50485</v>
      </c>
      <c r="D1164">
        <f t="shared" ca="1" si="5"/>
        <v>61712.45</v>
      </c>
    </row>
    <row r="1165" spans="1:4" x14ac:dyDescent="0.3">
      <c r="A1165" t="s">
        <v>45</v>
      </c>
      <c r="B1165">
        <f t="shared" ca="1" si="3"/>
        <v>2909</v>
      </c>
      <c r="C1165">
        <f t="shared" ca="1" si="4"/>
        <v>53015</v>
      </c>
      <c r="D1165">
        <f t="shared" ca="1" si="5"/>
        <v>61350.18</v>
      </c>
    </row>
    <row r="1166" spans="1:4" x14ac:dyDescent="0.3">
      <c r="A1166" t="s">
        <v>45</v>
      </c>
      <c r="B1166">
        <f t="shared" ca="1" si="3"/>
        <v>2215.5</v>
      </c>
      <c r="C1166">
        <f t="shared" ca="1" si="4"/>
        <v>21708</v>
      </c>
      <c r="D1166">
        <f t="shared" ca="1" si="5"/>
        <v>60266.73</v>
      </c>
    </row>
    <row r="1167" spans="1:4" x14ac:dyDescent="0.3">
      <c r="A1167" t="s">
        <v>45</v>
      </c>
      <c r="B1167">
        <f t="shared" ca="1" si="3"/>
        <v>1898</v>
      </c>
      <c r="C1167">
        <f t="shared" ca="1" si="4"/>
        <v>21942</v>
      </c>
      <c r="D1167">
        <f t="shared" ca="1" si="5"/>
        <v>62471.32</v>
      </c>
    </row>
    <row r="1168" spans="1:4" x14ac:dyDescent="0.3">
      <c r="A1168" t="s">
        <v>45</v>
      </c>
      <c r="B1168">
        <f t="shared" ca="1" si="3"/>
        <v>1325</v>
      </c>
      <c r="C1168">
        <f t="shared" ca="1" si="4"/>
        <v>25973</v>
      </c>
      <c r="D1168">
        <f t="shared" ca="1" si="5"/>
        <v>61580.47</v>
      </c>
    </row>
    <row r="1169" spans="1:4" x14ac:dyDescent="0.3">
      <c r="A1169" t="s">
        <v>45</v>
      </c>
      <c r="B1169">
        <f t="shared" ca="1" si="3"/>
        <v>1877</v>
      </c>
      <c r="C1169">
        <f t="shared" ca="1" si="4"/>
        <v>24860</v>
      </c>
      <c r="D1169">
        <f t="shared" ca="1" si="5"/>
        <v>59841.89</v>
      </c>
    </row>
    <row r="1170" spans="1:4" x14ac:dyDescent="0.3">
      <c r="A1170" t="s">
        <v>45</v>
      </c>
      <c r="B1170">
        <f t="shared" ca="1" si="3"/>
        <v>1525</v>
      </c>
      <c r="C1170">
        <f t="shared" ca="1" si="4"/>
        <v>27569</v>
      </c>
      <c r="D1170">
        <f t="shared" ca="1" si="5"/>
        <v>60281.29</v>
      </c>
    </row>
    <row r="1171" spans="1:4" x14ac:dyDescent="0.3">
      <c r="A1171" t="s">
        <v>48</v>
      </c>
      <c r="B1171">
        <f t="shared" ca="1" si="3"/>
        <v>2756</v>
      </c>
      <c r="C1171">
        <f t="shared" ca="1" si="4"/>
        <v>45120</v>
      </c>
      <c r="D1171">
        <f t="shared" ca="1" si="5"/>
        <v>60270.080000000002</v>
      </c>
    </row>
    <row r="1172" spans="1:4" x14ac:dyDescent="0.3">
      <c r="A1172" t="s">
        <v>48</v>
      </c>
      <c r="B1172">
        <f t="shared" ca="1" si="3"/>
        <v>1230.5</v>
      </c>
      <c r="C1172">
        <f t="shared" ca="1" si="4"/>
        <v>10933</v>
      </c>
      <c r="D1172">
        <f ca="1">ROUND(RAND()*4500+58000,2)</f>
        <v>59384.38</v>
      </c>
    </row>
    <row r="1173" spans="1:4" x14ac:dyDescent="0.3">
      <c r="A1173" t="s">
        <v>48</v>
      </c>
      <c r="B1173">
        <f t="shared" ca="1" si="3"/>
        <v>2768</v>
      </c>
      <c r="C1173">
        <f t="shared" ca="1" si="4"/>
        <v>16698</v>
      </c>
      <c r="D1173">
        <f t="shared" ca="1" si="5"/>
        <v>59190.07</v>
      </c>
    </row>
    <row r="1174" spans="1:4" x14ac:dyDescent="0.3">
      <c r="A1174" t="s">
        <v>48</v>
      </c>
      <c r="B1174">
        <f t="shared" ca="1" si="3"/>
        <v>2971</v>
      </c>
      <c r="C1174">
        <f t="shared" ca="1" si="4"/>
        <v>50472</v>
      </c>
      <c r="D1174">
        <f t="shared" ca="1" si="5"/>
        <v>59983.92</v>
      </c>
    </row>
    <row r="1175" spans="1:4" x14ac:dyDescent="0.3">
      <c r="A1175" t="s">
        <v>45</v>
      </c>
      <c r="B1175">
        <f t="shared" ca="1" si="3"/>
        <v>1267.5</v>
      </c>
      <c r="C1175">
        <f t="shared" ca="1" si="4"/>
        <v>44904</v>
      </c>
      <c r="D1175">
        <f t="shared" ca="1" si="5"/>
        <v>61856.63</v>
      </c>
    </row>
    <row r="1176" spans="1:4" x14ac:dyDescent="0.3">
      <c r="A1176" t="s">
        <v>45</v>
      </c>
      <c r="B1176">
        <f t="shared" ca="1" si="3"/>
        <v>2185.5</v>
      </c>
      <c r="C1176">
        <f t="shared" ca="1" si="4"/>
        <v>15743</v>
      </c>
      <c r="D1176">
        <f ca="1">RANDBETWEEN(4500,34000)</f>
        <v>15173</v>
      </c>
    </row>
    <row r="1177" spans="1:4" x14ac:dyDescent="0.3">
      <c r="A1177" t="s">
        <v>45</v>
      </c>
      <c r="B1177">
        <f t="shared" ca="1" si="3"/>
        <v>2518</v>
      </c>
      <c r="C1177">
        <f t="shared" ca="1" si="4"/>
        <v>25513</v>
      </c>
      <c r="D1177">
        <f t="shared" ref="D1177:D1191" ca="1" si="6">RANDBETWEEN(4500,34000)</f>
        <v>26955</v>
      </c>
    </row>
    <row r="1178" spans="1:4" x14ac:dyDescent="0.3">
      <c r="A1178" t="s">
        <v>45</v>
      </c>
      <c r="B1178">
        <f t="shared" ca="1" si="3"/>
        <v>2461</v>
      </c>
      <c r="C1178">
        <f t="shared" ca="1" si="4"/>
        <v>54304</v>
      </c>
      <c r="D1178">
        <f t="shared" ca="1" si="6"/>
        <v>25063</v>
      </c>
    </row>
    <row r="1179" spans="1:4" x14ac:dyDescent="0.3">
      <c r="A1179" t="s">
        <v>45</v>
      </c>
      <c r="B1179">
        <f t="shared" ca="1" si="3"/>
        <v>487.5</v>
      </c>
      <c r="C1179">
        <f t="shared" ca="1" si="4"/>
        <v>24925</v>
      </c>
      <c r="D1179">
        <f t="shared" ca="1" si="6"/>
        <v>18190</v>
      </c>
    </row>
    <row r="1180" spans="1:4" x14ac:dyDescent="0.3">
      <c r="A1180" t="s">
        <v>45</v>
      </c>
      <c r="B1180">
        <f t="shared" ca="1" si="3"/>
        <v>2698</v>
      </c>
      <c r="C1180">
        <f t="shared" ca="1" si="4"/>
        <v>29665</v>
      </c>
      <c r="D1180">
        <f ca="1">RANDBETWEEN(4500,34000)</f>
        <v>28954</v>
      </c>
    </row>
    <row r="1181" spans="1:4" x14ac:dyDescent="0.3">
      <c r="A1181" t="s">
        <v>47</v>
      </c>
      <c r="B1181">
        <f t="shared" ca="1" si="3"/>
        <v>680</v>
      </c>
      <c r="C1181">
        <f t="shared" ca="1" si="4"/>
        <v>12851</v>
      </c>
      <c r="D1181">
        <f t="shared" ca="1" si="6"/>
        <v>30838</v>
      </c>
    </row>
    <row r="1182" spans="1:4" x14ac:dyDescent="0.3">
      <c r="A1182" t="s">
        <v>47</v>
      </c>
      <c r="B1182">
        <f t="shared" ca="1" si="3"/>
        <v>812</v>
      </c>
      <c r="C1182">
        <f t="shared" ca="1" si="4"/>
        <v>15306</v>
      </c>
      <c r="D1182">
        <f t="shared" ca="1" si="6"/>
        <v>18042</v>
      </c>
    </row>
    <row r="1183" spans="1:4" x14ac:dyDescent="0.3">
      <c r="A1183" t="s">
        <v>47</v>
      </c>
      <c r="B1183">
        <f t="shared" ca="1" si="3"/>
        <v>1729</v>
      </c>
      <c r="C1183">
        <f t="shared" ca="1" si="4"/>
        <v>18895</v>
      </c>
      <c r="D1183">
        <f t="shared" ca="1" si="6"/>
        <v>15734</v>
      </c>
    </row>
    <row r="1184" spans="1:4" x14ac:dyDescent="0.3">
      <c r="A1184" t="s">
        <v>47</v>
      </c>
      <c r="B1184">
        <f t="shared" ca="1" si="3"/>
        <v>1146.5</v>
      </c>
      <c r="C1184">
        <f t="shared" ca="1" si="4"/>
        <v>7353</v>
      </c>
      <c r="D1184">
        <f t="shared" ca="1" si="6"/>
        <v>25360</v>
      </c>
    </row>
    <row r="1185" spans="1:4" x14ac:dyDescent="0.3">
      <c r="A1185" t="s">
        <v>47</v>
      </c>
      <c r="B1185">
        <f t="shared" ca="1" si="3"/>
        <v>1145</v>
      </c>
      <c r="C1185">
        <f t="shared" ca="1" si="4"/>
        <v>51030</v>
      </c>
      <c r="D1185">
        <f t="shared" ca="1" si="6"/>
        <v>11478</v>
      </c>
    </row>
    <row r="1186" spans="1:4" x14ac:dyDescent="0.3">
      <c r="A1186" t="s">
        <v>48</v>
      </c>
      <c r="B1186">
        <f t="shared" ca="1" si="3"/>
        <v>705</v>
      </c>
      <c r="C1186">
        <f t="shared" ca="1" si="4"/>
        <v>56178</v>
      </c>
      <c r="D1186">
        <f t="shared" ca="1" si="6"/>
        <v>5728</v>
      </c>
    </row>
    <row r="1187" spans="1:4" x14ac:dyDescent="0.3">
      <c r="A1187" t="s">
        <v>48</v>
      </c>
      <c r="B1187">
        <f t="shared" ca="1" si="3"/>
        <v>1516.5</v>
      </c>
      <c r="C1187">
        <f t="shared" ca="1" si="4"/>
        <v>38398</v>
      </c>
      <c r="D1187">
        <f t="shared" ca="1" si="6"/>
        <v>14982</v>
      </c>
    </row>
    <row r="1188" spans="1:4" x14ac:dyDescent="0.3">
      <c r="A1188" t="s">
        <v>48</v>
      </c>
      <c r="B1188">
        <f t="shared" ca="1" si="3"/>
        <v>2185</v>
      </c>
      <c r="C1188">
        <f t="shared" ca="1" si="4"/>
        <v>27544</v>
      </c>
      <c r="D1188">
        <f t="shared" ca="1" si="6"/>
        <v>20178</v>
      </c>
    </row>
    <row r="1189" spans="1:4" x14ac:dyDescent="0.3">
      <c r="A1189" t="s">
        <v>48</v>
      </c>
      <c r="B1189">
        <f t="shared" ca="1" si="3"/>
        <v>1343.5</v>
      </c>
      <c r="C1189">
        <f t="shared" ca="1" si="4"/>
        <v>11108</v>
      </c>
      <c r="D1189">
        <f t="shared" ca="1" si="6"/>
        <v>31929</v>
      </c>
    </row>
    <row r="1190" spans="1:4" x14ac:dyDescent="0.3">
      <c r="A1190" t="s">
        <v>48</v>
      </c>
      <c r="B1190">
        <f t="shared" ca="1" si="3"/>
        <v>1527.5</v>
      </c>
      <c r="C1190">
        <f t="shared" ca="1" si="4"/>
        <v>24430</v>
      </c>
      <c r="D1190">
        <f t="shared" ca="1" si="6"/>
        <v>6869</v>
      </c>
    </row>
    <row r="1191" spans="1:4" x14ac:dyDescent="0.3">
      <c r="A1191" t="s">
        <v>48</v>
      </c>
      <c r="B1191">
        <f t="shared" ca="1" si="3"/>
        <v>682</v>
      </c>
      <c r="C1191">
        <f t="shared" ca="1" si="4"/>
        <v>22753</v>
      </c>
      <c r="D1191">
        <f t="shared" ca="1" si="6"/>
        <v>13392</v>
      </c>
    </row>
    <row r="1192" spans="1:4" x14ac:dyDescent="0.3">
      <c r="A1192" t="s">
        <v>48</v>
      </c>
      <c r="B1192">
        <f t="shared" ca="1" si="3"/>
        <v>671</v>
      </c>
      <c r="C1192">
        <f t="shared" ca="1" si="4"/>
        <v>41330</v>
      </c>
      <c r="D1192">
        <f ca="1">ROUND(RAND()*4500+31000,2)</f>
        <v>32355.83</v>
      </c>
    </row>
    <row r="1193" spans="1:4" x14ac:dyDescent="0.3">
      <c r="A1193" t="s">
        <v>45</v>
      </c>
      <c r="B1193">
        <f t="shared" ca="1" si="3"/>
        <v>754.5</v>
      </c>
      <c r="C1193">
        <f t="shared" ca="1" si="4"/>
        <v>29659</v>
      </c>
      <c r="D1193">
        <f t="shared" ref="D1193:D1219" ca="1" si="7">ROUND(RAND()*4500+31000,2)</f>
        <v>35203.379999999997</v>
      </c>
    </row>
    <row r="1194" spans="1:4" x14ac:dyDescent="0.3">
      <c r="A1194" t="s">
        <v>45</v>
      </c>
      <c r="B1194">
        <f t="shared" ca="1" si="3"/>
        <v>461</v>
      </c>
      <c r="C1194">
        <f t="shared" ca="1" si="4"/>
        <v>43431</v>
      </c>
      <c r="D1194">
        <f t="shared" ca="1" si="7"/>
        <v>32706.43</v>
      </c>
    </row>
    <row r="1195" spans="1:4" x14ac:dyDescent="0.3">
      <c r="A1195" t="s">
        <v>45</v>
      </c>
      <c r="B1195">
        <f t="shared" ca="1" si="3"/>
        <v>2481</v>
      </c>
      <c r="C1195">
        <f t="shared" ca="1" si="4"/>
        <v>44609</v>
      </c>
      <c r="D1195">
        <f t="shared" ca="1" si="7"/>
        <v>31594.83</v>
      </c>
    </row>
    <row r="1196" spans="1:4" x14ac:dyDescent="0.3">
      <c r="A1196" t="s">
        <v>47</v>
      </c>
      <c r="B1196">
        <f t="shared" ca="1" si="3"/>
        <v>2699.5</v>
      </c>
      <c r="C1196">
        <f t="shared" ca="1" si="4"/>
        <v>51628</v>
      </c>
      <c r="D1196">
        <f t="shared" ca="1" si="7"/>
        <v>35046.71</v>
      </c>
    </row>
    <row r="1197" spans="1:4" x14ac:dyDescent="0.3">
      <c r="A1197" t="s">
        <v>47</v>
      </c>
      <c r="B1197">
        <f t="shared" ca="1" si="3"/>
        <v>1727</v>
      </c>
      <c r="C1197">
        <f t="shared" ca="1" si="4"/>
        <v>43033</v>
      </c>
      <c r="D1197">
        <f t="shared" ca="1" si="7"/>
        <v>35196.65</v>
      </c>
    </row>
    <row r="1198" spans="1:4" x14ac:dyDescent="0.3">
      <c r="A1198" t="s">
        <v>47</v>
      </c>
      <c r="B1198">
        <f t="shared" ca="1" si="3"/>
        <v>260</v>
      </c>
      <c r="C1198">
        <f t="shared" ca="1" si="4"/>
        <v>41378</v>
      </c>
      <c r="D1198">
        <f t="shared" ca="1" si="7"/>
        <v>31546.63</v>
      </c>
    </row>
    <row r="1199" spans="1:4" x14ac:dyDescent="0.3">
      <c r="A1199" t="s">
        <v>48</v>
      </c>
      <c r="B1199">
        <f t="shared" ca="1" si="3"/>
        <v>683</v>
      </c>
      <c r="C1199">
        <f t="shared" ca="1" si="4"/>
        <v>24986</v>
      </c>
      <c r="D1199">
        <f t="shared" ca="1" si="7"/>
        <v>32800.26</v>
      </c>
    </row>
    <row r="1200" spans="1:4" x14ac:dyDescent="0.3">
      <c r="A1200" t="s">
        <v>48</v>
      </c>
      <c r="B1200">
        <f t="shared" ca="1" si="3"/>
        <v>854</v>
      </c>
      <c r="C1200">
        <f t="shared" ca="1" si="4"/>
        <v>36177</v>
      </c>
      <c r="D1200">
        <f t="shared" ca="1" si="7"/>
        <v>32947.660000000003</v>
      </c>
    </row>
    <row r="1201" spans="1:4" x14ac:dyDescent="0.3">
      <c r="A1201" t="s">
        <v>48</v>
      </c>
      <c r="B1201">
        <f t="shared" ca="1" si="3"/>
        <v>2814.5</v>
      </c>
      <c r="C1201">
        <f t="shared" ca="1" si="4"/>
        <v>20490</v>
      </c>
      <c r="D1201">
        <f t="shared" ca="1" si="7"/>
        <v>34914.69</v>
      </c>
    </row>
    <row r="1202" spans="1:4" x14ac:dyDescent="0.3">
      <c r="A1202" t="s">
        <v>48</v>
      </c>
      <c r="B1202">
        <f t="shared" ca="1" si="3"/>
        <v>1537.5</v>
      </c>
      <c r="C1202">
        <f t="shared" ca="1" si="4"/>
        <v>38300</v>
      </c>
      <c r="D1202">
        <f t="shared" ca="1" si="7"/>
        <v>32919.43</v>
      </c>
    </row>
    <row r="1203" spans="1:4" x14ac:dyDescent="0.3">
      <c r="A1203" t="s">
        <v>48</v>
      </c>
      <c r="B1203">
        <f t="shared" ca="1" si="3"/>
        <v>2200</v>
      </c>
      <c r="C1203">
        <f t="shared" ca="1" si="4"/>
        <v>55629</v>
      </c>
      <c r="D1203">
        <f t="shared" ca="1" si="7"/>
        <v>34818.28</v>
      </c>
    </row>
    <row r="1204" spans="1:4" x14ac:dyDescent="0.3">
      <c r="A1204" t="s">
        <v>48</v>
      </c>
      <c r="B1204">
        <f t="shared" ca="1" si="3"/>
        <v>1372</v>
      </c>
      <c r="C1204">
        <f t="shared" ca="1" si="4"/>
        <v>44164</v>
      </c>
      <c r="D1204">
        <f t="shared" ca="1" si="7"/>
        <v>35035.06</v>
      </c>
    </row>
    <row r="1205" spans="1:4" x14ac:dyDescent="0.3">
      <c r="A1205" t="s">
        <v>48</v>
      </c>
      <c r="B1205">
        <f t="shared" ca="1" si="3"/>
        <v>1524.5</v>
      </c>
      <c r="C1205">
        <f t="shared" ca="1" si="4"/>
        <v>19651</v>
      </c>
      <c r="D1205">
        <f t="shared" ca="1" si="7"/>
        <v>35410.400000000001</v>
      </c>
    </row>
    <row r="1206" spans="1:4" x14ac:dyDescent="0.3">
      <c r="A1206" t="s">
        <v>48</v>
      </c>
      <c r="B1206">
        <f t="shared" ca="1" si="3"/>
        <v>2483</v>
      </c>
      <c r="C1206">
        <f t="shared" ca="1" si="4"/>
        <v>27105</v>
      </c>
      <c r="D1206">
        <f t="shared" ca="1" si="7"/>
        <v>32291.919999999998</v>
      </c>
    </row>
    <row r="1207" spans="1:4" x14ac:dyDescent="0.3">
      <c r="A1207" t="s">
        <v>48</v>
      </c>
      <c r="B1207">
        <f t="shared" ca="1" si="3"/>
        <v>869</v>
      </c>
      <c r="C1207">
        <f t="shared" ca="1" si="4"/>
        <v>37591</v>
      </c>
      <c r="D1207">
        <f t="shared" ca="1" si="7"/>
        <v>31684.59</v>
      </c>
    </row>
    <row r="1208" spans="1:4" x14ac:dyDescent="0.3">
      <c r="A1208" t="s">
        <v>48</v>
      </c>
      <c r="B1208">
        <f t="shared" ca="1" si="3"/>
        <v>1943.5</v>
      </c>
      <c r="C1208">
        <f t="shared" ca="1" si="4"/>
        <v>45093</v>
      </c>
      <c r="D1208">
        <f t="shared" ca="1" si="7"/>
        <v>31227.53</v>
      </c>
    </row>
    <row r="1209" spans="1:4" x14ac:dyDescent="0.3">
      <c r="A1209" t="s">
        <v>48</v>
      </c>
      <c r="B1209">
        <f t="shared" ca="1" si="3"/>
        <v>2624</v>
      </c>
      <c r="C1209">
        <f t="shared" ca="1" si="4"/>
        <v>22832</v>
      </c>
      <c r="D1209">
        <f t="shared" ca="1" si="7"/>
        <v>34669.64</v>
      </c>
    </row>
    <row r="1210" spans="1:4" x14ac:dyDescent="0.3">
      <c r="A1210" t="s">
        <v>48</v>
      </c>
      <c r="B1210">
        <f t="shared" ca="1" si="3"/>
        <v>2525.5</v>
      </c>
      <c r="C1210">
        <f t="shared" ca="1" si="4"/>
        <v>12192</v>
      </c>
      <c r="D1210">
        <f t="shared" ca="1" si="7"/>
        <v>31865.040000000001</v>
      </c>
    </row>
    <row r="1211" spans="1:4" x14ac:dyDescent="0.3">
      <c r="A1211" t="s">
        <v>48</v>
      </c>
      <c r="B1211">
        <f t="shared" ca="1" si="3"/>
        <v>1568</v>
      </c>
      <c r="C1211">
        <f t="shared" ca="1" si="4"/>
        <v>28382</v>
      </c>
      <c r="D1211">
        <f t="shared" ca="1" si="7"/>
        <v>35379.160000000003</v>
      </c>
    </row>
    <row r="1212" spans="1:4" x14ac:dyDescent="0.3">
      <c r="A1212" t="s">
        <v>48</v>
      </c>
      <c r="B1212">
        <f t="shared" ref="B1212:B1220" ca="1" si="8">ROUND(RANDBETWEEN(200,3000) + IF(RAND()&gt;0.7,0.5),1)</f>
        <v>2604.5</v>
      </c>
      <c r="C1212">
        <f t="shared" ref="C1212:C1220" ca="1" si="9">RANDBETWEEN(5000,58000)</f>
        <v>56337</v>
      </c>
      <c r="D1212">
        <f t="shared" ca="1" si="7"/>
        <v>34863.93</v>
      </c>
    </row>
    <row r="1213" spans="1:4" x14ac:dyDescent="0.3">
      <c r="A1213" t="s">
        <v>48</v>
      </c>
      <c r="B1213">
        <f t="shared" ca="1" si="8"/>
        <v>2698</v>
      </c>
      <c r="C1213">
        <f t="shared" ca="1" si="9"/>
        <v>49401</v>
      </c>
      <c r="D1213">
        <f t="shared" ca="1" si="7"/>
        <v>34244.39</v>
      </c>
    </row>
    <row r="1214" spans="1:4" x14ac:dyDescent="0.3">
      <c r="A1214" t="s">
        <v>48</v>
      </c>
      <c r="B1214">
        <f t="shared" ca="1" si="8"/>
        <v>1243.5</v>
      </c>
      <c r="C1214">
        <f t="shared" ca="1" si="9"/>
        <v>54074</v>
      </c>
      <c r="D1214">
        <f t="shared" ca="1" si="7"/>
        <v>35230.5</v>
      </c>
    </row>
    <row r="1215" spans="1:4" x14ac:dyDescent="0.3">
      <c r="A1215" t="s">
        <v>48</v>
      </c>
      <c r="B1215">
        <f t="shared" ca="1" si="8"/>
        <v>2450</v>
      </c>
      <c r="C1215">
        <f t="shared" ca="1" si="9"/>
        <v>42509</v>
      </c>
      <c r="D1215">
        <f t="shared" ca="1" si="7"/>
        <v>34220.639999999999</v>
      </c>
    </row>
    <row r="1216" spans="1:4" x14ac:dyDescent="0.3">
      <c r="A1216" t="s">
        <v>48</v>
      </c>
      <c r="B1216">
        <f t="shared" ca="1" si="8"/>
        <v>1526</v>
      </c>
      <c r="C1216">
        <f t="shared" ca="1" si="9"/>
        <v>52333</v>
      </c>
      <c r="D1216">
        <f t="shared" ca="1" si="7"/>
        <v>34529.79</v>
      </c>
    </row>
    <row r="1217" spans="1:4" x14ac:dyDescent="0.3">
      <c r="A1217" t="s">
        <v>48</v>
      </c>
      <c r="B1217">
        <f t="shared" ca="1" si="8"/>
        <v>2014</v>
      </c>
      <c r="C1217">
        <f t="shared" ca="1" si="9"/>
        <v>19544</v>
      </c>
      <c r="D1217">
        <f t="shared" ca="1" si="7"/>
        <v>35358.58</v>
      </c>
    </row>
    <row r="1218" spans="1:4" x14ac:dyDescent="0.3">
      <c r="A1218" t="s">
        <v>48</v>
      </c>
      <c r="B1218">
        <f t="shared" ca="1" si="8"/>
        <v>2686</v>
      </c>
      <c r="C1218">
        <f t="shared" ca="1" si="9"/>
        <v>16465</v>
      </c>
      <c r="D1218">
        <f t="shared" ca="1" si="7"/>
        <v>33736.03</v>
      </c>
    </row>
    <row r="1219" spans="1:4" x14ac:dyDescent="0.3">
      <c r="A1219" t="s">
        <v>48</v>
      </c>
      <c r="B1219">
        <f t="shared" ca="1" si="8"/>
        <v>2166</v>
      </c>
      <c r="C1219">
        <f t="shared" ca="1" si="9"/>
        <v>7873</v>
      </c>
      <c r="D1219">
        <f t="shared" ca="1" si="7"/>
        <v>33005.57</v>
      </c>
    </row>
    <row r="1220" spans="1:4" x14ac:dyDescent="0.3">
      <c r="A1220" t="s">
        <v>48</v>
      </c>
      <c r="B1220">
        <f t="shared" ca="1" si="8"/>
        <v>1894</v>
      </c>
      <c r="C1220">
        <f t="shared" ca="1" si="9"/>
        <v>56500</v>
      </c>
      <c r="D1220">
        <f ca="1">RANDBETWEEN(4500,32000)</f>
        <v>12413</v>
      </c>
    </row>
  </sheetData>
  <conditionalFormatting sqref="D1:D1048576">
    <cfRule type="containsText" priority="1" operator="containsText" text="0">
      <formula>NOT(ISERROR(SEARCH("0",D1)))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D763F-EFA6-4077-B896-AC010AE2F55B}">
  <dimension ref="A1:C1220"/>
  <sheetViews>
    <sheetView workbookViewId="0">
      <selection activeCell="E23" sqref="E23"/>
    </sheetView>
  </sheetViews>
  <sheetFormatPr defaultRowHeight="14.4" x14ac:dyDescent="0.3"/>
  <cols>
    <col min="1" max="1" width="8.77734375" bestFit="1" customWidth="1"/>
    <col min="2" max="2" width="17.5546875" bestFit="1" customWidth="1"/>
    <col min="3" max="3" width="8.77734375" bestFit="1" customWidth="1"/>
  </cols>
  <sheetData>
    <row r="1" spans="1:3" x14ac:dyDescent="0.3">
      <c r="A1" t="s">
        <v>3</v>
      </c>
      <c r="B1" t="s">
        <v>6</v>
      </c>
      <c r="C1" t="s">
        <v>7</v>
      </c>
    </row>
    <row r="2" spans="1:3" x14ac:dyDescent="0.3">
      <c r="A2" t="s">
        <v>19</v>
      </c>
      <c r="B2">
        <v>3</v>
      </c>
      <c r="C2">
        <v>20</v>
      </c>
    </row>
    <row r="3" spans="1:3" x14ac:dyDescent="0.3">
      <c r="A3" t="s">
        <v>19</v>
      </c>
      <c r="B3">
        <v>3</v>
      </c>
      <c r="C3">
        <v>20</v>
      </c>
    </row>
    <row r="4" spans="1:3" x14ac:dyDescent="0.3">
      <c r="A4" t="s">
        <v>19</v>
      </c>
      <c r="B4">
        <v>3</v>
      </c>
      <c r="C4">
        <v>15</v>
      </c>
    </row>
    <row r="5" spans="1:3" x14ac:dyDescent="0.3">
      <c r="A5" t="s">
        <v>19</v>
      </c>
      <c r="B5">
        <v>3</v>
      </c>
      <c r="C5">
        <v>15</v>
      </c>
    </row>
    <row r="6" spans="1:3" x14ac:dyDescent="0.3">
      <c r="A6" t="s">
        <v>19</v>
      </c>
      <c r="B6">
        <v>3</v>
      </c>
      <c r="C6">
        <v>15</v>
      </c>
    </row>
    <row r="7" spans="1:3" x14ac:dyDescent="0.3">
      <c r="A7" t="s">
        <v>19</v>
      </c>
      <c r="B7">
        <v>3</v>
      </c>
      <c r="C7">
        <v>350</v>
      </c>
    </row>
    <row r="8" spans="1:3" x14ac:dyDescent="0.3">
      <c r="A8" t="s">
        <v>28</v>
      </c>
      <c r="B8">
        <v>5</v>
      </c>
      <c r="C8">
        <v>15</v>
      </c>
    </row>
    <row r="9" spans="1:3" x14ac:dyDescent="0.3">
      <c r="A9" t="s">
        <v>28</v>
      </c>
      <c r="B9">
        <v>5</v>
      </c>
      <c r="C9">
        <v>12</v>
      </c>
    </row>
    <row r="10" spans="1:3" x14ac:dyDescent="0.3">
      <c r="A10" t="s">
        <v>28</v>
      </c>
      <c r="B10">
        <v>5</v>
      </c>
      <c r="C10">
        <v>20</v>
      </c>
    </row>
    <row r="11" spans="1:3" x14ac:dyDescent="0.3">
      <c r="A11" t="s">
        <v>28</v>
      </c>
      <c r="B11">
        <v>5</v>
      </c>
      <c r="C11">
        <v>12</v>
      </c>
    </row>
    <row r="12" spans="1:3" x14ac:dyDescent="0.3">
      <c r="A12" t="s">
        <v>28</v>
      </c>
      <c r="B12">
        <v>5</v>
      </c>
      <c r="C12">
        <v>15</v>
      </c>
    </row>
    <row r="13" spans="1:3" x14ac:dyDescent="0.3">
      <c r="A13" t="s">
        <v>28</v>
      </c>
      <c r="B13">
        <v>5</v>
      </c>
      <c r="C13">
        <v>125</v>
      </c>
    </row>
    <row r="14" spans="1:3" x14ac:dyDescent="0.3">
      <c r="A14" t="s">
        <v>28</v>
      </c>
      <c r="B14">
        <v>5</v>
      </c>
      <c r="C14">
        <v>300</v>
      </c>
    </row>
    <row r="15" spans="1:3" x14ac:dyDescent="0.3">
      <c r="A15" t="s">
        <v>28</v>
      </c>
      <c r="B15">
        <v>5</v>
      </c>
      <c r="C15">
        <v>7</v>
      </c>
    </row>
    <row r="16" spans="1:3" x14ac:dyDescent="0.3">
      <c r="A16" t="s">
        <v>28</v>
      </c>
      <c r="B16">
        <v>5</v>
      </c>
      <c r="C16">
        <v>125</v>
      </c>
    </row>
    <row r="17" spans="1:3" x14ac:dyDescent="0.3">
      <c r="A17" t="s">
        <v>28</v>
      </c>
      <c r="B17">
        <v>5</v>
      </c>
      <c r="C17">
        <v>15</v>
      </c>
    </row>
    <row r="18" spans="1:3" x14ac:dyDescent="0.3">
      <c r="A18" t="s">
        <v>38</v>
      </c>
      <c r="B18">
        <v>10</v>
      </c>
      <c r="C18">
        <v>20</v>
      </c>
    </row>
    <row r="19" spans="1:3" x14ac:dyDescent="0.3">
      <c r="A19" t="s">
        <v>38</v>
      </c>
      <c r="B19">
        <v>10</v>
      </c>
      <c r="C19">
        <v>15</v>
      </c>
    </row>
    <row r="20" spans="1:3" x14ac:dyDescent="0.3">
      <c r="A20" t="s">
        <v>38</v>
      </c>
      <c r="B20">
        <v>10</v>
      </c>
      <c r="C20">
        <v>12</v>
      </c>
    </row>
    <row r="21" spans="1:3" x14ac:dyDescent="0.3">
      <c r="A21" t="s">
        <v>38</v>
      </c>
      <c r="B21">
        <v>10</v>
      </c>
      <c r="C21">
        <v>350</v>
      </c>
    </row>
    <row r="22" spans="1:3" x14ac:dyDescent="0.3">
      <c r="A22" t="s">
        <v>38</v>
      </c>
      <c r="B22">
        <v>10</v>
      </c>
      <c r="C22">
        <v>12</v>
      </c>
    </row>
    <row r="23" spans="1:3" x14ac:dyDescent="0.3">
      <c r="A23" t="s">
        <v>38</v>
      </c>
      <c r="B23">
        <v>10</v>
      </c>
      <c r="C23">
        <v>7</v>
      </c>
    </row>
    <row r="24" spans="1:3" x14ac:dyDescent="0.3">
      <c r="A24" t="s">
        <v>38</v>
      </c>
      <c r="B24">
        <v>10</v>
      </c>
      <c r="C24">
        <v>15</v>
      </c>
    </row>
    <row r="25" spans="1:3" x14ac:dyDescent="0.3">
      <c r="A25" t="s">
        <v>38</v>
      </c>
      <c r="B25">
        <v>10</v>
      </c>
      <c r="C25">
        <v>300</v>
      </c>
    </row>
    <row r="26" spans="1:3" x14ac:dyDescent="0.3">
      <c r="A26" t="s">
        <v>38</v>
      </c>
      <c r="B26">
        <v>10</v>
      </c>
      <c r="C26">
        <v>15</v>
      </c>
    </row>
    <row r="27" spans="1:3" x14ac:dyDescent="0.3">
      <c r="A27" t="s">
        <v>38</v>
      </c>
      <c r="B27">
        <v>10</v>
      </c>
      <c r="C27">
        <v>7</v>
      </c>
    </row>
    <row r="28" spans="1:3" x14ac:dyDescent="0.3">
      <c r="A28" t="s">
        <v>38</v>
      </c>
      <c r="B28">
        <v>10</v>
      </c>
      <c r="C28">
        <v>350</v>
      </c>
    </row>
    <row r="29" spans="1:3" x14ac:dyDescent="0.3">
      <c r="A29" t="s">
        <v>38</v>
      </c>
      <c r="B29">
        <v>10</v>
      </c>
      <c r="C29">
        <v>12</v>
      </c>
    </row>
    <row r="30" spans="1:3" x14ac:dyDescent="0.3">
      <c r="A30" t="s">
        <v>38</v>
      </c>
      <c r="B30">
        <v>10</v>
      </c>
      <c r="C30">
        <v>15</v>
      </c>
    </row>
    <row r="31" spans="1:3" x14ac:dyDescent="0.3">
      <c r="A31" t="s">
        <v>38</v>
      </c>
      <c r="B31">
        <v>10</v>
      </c>
      <c r="C31">
        <v>20</v>
      </c>
    </row>
    <row r="32" spans="1:3" x14ac:dyDescent="0.3">
      <c r="A32" t="s">
        <v>38</v>
      </c>
      <c r="B32">
        <v>10</v>
      </c>
      <c r="C32">
        <v>350</v>
      </c>
    </row>
    <row r="33" spans="1:3" x14ac:dyDescent="0.3">
      <c r="A33" t="s">
        <v>41</v>
      </c>
      <c r="B33">
        <v>120</v>
      </c>
      <c r="C33">
        <v>7</v>
      </c>
    </row>
    <row r="34" spans="1:3" x14ac:dyDescent="0.3">
      <c r="A34" t="s">
        <v>41</v>
      </c>
      <c r="B34">
        <v>120</v>
      </c>
      <c r="C34">
        <v>125</v>
      </c>
    </row>
    <row r="35" spans="1:3" x14ac:dyDescent="0.3">
      <c r="A35" t="s">
        <v>41</v>
      </c>
      <c r="B35">
        <v>120</v>
      </c>
      <c r="C35">
        <v>12</v>
      </c>
    </row>
    <row r="36" spans="1:3" x14ac:dyDescent="0.3">
      <c r="A36" t="s">
        <v>41</v>
      </c>
      <c r="B36">
        <v>120</v>
      </c>
      <c r="C36">
        <v>350</v>
      </c>
    </row>
    <row r="37" spans="1:3" x14ac:dyDescent="0.3">
      <c r="A37" t="s">
        <v>41</v>
      </c>
      <c r="B37">
        <v>120</v>
      </c>
      <c r="C37">
        <v>12</v>
      </c>
    </row>
    <row r="38" spans="1:3" x14ac:dyDescent="0.3">
      <c r="A38" t="s">
        <v>41</v>
      </c>
      <c r="B38">
        <v>120</v>
      </c>
      <c r="C38">
        <v>125</v>
      </c>
    </row>
    <row r="39" spans="1:3" x14ac:dyDescent="0.3">
      <c r="A39" t="s">
        <v>41</v>
      </c>
      <c r="B39">
        <v>120</v>
      </c>
      <c r="C39">
        <v>125</v>
      </c>
    </row>
    <row r="40" spans="1:3" x14ac:dyDescent="0.3">
      <c r="A40" t="s">
        <v>42</v>
      </c>
      <c r="B40">
        <v>250</v>
      </c>
      <c r="C40">
        <v>300</v>
      </c>
    </row>
    <row r="41" spans="1:3" x14ac:dyDescent="0.3">
      <c r="A41" t="s">
        <v>42</v>
      </c>
      <c r="B41">
        <v>250</v>
      </c>
      <c r="C41">
        <v>12</v>
      </c>
    </row>
    <row r="42" spans="1:3" x14ac:dyDescent="0.3">
      <c r="A42" t="s">
        <v>42</v>
      </c>
      <c r="B42">
        <v>250</v>
      </c>
      <c r="C42">
        <v>15</v>
      </c>
    </row>
    <row r="43" spans="1:3" x14ac:dyDescent="0.3">
      <c r="A43" t="s">
        <v>42</v>
      </c>
      <c r="B43">
        <v>250</v>
      </c>
      <c r="C43">
        <v>15</v>
      </c>
    </row>
    <row r="44" spans="1:3" x14ac:dyDescent="0.3">
      <c r="A44" t="s">
        <v>42</v>
      </c>
      <c r="B44">
        <v>250</v>
      </c>
      <c r="C44">
        <v>350</v>
      </c>
    </row>
    <row r="45" spans="1:3" x14ac:dyDescent="0.3">
      <c r="A45" t="s">
        <v>42</v>
      </c>
      <c r="B45">
        <v>250</v>
      </c>
      <c r="C45">
        <v>300</v>
      </c>
    </row>
    <row r="46" spans="1:3" x14ac:dyDescent="0.3">
      <c r="A46" t="s">
        <v>42</v>
      </c>
      <c r="B46">
        <v>250</v>
      </c>
      <c r="C46">
        <v>20</v>
      </c>
    </row>
    <row r="47" spans="1:3" x14ac:dyDescent="0.3">
      <c r="A47" t="s">
        <v>44</v>
      </c>
      <c r="B47">
        <v>260</v>
      </c>
      <c r="C47">
        <v>350</v>
      </c>
    </row>
    <row r="48" spans="1:3" x14ac:dyDescent="0.3">
      <c r="A48" t="s">
        <v>44</v>
      </c>
      <c r="B48">
        <v>260</v>
      </c>
      <c r="C48">
        <v>12</v>
      </c>
    </row>
    <row r="49" spans="1:3" x14ac:dyDescent="0.3">
      <c r="A49" t="s">
        <v>44</v>
      </c>
      <c r="B49">
        <v>260</v>
      </c>
      <c r="C49">
        <v>125</v>
      </c>
    </row>
    <row r="50" spans="1:3" x14ac:dyDescent="0.3">
      <c r="A50" t="s">
        <v>44</v>
      </c>
      <c r="B50">
        <v>260</v>
      </c>
      <c r="C50">
        <v>20</v>
      </c>
    </row>
    <row r="51" spans="1:3" x14ac:dyDescent="0.3">
      <c r="A51" t="s">
        <v>44</v>
      </c>
      <c r="B51">
        <v>260</v>
      </c>
      <c r="C51">
        <v>7</v>
      </c>
    </row>
    <row r="52" spans="1:3" x14ac:dyDescent="0.3">
      <c r="A52" t="s">
        <v>44</v>
      </c>
      <c r="B52">
        <v>260</v>
      </c>
      <c r="C52">
        <v>12</v>
      </c>
    </row>
    <row r="53" spans="1:3" x14ac:dyDescent="0.3">
      <c r="A53" t="s">
        <v>44</v>
      </c>
      <c r="B53">
        <v>260</v>
      </c>
      <c r="C53">
        <v>7</v>
      </c>
    </row>
    <row r="54" spans="1:3" x14ac:dyDescent="0.3">
      <c r="A54" t="s">
        <v>44</v>
      </c>
      <c r="B54">
        <v>260</v>
      </c>
      <c r="C54">
        <v>15</v>
      </c>
    </row>
    <row r="55" spans="1:3" x14ac:dyDescent="0.3">
      <c r="A55" t="s">
        <v>38</v>
      </c>
      <c r="B55">
        <v>10</v>
      </c>
      <c r="C55">
        <v>7</v>
      </c>
    </row>
    <row r="56" spans="1:3" x14ac:dyDescent="0.3">
      <c r="A56" t="s">
        <v>38</v>
      </c>
      <c r="B56">
        <v>10</v>
      </c>
      <c r="C56">
        <v>15</v>
      </c>
    </row>
    <row r="57" spans="1:3" x14ac:dyDescent="0.3">
      <c r="A57" t="s">
        <v>38</v>
      </c>
      <c r="B57">
        <v>10</v>
      </c>
      <c r="C57">
        <v>7</v>
      </c>
    </row>
    <row r="58" spans="1:3" x14ac:dyDescent="0.3">
      <c r="A58" t="s">
        <v>41</v>
      </c>
      <c r="B58">
        <v>120</v>
      </c>
      <c r="C58">
        <v>7</v>
      </c>
    </row>
    <row r="59" spans="1:3" x14ac:dyDescent="0.3">
      <c r="A59" t="s">
        <v>42</v>
      </c>
      <c r="B59">
        <v>250</v>
      </c>
      <c r="C59">
        <v>7</v>
      </c>
    </row>
    <row r="60" spans="1:3" x14ac:dyDescent="0.3">
      <c r="A60" t="s">
        <v>19</v>
      </c>
      <c r="B60">
        <v>3</v>
      </c>
      <c r="C60">
        <v>12</v>
      </c>
    </row>
    <row r="61" spans="1:3" x14ac:dyDescent="0.3">
      <c r="A61" t="s">
        <v>19</v>
      </c>
      <c r="B61">
        <v>3</v>
      </c>
      <c r="C61">
        <v>350</v>
      </c>
    </row>
    <row r="62" spans="1:3" x14ac:dyDescent="0.3">
      <c r="A62" t="s">
        <v>19</v>
      </c>
      <c r="B62">
        <v>3</v>
      </c>
      <c r="C62">
        <v>7</v>
      </c>
    </row>
    <row r="63" spans="1:3" x14ac:dyDescent="0.3">
      <c r="A63" t="s">
        <v>19</v>
      </c>
      <c r="B63">
        <v>3</v>
      </c>
      <c r="C63">
        <v>12</v>
      </c>
    </row>
    <row r="64" spans="1:3" x14ac:dyDescent="0.3">
      <c r="A64" t="s">
        <v>19</v>
      </c>
      <c r="B64">
        <v>3</v>
      </c>
      <c r="C64">
        <v>125</v>
      </c>
    </row>
    <row r="65" spans="1:3" x14ac:dyDescent="0.3">
      <c r="A65" t="s">
        <v>19</v>
      </c>
      <c r="B65">
        <v>3</v>
      </c>
      <c r="C65">
        <v>12</v>
      </c>
    </row>
    <row r="66" spans="1:3" x14ac:dyDescent="0.3">
      <c r="A66" t="s">
        <v>19</v>
      </c>
      <c r="B66">
        <v>3</v>
      </c>
      <c r="C66">
        <v>12</v>
      </c>
    </row>
    <row r="67" spans="1:3" x14ac:dyDescent="0.3">
      <c r="A67" t="s">
        <v>19</v>
      </c>
      <c r="B67">
        <v>3</v>
      </c>
      <c r="C67">
        <v>300</v>
      </c>
    </row>
    <row r="68" spans="1:3" x14ac:dyDescent="0.3">
      <c r="A68" t="s">
        <v>19</v>
      </c>
      <c r="B68">
        <v>3</v>
      </c>
      <c r="C68">
        <v>350</v>
      </c>
    </row>
    <row r="69" spans="1:3" x14ac:dyDescent="0.3">
      <c r="A69" t="s">
        <v>19</v>
      </c>
      <c r="B69">
        <v>3</v>
      </c>
      <c r="C69">
        <v>350</v>
      </c>
    </row>
    <row r="70" spans="1:3" x14ac:dyDescent="0.3">
      <c r="A70" t="s">
        <v>28</v>
      </c>
      <c r="B70">
        <v>5</v>
      </c>
      <c r="C70">
        <v>15</v>
      </c>
    </row>
    <row r="71" spans="1:3" x14ac:dyDescent="0.3">
      <c r="A71" t="s">
        <v>28</v>
      </c>
      <c r="B71">
        <v>5</v>
      </c>
      <c r="C71">
        <v>300</v>
      </c>
    </row>
    <row r="72" spans="1:3" x14ac:dyDescent="0.3">
      <c r="A72" t="s">
        <v>28</v>
      </c>
      <c r="B72">
        <v>5</v>
      </c>
      <c r="C72">
        <v>20</v>
      </c>
    </row>
    <row r="73" spans="1:3" x14ac:dyDescent="0.3">
      <c r="A73" t="s">
        <v>28</v>
      </c>
      <c r="B73">
        <v>5</v>
      </c>
      <c r="C73">
        <v>7</v>
      </c>
    </row>
    <row r="74" spans="1:3" x14ac:dyDescent="0.3">
      <c r="A74" t="s">
        <v>28</v>
      </c>
      <c r="B74">
        <v>5</v>
      </c>
      <c r="C74">
        <v>300</v>
      </c>
    </row>
    <row r="75" spans="1:3" x14ac:dyDescent="0.3">
      <c r="A75" t="s">
        <v>28</v>
      </c>
      <c r="B75">
        <v>5</v>
      </c>
      <c r="C75">
        <v>125</v>
      </c>
    </row>
    <row r="76" spans="1:3" x14ac:dyDescent="0.3">
      <c r="A76" t="s">
        <v>38</v>
      </c>
      <c r="B76">
        <v>10</v>
      </c>
      <c r="C76">
        <v>15</v>
      </c>
    </row>
    <row r="77" spans="1:3" x14ac:dyDescent="0.3">
      <c r="A77" t="s">
        <v>38</v>
      </c>
      <c r="B77">
        <v>10</v>
      </c>
      <c r="C77">
        <v>7</v>
      </c>
    </row>
    <row r="78" spans="1:3" x14ac:dyDescent="0.3">
      <c r="A78" t="s">
        <v>38</v>
      </c>
      <c r="B78">
        <v>10</v>
      </c>
      <c r="C78">
        <v>125</v>
      </c>
    </row>
    <row r="79" spans="1:3" x14ac:dyDescent="0.3">
      <c r="A79" t="s">
        <v>38</v>
      </c>
      <c r="B79">
        <v>10</v>
      </c>
      <c r="C79">
        <v>125</v>
      </c>
    </row>
    <row r="80" spans="1:3" x14ac:dyDescent="0.3">
      <c r="A80" t="s">
        <v>38</v>
      </c>
      <c r="B80">
        <v>10</v>
      </c>
      <c r="C80">
        <v>125</v>
      </c>
    </row>
    <row r="81" spans="1:3" x14ac:dyDescent="0.3">
      <c r="A81" t="s">
        <v>38</v>
      </c>
      <c r="B81">
        <v>10</v>
      </c>
      <c r="C81">
        <v>15</v>
      </c>
    </row>
    <row r="82" spans="1:3" x14ac:dyDescent="0.3">
      <c r="A82" t="s">
        <v>38</v>
      </c>
      <c r="B82">
        <v>10</v>
      </c>
      <c r="C82">
        <v>12</v>
      </c>
    </row>
    <row r="83" spans="1:3" x14ac:dyDescent="0.3">
      <c r="A83" t="s">
        <v>38</v>
      </c>
      <c r="B83">
        <v>10</v>
      </c>
      <c r="C83">
        <v>300</v>
      </c>
    </row>
    <row r="84" spans="1:3" x14ac:dyDescent="0.3">
      <c r="A84" t="s">
        <v>38</v>
      </c>
      <c r="B84">
        <v>10</v>
      </c>
      <c r="C84">
        <v>350</v>
      </c>
    </row>
    <row r="85" spans="1:3" x14ac:dyDescent="0.3">
      <c r="A85" t="s">
        <v>41</v>
      </c>
      <c r="B85">
        <v>120</v>
      </c>
      <c r="C85">
        <v>20</v>
      </c>
    </row>
    <row r="86" spans="1:3" x14ac:dyDescent="0.3">
      <c r="A86" t="s">
        <v>41</v>
      </c>
      <c r="B86">
        <v>120</v>
      </c>
      <c r="C86">
        <v>7</v>
      </c>
    </row>
    <row r="87" spans="1:3" x14ac:dyDescent="0.3">
      <c r="A87" t="s">
        <v>41</v>
      </c>
      <c r="B87">
        <v>120</v>
      </c>
      <c r="C87">
        <v>125</v>
      </c>
    </row>
    <row r="88" spans="1:3" x14ac:dyDescent="0.3">
      <c r="A88" t="s">
        <v>41</v>
      </c>
      <c r="B88">
        <v>120</v>
      </c>
      <c r="C88">
        <v>125</v>
      </c>
    </row>
    <row r="89" spans="1:3" x14ac:dyDescent="0.3">
      <c r="A89" t="s">
        <v>41</v>
      </c>
      <c r="B89">
        <v>120</v>
      </c>
      <c r="C89">
        <v>7</v>
      </c>
    </row>
    <row r="90" spans="1:3" x14ac:dyDescent="0.3">
      <c r="A90" t="s">
        <v>42</v>
      </c>
      <c r="B90">
        <v>250</v>
      </c>
      <c r="C90">
        <v>7</v>
      </c>
    </row>
    <row r="91" spans="1:3" x14ac:dyDescent="0.3">
      <c r="A91" t="s">
        <v>42</v>
      </c>
      <c r="B91">
        <v>250</v>
      </c>
      <c r="C91">
        <v>350</v>
      </c>
    </row>
    <row r="92" spans="1:3" x14ac:dyDescent="0.3">
      <c r="A92" t="s">
        <v>42</v>
      </c>
      <c r="B92">
        <v>250</v>
      </c>
      <c r="C92">
        <v>125</v>
      </c>
    </row>
    <row r="93" spans="1:3" x14ac:dyDescent="0.3">
      <c r="A93" t="s">
        <v>42</v>
      </c>
      <c r="B93">
        <v>250</v>
      </c>
      <c r="C93">
        <v>125</v>
      </c>
    </row>
    <row r="94" spans="1:3" x14ac:dyDescent="0.3">
      <c r="A94" t="s">
        <v>42</v>
      </c>
      <c r="B94">
        <v>250</v>
      </c>
      <c r="C94">
        <v>300</v>
      </c>
    </row>
    <row r="95" spans="1:3" x14ac:dyDescent="0.3">
      <c r="A95" t="s">
        <v>42</v>
      </c>
      <c r="B95">
        <v>250</v>
      </c>
      <c r="C95">
        <v>300</v>
      </c>
    </row>
    <row r="96" spans="1:3" x14ac:dyDescent="0.3">
      <c r="A96" t="s">
        <v>42</v>
      </c>
      <c r="B96">
        <v>250</v>
      </c>
      <c r="C96">
        <v>350</v>
      </c>
    </row>
    <row r="97" spans="1:3" x14ac:dyDescent="0.3">
      <c r="A97" t="s">
        <v>42</v>
      </c>
      <c r="B97">
        <v>250</v>
      </c>
      <c r="C97">
        <v>125</v>
      </c>
    </row>
    <row r="98" spans="1:3" x14ac:dyDescent="0.3">
      <c r="A98" t="s">
        <v>44</v>
      </c>
      <c r="B98">
        <v>260</v>
      </c>
      <c r="C98">
        <v>12</v>
      </c>
    </row>
    <row r="99" spans="1:3" x14ac:dyDescent="0.3">
      <c r="A99" t="s">
        <v>44</v>
      </c>
      <c r="B99">
        <v>260</v>
      </c>
      <c r="C99">
        <v>15</v>
      </c>
    </row>
    <row r="100" spans="1:3" x14ac:dyDescent="0.3">
      <c r="A100" t="s">
        <v>19</v>
      </c>
      <c r="B100">
        <v>3</v>
      </c>
      <c r="C100">
        <v>125</v>
      </c>
    </row>
    <row r="101" spans="1:3" x14ac:dyDescent="0.3">
      <c r="A101" t="s">
        <v>19</v>
      </c>
      <c r="B101">
        <v>3</v>
      </c>
      <c r="C101">
        <v>12</v>
      </c>
    </row>
    <row r="102" spans="1:3" x14ac:dyDescent="0.3">
      <c r="A102" t="s">
        <v>19</v>
      </c>
      <c r="B102">
        <v>3</v>
      </c>
      <c r="C102">
        <v>300</v>
      </c>
    </row>
    <row r="103" spans="1:3" x14ac:dyDescent="0.3">
      <c r="A103" t="s">
        <v>19</v>
      </c>
      <c r="B103">
        <v>3</v>
      </c>
      <c r="C103">
        <v>7</v>
      </c>
    </row>
    <row r="104" spans="1:3" x14ac:dyDescent="0.3">
      <c r="A104" t="s">
        <v>19</v>
      </c>
      <c r="B104">
        <v>3</v>
      </c>
      <c r="C104">
        <v>350</v>
      </c>
    </row>
    <row r="105" spans="1:3" x14ac:dyDescent="0.3">
      <c r="A105" t="s">
        <v>28</v>
      </c>
      <c r="B105">
        <v>5</v>
      </c>
      <c r="C105">
        <v>12</v>
      </c>
    </row>
    <row r="106" spans="1:3" x14ac:dyDescent="0.3">
      <c r="A106" t="s">
        <v>28</v>
      </c>
      <c r="B106">
        <v>5</v>
      </c>
      <c r="C106">
        <v>20</v>
      </c>
    </row>
    <row r="107" spans="1:3" x14ac:dyDescent="0.3">
      <c r="A107" t="s">
        <v>28</v>
      </c>
      <c r="B107">
        <v>5</v>
      </c>
      <c r="C107">
        <v>12</v>
      </c>
    </row>
    <row r="108" spans="1:3" x14ac:dyDescent="0.3">
      <c r="A108" t="s">
        <v>28</v>
      </c>
      <c r="B108">
        <v>5</v>
      </c>
      <c r="C108">
        <v>125</v>
      </c>
    </row>
    <row r="109" spans="1:3" x14ac:dyDescent="0.3">
      <c r="A109" t="s">
        <v>38</v>
      </c>
      <c r="B109">
        <v>10</v>
      </c>
      <c r="C109">
        <v>15</v>
      </c>
    </row>
    <row r="110" spans="1:3" x14ac:dyDescent="0.3">
      <c r="A110" t="s">
        <v>38</v>
      </c>
      <c r="B110">
        <v>10</v>
      </c>
      <c r="C110">
        <v>300</v>
      </c>
    </row>
    <row r="111" spans="1:3" x14ac:dyDescent="0.3">
      <c r="A111" t="s">
        <v>38</v>
      </c>
      <c r="B111">
        <v>10</v>
      </c>
      <c r="C111">
        <v>300</v>
      </c>
    </row>
    <row r="112" spans="1:3" x14ac:dyDescent="0.3">
      <c r="A112" t="s">
        <v>38</v>
      </c>
      <c r="B112">
        <v>10</v>
      </c>
      <c r="C112">
        <v>12</v>
      </c>
    </row>
    <row r="113" spans="1:3" x14ac:dyDescent="0.3">
      <c r="A113" t="s">
        <v>38</v>
      </c>
      <c r="B113">
        <v>10</v>
      </c>
      <c r="C113">
        <v>125</v>
      </c>
    </row>
    <row r="114" spans="1:3" x14ac:dyDescent="0.3">
      <c r="A114" t="s">
        <v>38</v>
      </c>
      <c r="B114">
        <v>10</v>
      </c>
      <c r="C114">
        <v>12</v>
      </c>
    </row>
    <row r="115" spans="1:3" x14ac:dyDescent="0.3">
      <c r="A115" t="s">
        <v>38</v>
      </c>
      <c r="B115">
        <v>10</v>
      </c>
      <c r="C115">
        <v>125</v>
      </c>
    </row>
    <row r="116" spans="1:3" x14ac:dyDescent="0.3">
      <c r="A116" t="s">
        <v>38</v>
      </c>
      <c r="B116">
        <v>10</v>
      </c>
      <c r="C116">
        <v>125</v>
      </c>
    </row>
    <row r="117" spans="1:3" x14ac:dyDescent="0.3">
      <c r="A117" t="s">
        <v>38</v>
      </c>
      <c r="B117">
        <v>10</v>
      </c>
      <c r="C117">
        <v>12</v>
      </c>
    </row>
    <row r="118" spans="1:3" x14ac:dyDescent="0.3">
      <c r="A118" t="s">
        <v>38</v>
      </c>
      <c r="B118">
        <v>10</v>
      </c>
      <c r="C118">
        <v>300</v>
      </c>
    </row>
    <row r="119" spans="1:3" x14ac:dyDescent="0.3">
      <c r="A119" t="s">
        <v>38</v>
      </c>
      <c r="B119">
        <v>10</v>
      </c>
      <c r="C119">
        <v>350</v>
      </c>
    </row>
    <row r="120" spans="1:3" x14ac:dyDescent="0.3">
      <c r="A120" t="s">
        <v>38</v>
      </c>
      <c r="B120">
        <v>10</v>
      </c>
      <c r="C120">
        <v>125</v>
      </c>
    </row>
    <row r="121" spans="1:3" x14ac:dyDescent="0.3">
      <c r="A121" t="s">
        <v>38</v>
      </c>
      <c r="B121">
        <v>10</v>
      </c>
      <c r="C121">
        <v>15</v>
      </c>
    </row>
    <row r="122" spans="1:3" x14ac:dyDescent="0.3">
      <c r="A122" t="s">
        <v>38</v>
      </c>
      <c r="B122">
        <v>10</v>
      </c>
      <c r="C122">
        <v>7</v>
      </c>
    </row>
    <row r="123" spans="1:3" x14ac:dyDescent="0.3">
      <c r="A123" t="s">
        <v>38</v>
      </c>
      <c r="B123">
        <v>10</v>
      </c>
      <c r="C123">
        <v>12</v>
      </c>
    </row>
    <row r="124" spans="1:3" x14ac:dyDescent="0.3">
      <c r="A124" t="s">
        <v>38</v>
      </c>
      <c r="B124">
        <v>10</v>
      </c>
      <c r="C124">
        <v>12</v>
      </c>
    </row>
    <row r="125" spans="1:3" x14ac:dyDescent="0.3">
      <c r="A125" t="s">
        <v>41</v>
      </c>
      <c r="B125">
        <v>120</v>
      </c>
      <c r="C125">
        <v>20</v>
      </c>
    </row>
    <row r="126" spans="1:3" x14ac:dyDescent="0.3">
      <c r="A126" t="s">
        <v>41</v>
      </c>
      <c r="B126">
        <v>120</v>
      </c>
      <c r="C126">
        <v>350</v>
      </c>
    </row>
    <row r="127" spans="1:3" x14ac:dyDescent="0.3">
      <c r="A127" t="s">
        <v>41</v>
      </c>
      <c r="B127">
        <v>120</v>
      </c>
      <c r="C127">
        <v>350</v>
      </c>
    </row>
    <row r="128" spans="1:3" x14ac:dyDescent="0.3">
      <c r="A128" t="s">
        <v>41</v>
      </c>
      <c r="B128">
        <v>120</v>
      </c>
      <c r="C128">
        <v>125</v>
      </c>
    </row>
    <row r="129" spans="1:3" x14ac:dyDescent="0.3">
      <c r="A129" t="s">
        <v>41</v>
      </c>
      <c r="B129">
        <v>120</v>
      </c>
      <c r="C129">
        <v>125</v>
      </c>
    </row>
    <row r="130" spans="1:3" x14ac:dyDescent="0.3">
      <c r="A130" t="s">
        <v>41</v>
      </c>
      <c r="B130">
        <v>120</v>
      </c>
      <c r="C130">
        <v>12</v>
      </c>
    </row>
    <row r="131" spans="1:3" x14ac:dyDescent="0.3">
      <c r="A131" t="s">
        <v>41</v>
      </c>
      <c r="B131">
        <v>120</v>
      </c>
      <c r="C131">
        <v>20</v>
      </c>
    </row>
    <row r="132" spans="1:3" x14ac:dyDescent="0.3">
      <c r="A132" t="s">
        <v>41</v>
      </c>
      <c r="B132">
        <v>120</v>
      </c>
      <c r="C132">
        <v>12</v>
      </c>
    </row>
    <row r="133" spans="1:3" x14ac:dyDescent="0.3">
      <c r="A133" t="s">
        <v>42</v>
      </c>
      <c r="B133">
        <v>250</v>
      </c>
      <c r="C133">
        <v>125</v>
      </c>
    </row>
    <row r="134" spans="1:3" x14ac:dyDescent="0.3">
      <c r="A134" t="s">
        <v>42</v>
      </c>
      <c r="B134">
        <v>250</v>
      </c>
      <c r="C134">
        <v>300</v>
      </c>
    </row>
    <row r="135" spans="1:3" x14ac:dyDescent="0.3">
      <c r="A135" t="s">
        <v>42</v>
      </c>
      <c r="B135">
        <v>250</v>
      </c>
      <c r="C135">
        <v>350</v>
      </c>
    </row>
    <row r="136" spans="1:3" x14ac:dyDescent="0.3">
      <c r="A136" t="s">
        <v>42</v>
      </c>
      <c r="B136">
        <v>250</v>
      </c>
      <c r="C136">
        <v>125</v>
      </c>
    </row>
    <row r="137" spans="1:3" x14ac:dyDescent="0.3">
      <c r="A137" t="s">
        <v>42</v>
      </c>
      <c r="B137">
        <v>250</v>
      </c>
      <c r="C137">
        <v>350</v>
      </c>
    </row>
    <row r="138" spans="1:3" x14ac:dyDescent="0.3">
      <c r="A138" t="s">
        <v>42</v>
      </c>
      <c r="B138">
        <v>250</v>
      </c>
      <c r="C138">
        <v>350</v>
      </c>
    </row>
    <row r="139" spans="1:3" x14ac:dyDescent="0.3">
      <c r="A139" t="s">
        <v>44</v>
      </c>
      <c r="B139">
        <v>260</v>
      </c>
      <c r="C139">
        <v>300</v>
      </c>
    </row>
    <row r="140" spans="1:3" x14ac:dyDescent="0.3">
      <c r="A140" t="s">
        <v>44</v>
      </c>
      <c r="B140">
        <v>260</v>
      </c>
      <c r="C140">
        <v>300</v>
      </c>
    </row>
    <row r="141" spans="1:3" x14ac:dyDescent="0.3">
      <c r="A141" t="s">
        <v>44</v>
      </c>
      <c r="B141">
        <v>260</v>
      </c>
      <c r="C141">
        <v>125</v>
      </c>
    </row>
    <row r="142" spans="1:3" x14ac:dyDescent="0.3">
      <c r="A142" t="s">
        <v>44</v>
      </c>
      <c r="B142">
        <v>260</v>
      </c>
      <c r="C142">
        <v>350</v>
      </c>
    </row>
    <row r="143" spans="1:3" x14ac:dyDescent="0.3">
      <c r="A143" t="s">
        <v>44</v>
      </c>
      <c r="B143">
        <v>260</v>
      </c>
      <c r="C143">
        <v>20</v>
      </c>
    </row>
    <row r="144" spans="1:3" x14ac:dyDescent="0.3">
      <c r="A144" t="s">
        <v>44</v>
      </c>
      <c r="B144">
        <v>260</v>
      </c>
      <c r="C144">
        <v>20</v>
      </c>
    </row>
    <row r="145" spans="1:3" x14ac:dyDescent="0.3">
      <c r="A145" t="s">
        <v>44</v>
      </c>
      <c r="B145">
        <v>260</v>
      </c>
      <c r="C145">
        <v>300</v>
      </c>
    </row>
    <row r="146" spans="1:3" x14ac:dyDescent="0.3">
      <c r="A146" t="s">
        <v>19</v>
      </c>
      <c r="B146">
        <v>3</v>
      </c>
      <c r="C146">
        <v>125</v>
      </c>
    </row>
    <row r="147" spans="1:3" x14ac:dyDescent="0.3">
      <c r="A147" t="s">
        <v>19</v>
      </c>
      <c r="B147">
        <v>3</v>
      </c>
      <c r="C147">
        <v>20</v>
      </c>
    </row>
    <row r="148" spans="1:3" x14ac:dyDescent="0.3">
      <c r="A148" t="s">
        <v>19</v>
      </c>
      <c r="B148">
        <v>3</v>
      </c>
      <c r="C148">
        <v>300</v>
      </c>
    </row>
    <row r="149" spans="1:3" x14ac:dyDescent="0.3">
      <c r="A149" t="s">
        <v>19</v>
      </c>
      <c r="B149">
        <v>3</v>
      </c>
      <c r="C149">
        <v>12</v>
      </c>
    </row>
    <row r="150" spans="1:3" x14ac:dyDescent="0.3">
      <c r="A150" t="s">
        <v>19</v>
      </c>
      <c r="B150">
        <v>3</v>
      </c>
      <c r="C150">
        <v>12</v>
      </c>
    </row>
    <row r="151" spans="1:3" x14ac:dyDescent="0.3">
      <c r="A151" t="s">
        <v>28</v>
      </c>
      <c r="B151">
        <v>5</v>
      </c>
      <c r="C151">
        <v>7</v>
      </c>
    </row>
    <row r="152" spans="1:3" x14ac:dyDescent="0.3">
      <c r="A152" t="s">
        <v>28</v>
      </c>
      <c r="B152">
        <v>5</v>
      </c>
      <c r="C152">
        <v>12</v>
      </c>
    </row>
    <row r="153" spans="1:3" x14ac:dyDescent="0.3">
      <c r="A153" t="s">
        <v>28</v>
      </c>
      <c r="B153">
        <v>5</v>
      </c>
      <c r="C153">
        <v>7</v>
      </c>
    </row>
    <row r="154" spans="1:3" x14ac:dyDescent="0.3">
      <c r="A154" t="s">
        <v>28</v>
      </c>
      <c r="B154">
        <v>5</v>
      </c>
      <c r="C154">
        <v>350</v>
      </c>
    </row>
    <row r="155" spans="1:3" x14ac:dyDescent="0.3">
      <c r="A155" t="s">
        <v>28</v>
      </c>
      <c r="B155">
        <v>5</v>
      </c>
      <c r="C155">
        <v>125</v>
      </c>
    </row>
    <row r="156" spans="1:3" x14ac:dyDescent="0.3">
      <c r="A156" t="s">
        <v>28</v>
      </c>
      <c r="B156">
        <v>5</v>
      </c>
      <c r="C156">
        <v>125</v>
      </c>
    </row>
    <row r="157" spans="1:3" x14ac:dyDescent="0.3">
      <c r="A157" t="s">
        <v>38</v>
      </c>
      <c r="B157">
        <v>10</v>
      </c>
      <c r="C157">
        <v>300</v>
      </c>
    </row>
    <row r="158" spans="1:3" x14ac:dyDescent="0.3">
      <c r="A158" t="s">
        <v>38</v>
      </c>
      <c r="B158">
        <v>10</v>
      </c>
      <c r="C158">
        <v>125</v>
      </c>
    </row>
    <row r="159" spans="1:3" x14ac:dyDescent="0.3">
      <c r="A159" t="s">
        <v>38</v>
      </c>
      <c r="B159">
        <v>10</v>
      </c>
      <c r="C159">
        <v>12</v>
      </c>
    </row>
    <row r="160" spans="1:3" x14ac:dyDescent="0.3">
      <c r="A160" t="s">
        <v>38</v>
      </c>
      <c r="B160">
        <v>10</v>
      </c>
      <c r="C160">
        <v>300</v>
      </c>
    </row>
    <row r="161" spans="1:3" x14ac:dyDescent="0.3">
      <c r="A161" t="s">
        <v>38</v>
      </c>
      <c r="B161">
        <v>10</v>
      </c>
      <c r="C161">
        <v>125</v>
      </c>
    </row>
    <row r="162" spans="1:3" x14ac:dyDescent="0.3">
      <c r="A162" t="s">
        <v>38</v>
      </c>
      <c r="B162">
        <v>10</v>
      </c>
      <c r="C162">
        <v>12</v>
      </c>
    </row>
    <row r="163" spans="1:3" x14ac:dyDescent="0.3">
      <c r="A163" t="s">
        <v>38</v>
      </c>
      <c r="B163">
        <v>10</v>
      </c>
      <c r="C163">
        <v>125</v>
      </c>
    </row>
    <row r="164" spans="1:3" x14ac:dyDescent="0.3">
      <c r="A164" t="s">
        <v>38</v>
      </c>
      <c r="B164">
        <v>10</v>
      </c>
      <c r="C164">
        <v>15</v>
      </c>
    </row>
    <row r="165" spans="1:3" x14ac:dyDescent="0.3">
      <c r="A165" t="s">
        <v>38</v>
      </c>
      <c r="B165">
        <v>10</v>
      </c>
      <c r="C165">
        <v>125</v>
      </c>
    </row>
    <row r="166" spans="1:3" x14ac:dyDescent="0.3">
      <c r="A166" t="s">
        <v>38</v>
      </c>
      <c r="B166">
        <v>10</v>
      </c>
      <c r="C166">
        <v>125</v>
      </c>
    </row>
    <row r="167" spans="1:3" x14ac:dyDescent="0.3">
      <c r="A167" t="s">
        <v>41</v>
      </c>
      <c r="B167">
        <v>120</v>
      </c>
      <c r="C167">
        <v>125</v>
      </c>
    </row>
    <row r="168" spans="1:3" x14ac:dyDescent="0.3">
      <c r="A168" t="s">
        <v>42</v>
      </c>
      <c r="B168">
        <v>250</v>
      </c>
      <c r="C168">
        <v>300</v>
      </c>
    </row>
    <row r="169" spans="1:3" x14ac:dyDescent="0.3">
      <c r="A169" t="s">
        <v>42</v>
      </c>
      <c r="B169">
        <v>250</v>
      </c>
      <c r="C169">
        <v>12</v>
      </c>
    </row>
    <row r="170" spans="1:3" x14ac:dyDescent="0.3">
      <c r="A170" t="s">
        <v>42</v>
      </c>
      <c r="B170">
        <v>250</v>
      </c>
      <c r="C170">
        <v>125</v>
      </c>
    </row>
    <row r="171" spans="1:3" x14ac:dyDescent="0.3">
      <c r="A171" t="s">
        <v>42</v>
      </c>
      <c r="B171">
        <v>250</v>
      </c>
      <c r="C171">
        <v>300</v>
      </c>
    </row>
    <row r="172" spans="1:3" x14ac:dyDescent="0.3">
      <c r="A172" t="s">
        <v>42</v>
      </c>
      <c r="B172">
        <v>250</v>
      </c>
      <c r="C172">
        <v>350</v>
      </c>
    </row>
    <row r="173" spans="1:3" x14ac:dyDescent="0.3">
      <c r="A173" t="s">
        <v>42</v>
      </c>
      <c r="B173">
        <v>250</v>
      </c>
      <c r="C173">
        <v>15</v>
      </c>
    </row>
    <row r="174" spans="1:3" x14ac:dyDescent="0.3">
      <c r="A174" t="s">
        <v>19</v>
      </c>
      <c r="B174">
        <v>3</v>
      </c>
      <c r="C174">
        <v>20</v>
      </c>
    </row>
    <row r="175" spans="1:3" x14ac:dyDescent="0.3">
      <c r="A175" t="s">
        <v>38</v>
      </c>
      <c r="B175">
        <v>10</v>
      </c>
      <c r="C175">
        <v>7</v>
      </c>
    </row>
    <row r="176" spans="1:3" x14ac:dyDescent="0.3">
      <c r="A176" t="s">
        <v>41</v>
      </c>
      <c r="B176">
        <v>120</v>
      </c>
      <c r="C176">
        <v>20</v>
      </c>
    </row>
    <row r="177" spans="1:3" x14ac:dyDescent="0.3">
      <c r="A177" t="s">
        <v>42</v>
      </c>
      <c r="B177">
        <v>250</v>
      </c>
      <c r="C177">
        <v>12</v>
      </c>
    </row>
    <row r="178" spans="1:3" x14ac:dyDescent="0.3">
      <c r="A178" t="s">
        <v>28</v>
      </c>
      <c r="B178">
        <v>5</v>
      </c>
      <c r="C178">
        <v>15</v>
      </c>
    </row>
    <row r="179" spans="1:3" x14ac:dyDescent="0.3">
      <c r="A179" t="s">
        <v>38</v>
      </c>
      <c r="B179">
        <v>10</v>
      </c>
      <c r="C179">
        <v>15</v>
      </c>
    </row>
    <row r="180" spans="1:3" x14ac:dyDescent="0.3">
      <c r="A180" t="s">
        <v>38</v>
      </c>
      <c r="B180">
        <v>10</v>
      </c>
      <c r="C180">
        <v>15</v>
      </c>
    </row>
    <row r="181" spans="1:3" x14ac:dyDescent="0.3">
      <c r="A181" t="s">
        <v>41</v>
      </c>
      <c r="B181">
        <v>120</v>
      </c>
      <c r="C181">
        <v>20</v>
      </c>
    </row>
    <row r="182" spans="1:3" x14ac:dyDescent="0.3">
      <c r="A182" t="s">
        <v>19</v>
      </c>
      <c r="B182">
        <v>3</v>
      </c>
      <c r="C182">
        <v>7</v>
      </c>
    </row>
    <row r="183" spans="1:3" x14ac:dyDescent="0.3">
      <c r="A183" t="s">
        <v>19</v>
      </c>
      <c r="B183">
        <v>3</v>
      </c>
      <c r="C183">
        <v>300</v>
      </c>
    </row>
    <row r="184" spans="1:3" x14ac:dyDescent="0.3">
      <c r="A184" t="s">
        <v>19</v>
      </c>
      <c r="B184">
        <v>3</v>
      </c>
      <c r="C184">
        <v>350</v>
      </c>
    </row>
    <row r="185" spans="1:3" x14ac:dyDescent="0.3">
      <c r="A185" t="s">
        <v>28</v>
      </c>
      <c r="B185">
        <v>5</v>
      </c>
      <c r="C185">
        <v>15</v>
      </c>
    </row>
    <row r="186" spans="1:3" x14ac:dyDescent="0.3">
      <c r="A186" t="s">
        <v>28</v>
      </c>
      <c r="B186">
        <v>5</v>
      </c>
      <c r="C186">
        <v>300</v>
      </c>
    </row>
    <row r="187" spans="1:3" x14ac:dyDescent="0.3">
      <c r="A187" t="s">
        <v>28</v>
      </c>
      <c r="B187">
        <v>5</v>
      </c>
      <c r="C187">
        <v>7</v>
      </c>
    </row>
    <row r="188" spans="1:3" x14ac:dyDescent="0.3">
      <c r="A188" t="s">
        <v>28</v>
      </c>
      <c r="B188">
        <v>5</v>
      </c>
      <c r="C188">
        <v>300</v>
      </c>
    </row>
    <row r="189" spans="1:3" x14ac:dyDescent="0.3">
      <c r="A189" t="s">
        <v>28</v>
      </c>
      <c r="B189">
        <v>5</v>
      </c>
      <c r="C189">
        <v>125</v>
      </c>
    </row>
    <row r="190" spans="1:3" x14ac:dyDescent="0.3">
      <c r="A190" t="s">
        <v>38</v>
      </c>
      <c r="B190">
        <v>10</v>
      </c>
      <c r="C190">
        <v>7</v>
      </c>
    </row>
    <row r="191" spans="1:3" x14ac:dyDescent="0.3">
      <c r="A191" t="s">
        <v>38</v>
      </c>
      <c r="B191">
        <v>10</v>
      </c>
      <c r="C191">
        <v>125</v>
      </c>
    </row>
    <row r="192" spans="1:3" x14ac:dyDescent="0.3">
      <c r="A192" t="s">
        <v>38</v>
      </c>
      <c r="B192">
        <v>10</v>
      </c>
      <c r="C192">
        <v>300</v>
      </c>
    </row>
    <row r="193" spans="1:3" x14ac:dyDescent="0.3">
      <c r="A193" t="s">
        <v>38</v>
      </c>
      <c r="B193">
        <v>10</v>
      </c>
      <c r="C193">
        <v>300</v>
      </c>
    </row>
    <row r="194" spans="1:3" x14ac:dyDescent="0.3">
      <c r="A194" t="s">
        <v>38</v>
      </c>
      <c r="B194">
        <v>10</v>
      </c>
      <c r="C194">
        <v>350</v>
      </c>
    </row>
    <row r="195" spans="1:3" x14ac:dyDescent="0.3">
      <c r="A195" t="s">
        <v>38</v>
      </c>
      <c r="B195">
        <v>10</v>
      </c>
      <c r="C195">
        <v>125</v>
      </c>
    </row>
    <row r="196" spans="1:3" x14ac:dyDescent="0.3">
      <c r="A196" t="s">
        <v>38</v>
      </c>
      <c r="B196">
        <v>10</v>
      </c>
      <c r="C196">
        <v>15</v>
      </c>
    </row>
    <row r="197" spans="1:3" x14ac:dyDescent="0.3">
      <c r="A197" t="s">
        <v>38</v>
      </c>
      <c r="B197">
        <v>10</v>
      </c>
      <c r="C197">
        <v>20</v>
      </c>
    </row>
    <row r="198" spans="1:3" x14ac:dyDescent="0.3">
      <c r="A198" t="s">
        <v>38</v>
      </c>
      <c r="B198">
        <v>10</v>
      </c>
      <c r="C198">
        <v>20</v>
      </c>
    </row>
    <row r="199" spans="1:3" x14ac:dyDescent="0.3">
      <c r="A199" t="s">
        <v>38</v>
      </c>
      <c r="B199">
        <v>10</v>
      </c>
      <c r="C199">
        <v>15</v>
      </c>
    </row>
    <row r="200" spans="1:3" x14ac:dyDescent="0.3">
      <c r="A200" t="s">
        <v>38</v>
      </c>
      <c r="B200">
        <v>10</v>
      </c>
      <c r="C200">
        <v>15</v>
      </c>
    </row>
    <row r="201" spans="1:3" x14ac:dyDescent="0.3">
      <c r="A201" t="s">
        <v>38</v>
      </c>
      <c r="B201">
        <v>10</v>
      </c>
      <c r="C201">
        <v>350</v>
      </c>
    </row>
    <row r="202" spans="1:3" x14ac:dyDescent="0.3">
      <c r="A202" t="s">
        <v>38</v>
      </c>
      <c r="B202">
        <v>10</v>
      </c>
      <c r="C202">
        <v>125</v>
      </c>
    </row>
    <row r="203" spans="1:3" x14ac:dyDescent="0.3">
      <c r="A203" t="s">
        <v>41</v>
      </c>
      <c r="B203">
        <v>120</v>
      </c>
      <c r="C203">
        <v>12</v>
      </c>
    </row>
    <row r="204" spans="1:3" x14ac:dyDescent="0.3">
      <c r="A204" t="s">
        <v>41</v>
      </c>
      <c r="B204">
        <v>120</v>
      </c>
      <c r="C204">
        <v>20</v>
      </c>
    </row>
    <row r="205" spans="1:3" x14ac:dyDescent="0.3">
      <c r="A205" t="s">
        <v>41</v>
      </c>
      <c r="B205">
        <v>120</v>
      </c>
      <c r="C205">
        <v>350</v>
      </c>
    </row>
    <row r="206" spans="1:3" x14ac:dyDescent="0.3">
      <c r="A206" t="s">
        <v>42</v>
      </c>
      <c r="B206">
        <v>250</v>
      </c>
      <c r="C206">
        <v>12</v>
      </c>
    </row>
    <row r="207" spans="1:3" x14ac:dyDescent="0.3">
      <c r="A207" t="s">
        <v>42</v>
      </c>
      <c r="B207">
        <v>250</v>
      </c>
      <c r="C207">
        <v>350</v>
      </c>
    </row>
    <row r="208" spans="1:3" x14ac:dyDescent="0.3">
      <c r="A208" t="s">
        <v>42</v>
      </c>
      <c r="B208">
        <v>250</v>
      </c>
      <c r="C208">
        <v>350</v>
      </c>
    </row>
    <row r="209" spans="1:3" x14ac:dyDescent="0.3">
      <c r="A209" t="s">
        <v>42</v>
      </c>
      <c r="B209">
        <v>250</v>
      </c>
      <c r="C209">
        <v>15</v>
      </c>
    </row>
    <row r="210" spans="1:3" x14ac:dyDescent="0.3">
      <c r="A210" t="s">
        <v>44</v>
      </c>
      <c r="B210">
        <v>260</v>
      </c>
      <c r="C210">
        <v>350</v>
      </c>
    </row>
    <row r="211" spans="1:3" x14ac:dyDescent="0.3">
      <c r="A211" t="s">
        <v>44</v>
      </c>
      <c r="B211">
        <v>260</v>
      </c>
      <c r="C211">
        <v>125</v>
      </c>
    </row>
    <row r="212" spans="1:3" x14ac:dyDescent="0.3">
      <c r="A212" t="s">
        <v>44</v>
      </c>
      <c r="B212">
        <v>260</v>
      </c>
      <c r="C212">
        <v>350</v>
      </c>
    </row>
    <row r="213" spans="1:3" x14ac:dyDescent="0.3">
      <c r="A213" t="s">
        <v>44</v>
      </c>
      <c r="B213">
        <v>260</v>
      </c>
      <c r="C213">
        <v>15</v>
      </c>
    </row>
    <row r="214" spans="1:3" x14ac:dyDescent="0.3">
      <c r="A214" t="s">
        <v>44</v>
      </c>
      <c r="B214">
        <v>260</v>
      </c>
      <c r="C214">
        <v>350</v>
      </c>
    </row>
    <row r="215" spans="1:3" x14ac:dyDescent="0.3">
      <c r="A215" t="s">
        <v>28</v>
      </c>
      <c r="B215">
        <v>5</v>
      </c>
      <c r="C215">
        <v>7</v>
      </c>
    </row>
    <row r="216" spans="1:3" x14ac:dyDescent="0.3">
      <c r="A216" t="s">
        <v>38</v>
      </c>
      <c r="B216">
        <v>10</v>
      </c>
      <c r="C216">
        <v>7</v>
      </c>
    </row>
    <row r="217" spans="1:3" x14ac:dyDescent="0.3">
      <c r="A217" t="s">
        <v>38</v>
      </c>
      <c r="B217">
        <v>10</v>
      </c>
      <c r="C217">
        <v>7</v>
      </c>
    </row>
    <row r="218" spans="1:3" x14ac:dyDescent="0.3">
      <c r="A218" t="s">
        <v>38</v>
      </c>
      <c r="B218">
        <v>10</v>
      </c>
      <c r="C218">
        <v>7</v>
      </c>
    </row>
    <row r="219" spans="1:3" x14ac:dyDescent="0.3">
      <c r="A219" t="s">
        <v>38</v>
      </c>
      <c r="B219">
        <v>10</v>
      </c>
      <c r="C219">
        <v>12</v>
      </c>
    </row>
    <row r="220" spans="1:3" x14ac:dyDescent="0.3">
      <c r="A220" t="s">
        <v>41</v>
      </c>
      <c r="B220">
        <v>120</v>
      </c>
      <c r="C220">
        <v>12</v>
      </c>
    </row>
    <row r="221" spans="1:3" x14ac:dyDescent="0.3">
      <c r="A221" t="s">
        <v>42</v>
      </c>
      <c r="B221">
        <v>250</v>
      </c>
      <c r="C221">
        <v>7</v>
      </c>
    </row>
    <row r="222" spans="1:3" x14ac:dyDescent="0.3">
      <c r="A222" t="s">
        <v>44</v>
      </c>
      <c r="B222">
        <v>260</v>
      </c>
      <c r="C222">
        <v>7</v>
      </c>
    </row>
    <row r="223" spans="1:3" x14ac:dyDescent="0.3">
      <c r="A223" t="s">
        <v>44</v>
      </c>
      <c r="B223">
        <v>260</v>
      </c>
      <c r="C223">
        <v>12</v>
      </c>
    </row>
    <row r="224" spans="1:3" x14ac:dyDescent="0.3">
      <c r="A224" t="s">
        <v>44</v>
      </c>
      <c r="B224">
        <v>260</v>
      </c>
      <c r="C224">
        <v>7</v>
      </c>
    </row>
    <row r="225" spans="1:3" x14ac:dyDescent="0.3">
      <c r="A225" t="s">
        <v>19</v>
      </c>
      <c r="B225">
        <v>3</v>
      </c>
      <c r="C225">
        <v>12</v>
      </c>
    </row>
    <row r="226" spans="1:3" x14ac:dyDescent="0.3">
      <c r="A226" t="s">
        <v>19</v>
      </c>
      <c r="B226">
        <v>3</v>
      </c>
      <c r="C226">
        <v>12</v>
      </c>
    </row>
    <row r="227" spans="1:3" x14ac:dyDescent="0.3">
      <c r="A227" t="s">
        <v>19</v>
      </c>
      <c r="B227">
        <v>3</v>
      </c>
      <c r="C227">
        <v>20</v>
      </c>
    </row>
    <row r="228" spans="1:3" x14ac:dyDescent="0.3">
      <c r="A228" t="s">
        <v>19</v>
      </c>
      <c r="B228">
        <v>3</v>
      </c>
      <c r="C228">
        <v>300</v>
      </c>
    </row>
    <row r="229" spans="1:3" x14ac:dyDescent="0.3">
      <c r="A229" t="s">
        <v>19</v>
      </c>
      <c r="B229">
        <v>3</v>
      </c>
      <c r="C229">
        <v>7</v>
      </c>
    </row>
    <row r="230" spans="1:3" x14ac:dyDescent="0.3">
      <c r="A230" t="s">
        <v>19</v>
      </c>
      <c r="B230">
        <v>3</v>
      </c>
      <c r="C230">
        <v>15</v>
      </c>
    </row>
    <row r="231" spans="1:3" x14ac:dyDescent="0.3">
      <c r="A231" t="s">
        <v>19</v>
      </c>
      <c r="B231">
        <v>3</v>
      </c>
      <c r="C231">
        <v>7</v>
      </c>
    </row>
    <row r="232" spans="1:3" x14ac:dyDescent="0.3">
      <c r="A232" t="s">
        <v>19</v>
      </c>
      <c r="B232">
        <v>3</v>
      </c>
      <c r="C232">
        <v>7</v>
      </c>
    </row>
    <row r="233" spans="1:3" x14ac:dyDescent="0.3">
      <c r="A233" t="s">
        <v>28</v>
      </c>
      <c r="B233">
        <v>5</v>
      </c>
      <c r="C233">
        <v>350</v>
      </c>
    </row>
    <row r="234" spans="1:3" x14ac:dyDescent="0.3">
      <c r="A234" t="s">
        <v>28</v>
      </c>
      <c r="B234">
        <v>5</v>
      </c>
      <c r="C234">
        <v>125</v>
      </c>
    </row>
    <row r="235" spans="1:3" x14ac:dyDescent="0.3">
      <c r="A235" t="s">
        <v>28</v>
      </c>
      <c r="B235">
        <v>5</v>
      </c>
      <c r="C235">
        <v>350</v>
      </c>
    </row>
    <row r="236" spans="1:3" x14ac:dyDescent="0.3">
      <c r="A236" t="s">
        <v>28</v>
      </c>
      <c r="B236">
        <v>5</v>
      </c>
      <c r="C236">
        <v>12</v>
      </c>
    </row>
    <row r="237" spans="1:3" x14ac:dyDescent="0.3">
      <c r="A237" t="s">
        <v>28</v>
      </c>
      <c r="B237">
        <v>5</v>
      </c>
      <c r="C237">
        <v>300</v>
      </c>
    </row>
    <row r="238" spans="1:3" x14ac:dyDescent="0.3">
      <c r="A238" t="s">
        <v>38</v>
      </c>
      <c r="B238">
        <v>10</v>
      </c>
      <c r="C238">
        <v>20</v>
      </c>
    </row>
    <row r="239" spans="1:3" x14ac:dyDescent="0.3">
      <c r="A239" t="s">
        <v>38</v>
      </c>
      <c r="B239">
        <v>10</v>
      </c>
      <c r="C239">
        <v>125</v>
      </c>
    </row>
    <row r="240" spans="1:3" x14ac:dyDescent="0.3">
      <c r="A240" t="s">
        <v>38</v>
      </c>
      <c r="B240">
        <v>10</v>
      </c>
      <c r="C240">
        <v>125</v>
      </c>
    </row>
    <row r="241" spans="1:3" x14ac:dyDescent="0.3">
      <c r="A241" t="s">
        <v>38</v>
      </c>
      <c r="B241">
        <v>10</v>
      </c>
      <c r="C241">
        <v>300</v>
      </c>
    </row>
    <row r="242" spans="1:3" x14ac:dyDescent="0.3">
      <c r="A242" t="s">
        <v>38</v>
      </c>
      <c r="B242">
        <v>10</v>
      </c>
      <c r="C242">
        <v>7</v>
      </c>
    </row>
    <row r="243" spans="1:3" x14ac:dyDescent="0.3">
      <c r="A243" t="s">
        <v>38</v>
      </c>
      <c r="B243">
        <v>10</v>
      </c>
      <c r="C243">
        <v>300</v>
      </c>
    </row>
    <row r="244" spans="1:3" x14ac:dyDescent="0.3">
      <c r="A244" t="s">
        <v>38</v>
      </c>
      <c r="B244">
        <v>10</v>
      </c>
      <c r="C244">
        <v>350</v>
      </c>
    </row>
    <row r="245" spans="1:3" x14ac:dyDescent="0.3">
      <c r="A245" t="s">
        <v>38</v>
      </c>
      <c r="B245">
        <v>10</v>
      </c>
      <c r="C245">
        <v>15</v>
      </c>
    </row>
    <row r="246" spans="1:3" x14ac:dyDescent="0.3">
      <c r="A246" t="s">
        <v>38</v>
      </c>
      <c r="B246">
        <v>10</v>
      </c>
      <c r="C246">
        <v>350</v>
      </c>
    </row>
    <row r="247" spans="1:3" x14ac:dyDescent="0.3">
      <c r="A247" t="s">
        <v>38</v>
      </c>
      <c r="B247">
        <v>10</v>
      </c>
      <c r="C247">
        <v>20</v>
      </c>
    </row>
    <row r="248" spans="1:3" x14ac:dyDescent="0.3">
      <c r="A248" t="s">
        <v>38</v>
      </c>
      <c r="B248">
        <v>10</v>
      </c>
      <c r="C248">
        <v>125</v>
      </c>
    </row>
    <row r="249" spans="1:3" x14ac:dyDescent="0.3">
      <c r="A249" t="s">
        <v>38</v>
      </c>
      <c r="B249">
        <v>10</v>
      </c>
      <c r="C249">
        <v>125</v>
      </c>
    </row>
    <row r="250" spans="1:3" x14ac:dyDescent="0.3">
      <c r="A250" t="s">
        <v>38</v>
      </c>
      <c r="B250">
        <v>10</v>
      </c>
      <c r="C250">
        <v>20</v>
      </c>
    </row>
    <row r="251" spans="1:3" x14ac:dyDescent="0.3">
      <c r="A251" t="s">
        <v>38</v>
      </c>
      <c r="B251">
        <v>10</v>
      </c>
      <c r="C251">
        <v>20</v>
      </c>
    </row>
    <row r="252" spans="1:3" x14ac:dyDescent="0.3">
      <c r="A252" t="s">
        <v>38</v>
      </c>
      <c r="B252">
        <v>10</v>
      </c>
      <c r="C252">
        <v>7</v>
      </c>
    </row>
    <row r="253" spans="1:3" x14ac:dyDescent="0.3">
      <c r="A253" t="s">
        <v>38</v>
      </c>
      <c r="B253">
        <v>10</v>
      </c>
      <c r="C253">
        <v>15</v>
      </c>
    </row>
    <row r="254" spans="1:3" x14ac:dyDescent="0.3">
      <c r="A254" t="s">
        <v>41</v>
      </c>
      <c r="B254">
        <v>120</v>
      </c>
      <c r="C254">
        <v>15</v>
      </c>
    </row>
    <row r="255" spans="1:3" x14ac:dyDescent="0.3">
      <c r="A255" t="s">
        <v>41</v>
      </c>
      <c r="B255">
        <v>120</v>
      </c>
      <c r="C255">
        <v>15</v>
      </c>
    </row>
    <row r="256" spans="1:3" x14ac:dyDescent="0.3">
      <c r="A256" t="s">
        <v>41</v>
      </c>
      <c r="B256">
        <v>120</v>
      </c>
      <c r="C256">
        <v>125</v>
      </c>
    </row>
    <row r="257" spans="1:3" x14ac:dyDescent="0.3">
      <c r="A257" t="s">
        <v>41</v>
      </c>
      <c r="B257">
        <v>120</v>
      </c>
      <c r="C257">
        <v>350</v>
      </c>
    </row>
    <row r="258" spans="1:3" x14ac:dyDescent="0.3">
      <c r="A258" t="s">
        <v>41</v>
      </c>
      <c r="B258">
        <v>120</v>
      </c>
      <c r="C258">
        <v>20</v>
      </c>
    </row>
    <row r="259" spans="1:3" x14ac:dyDescent="0.3">
      <c r="A259" t="s">
        <v>41</v>
      </c>
      <c r="B259">
        <v>120</v>
      </c>
      <c r="C259">
        <v>20</v>
      </c>
    </row>
    <row r="260" spans="1:3" x14ac:dyDescent="0.3">
      <c r="A260" t="s">
        <v>41</v>
      </c>
      <c r="B260">
        <v>120</v>
      </c>
      <c r="C260">
        <v>125</v>
      </c>
    </row>
    <row r="261" spans="1:3" x14ac:dyDescent="0.3">
      <c r="A261" t="s">
        <v>41</v>
      </c>
      <c r="B261">
        <v>120</v>
      </c>
      <c r="C261">
        <v>125</v>
      </c>
    </row>
    <row r="262" spans="1:3" x14ac:dyDescent="0.3">
      <c r="A262" t="s">
        <v>41</v>
      </c>
      <c r="B262">
        <v>120</v>
      </c>
      <c r="C262">
        <v>20</v>
      </c>
    </row>
    <row r="263" spans="1:3" x14ac:dyDescent="0.3">
      <c r="A263" t="s">
        <v>41</v>
      </c>
      <c r="B263">
        <v>120</v>
      </c>
      <c r="C263">
        <v>300</v>
      </c>
    </row>
    <row r="264" spans="1:3" x14ac:dyDescent="0.3">
      <c r="A264" t="s">
        <v>42</v>
      </c>
      <c r="B264">
        <v>250</v>
      </c>
      <c r="C264">
        <v>20</v>
      </c>
    </row>
    <row r="265" spans="1:3" x14ac:dyDescent="0.3">
      <c r="A265" t="s">
        <v>42</v>
      </c>
      <c r="B265">
        <v>250</v>
      </c>
      <c r="C265">
        <v>20</v>
      </c>
    </row>
    <row r="266" spans="1:3" x14ac:dyDescent="0.3">
      <c r="A266" t="s">
        <v>42</v>
      </c>
      <c r="B266">
        <v>250</v>
      </c>
      <c r="C266">
        <v>20</v>
      </c>
    </row>
    <row r="267" spans="1:3" x14ac:dyDescent="0.3">
      <c r="A267" t="s">
        <v>42</v>
      </c>
      <c r="B267">
        <v>250</v>
      </c>
      <c r="C267">
        <v>20</v>
      </c>
    </row>
    <row r="268" spans="1:3" x14ac:dyDescent="0.3">
      <c r="A268" t="s">
        <v>42</v>
      </c>
      <c r="B268">
        <v>250</v>
      </c>
      <c r="C268">
        <v>7</v>
      </c>
    </row>
    <row r="269" spans="1:3" x14ac:dyDescent="0.3">
      <c r="A269" t="s">
        <v>42</v>
      </c>
      <c r="B269">
        <v>250</v>
      </c>
      <c r="C269">
        <v>7</v>
      </c>
    </row>
    <row r="270" spans="1:3" x14ac:dyDescent="0.3">
      <c r="A270" t="s">
        <v>44</v>
      </c>
      <c r="B270">
        <v>260</v>
      </c>
      <c r="C270">
        <v>350</v>
      </c>
    </row>
    <row r="271" spans="1:3" x14ac:dyDescent="0.3">
      <c r="A271" t="s">
        <v>44</v>
      </c>
      <c r="B271">
        <v>260</v>
      </c>
      <c r="C271">
        <v>350</v>
      </c>
    </row>
    <row r="272" spans="1:3" x14ac:dyDescent="0.3">
      <c r="A272" t="s">
        <v>44</v>
      </c>
      <c r="B272">
        <v>260</v>
      </c>
      <c r="C272">
        <v>350</v>
      </c>
    </row>
    <row r="273" spans="1:3" x14ac:dyDescent="0.3">
      <c r="A273" t="s">
        <v>44</v>
      </c>
      <c r="B273">
        <v>260</v>
      </c>
      <c r="C273">
        <v>300</v>
      </c>
    </row>
    <row r="274" spans="1:3" x14ac:dyDescent="0.3">
      <c r="A274" t="s">
        <v>38</v>
      </c>
      <c r="B274">
        <v>10</v>
      </c>
      <c r="C274">
        <v>15</v>
      </c>
    </row>
    <row r="275" spans="1:3" x14ac:dyDescent="0.3">
      <c r="A275" t="s">
        <v>19</v>
      </c>
      <c r="B275">
        <v>3</v>
      </c>
      <c r="C275">
        <v>20</v>
      </c>
    </row>
    <row r="276" spans="1:3" x14ac:dyDescent="0.3">
      <c r="A276" t="s">
        <v>19</v>
      </c>
      <c r="B276">
        <v>3</v>
      </c>
      <c r="C276">
        <v>15</v>
      </c>
    </row>
    <row r="277" spans="1:3" x14ac:dyDescent="0.3">
      <c r="A277" t="s">
        <v>19</v>
      </c>
      <c r="B277">
        <v>3</v>
      </c>
      <c r="C277">
        <v>12</v>
      </c>
    </row>
    <row r="278" spans="1:3" x14ac:dyDescent="0.3">
      <c r="A278" t="s">
        <v>19</v>
      </c>
      <c r="B278">
        <v>3</v>
      </c>
      <c r="C278">
        <v>12</v>
      </c>
    </row>
    <row r="279" spans="1:3" x14ac:dyDescent="0.3">
      <c r="A279" t="s">
        <v>19</v>
      </c>
      <c r="B279">
        <v>3</v>
      </c>
      <c r="C279">
        <v>15</v>
      </c>
    </row>
    <row r="280" spans="1:3" x14ac:dyDescent="0.3">
      <c r="A280" t="s">
        <v>19</v>
      </c>
      <c r="B280">
        <v>3</v>
      </c>
      <c r="C280">
        <v>7</v>
      </c>
    </row>
    <row r="281" spans="1:3" x14ac:dyDescent="0.3">
      <c r="A281" t="s">
        <v>19</v>
      </c>
      <c r="B281">
        <v>3</v>
      </c>
      <c r="C281">
        <v>125</v>
      </c>
    </row>
    <row r="282" spans="1:3" x14ac:dyDescent="0.3">
      <c r="A282" t="s">
        <v>28</v>
      </c>
      <c r="B282">
        <v>5</v>
      </c>
      <c r="C282">
        <v>350</v>
      </c>
    </row>
    <row r="283" spans="1:3" x14ac:dyDescent="0.3">
      <c r="A283" t="s">
        <v>28</v>
      </c>
      <c r="B283">
        <v>5</v>
      </c>
      <c r="C283">
        <v>350</v>
      </c>
    </row>
    <row r="284" spans="1:3" x14ac:dyDescent="0.3">
      <c r="A284" t="s">
        <v>28</v>
      </c>
      <c r="B284">
        <v>5</v>
      </c>
      <c r="C284">
        <v>7</v>
      </c>
    </row>
    <row r="285" spans="1:3" x14ac:dyDescent="0.3">
      <c r="A285" t="s">
        <v>28</v>
      </c>
      <c r="B285">
        <v>5</v>
      </c>
      <c r="C285">
        <v>12</v>
      </c>
    </row>
    <row r="286" spans="1:3" x14ac:dyDescent="0.3">
      <c r="A286" t="s">
        <v>38</v>
      </c>
      <c r="B286">
        <v>10</v>
      </c>
      <c r="C286">
        <v>350</v>
      </c>
    </row>
    <row r="287" spans="1:3" x14ac:dyDescent="0.3">
      <c r="A287" t="s">
        <v>38</v>
      </c>
      <c r="B287">
        <v>10</v>
      </c>
      <c r="C287">
        <v>12</v>
      </c>
    </row>
    <row r="288" spans="1:3" x14ac:dyDescent="0.3">
      <c r="A288" t="s">
        <v>38</v>
      </c>
      <c r="B288">
        <v>10</v>
      </c>
      <c r="C288">
        <v>350</v>
      </c>
    </row>
    <row r="289" spans="1:3" x14ac:dyDescent="0.3">
      <c r="A289" t="s">
        <v>41</v>
      </c>
      <c r="B289">
        <v>120</v>
      </c>
      <c r="C289">
        <v>125</v>
      </c>
    </row>
    <row r="290" spans="1:3" x14ac:dyDescent="0.3">
      <c r="A290" t="s">
        <v>41</v>
      </c>
      <c r="B290">
        <v>120</v>
      </c>
      <c r="C290">
        <v>125</v>
      </c>
    </row>
    <row r="291" spans="1:3" x14ac:dyDescent="0.3">
      <c r="A291" t="s">
        <v>41</v>
      </c>
      <c r="B291">
        <v>120</v>
      </c>
      <c r="C291">
        <v>15</v>
      </c>
    </row>
    <row r="292" spans="1:3" x14ac:dyDescent="0.3">
      <c r="A292" t="s">
        <v>41</v>
      </c>
      <c r="B292">
        <v>120</v>
      </c>
      <c r="C292">
        <v>350</v>
      </c>
    </row>
    <row r="293" spans="1:3" x14ac:dyDescent="0.3">
      <c r="A293" t="s">
        <v>41</v>
      </c>
      <c r="B293">
        <v>120</v>
      </c>
      <c r="C293">
        <v>7</v>
      </c>
    </row>
    <row r="294" spans="1:3" x14ac:dyDescent="0.3">
      <c r="A294" t="s">
        <v>41</v>
      </c>
      <c r="B294">
        <v>120</v>
      </c>
      <c r="C294">
        <v>300</v>
      </c>
    </row>
    <row r="295" spans="1:3" x14ac:dyDescent="0.3">
      <c r="A295" t="s">
        <v>41</v>
      </c>
      <c r="B295">
        <v>120</v>
      </c>
      <c r="C295">
        <v>350</v>
      </c>
    </row>
    <row r="296" spans="1:3" x14ac:dyDescent="0.3">
      <c r="A296" t="s">
        <v>42</v>
      </c>
      <c r="B296">
        <v>250</v>
      </c>
      <c r="C296">
        <v>15</v>
      </c>
    </row>
    <row r="297" spans="1:3" x14ac:dyDescent="0.3">
      <c r="A297" t="s">
        <v>42</v>
      </c>
      <c r="B297">
        <v>250</v>
      </c>
      <c r="C297">
        <v>7</v>
      </c>
    </row>
    <row r="298" spans="1:3" x14ac:dyDescent="0.3">
      <c r="A298" t="s">
        <v>42</v>
      </c>
      <c r="B298">
        <v>250</v>
      </c>
      <c r="C298">
        <v>300</v>
      </c>
    </row>
    <row r="299" spans="1:3" x14ac:dyDescent="0.3">
      <c r="A299" t="s">
        <v>42</v>
      </c>
      <c r="B299">
        <v>250</v>
      </c>
      <c r="C299">
        <v>20</v>
      </c>
    </row>
    <row r="300" spans="1:3" x14ac:dyDescent="0.3">
      <c r="A300" t="s">
        <v>42</v>
      </c>
      <c r="B300">
        <v>250</v>
      </c>
      <c r="C300">
        <v>300</v>
      </c>
    </row>
    <row r="301" spans="1:3" x14ac:dyDescent="0.3">
      <c r="A301" t="s">
        <v>44</v>
      </c>
      <c r="B301">
        <v>260</v>
      </c>
      <c r="C301">
        <v>125</v>
      </c>
    </row>
    <row r="302" spans="1:3" x14ac:dyDescent="0.3">
      <c r="A302" t="s">
        <v>44</v>
      </c>
      <c r="B302">
        <v>260</v>
      </c>
      <c r="C302">
        <v>350</v>
      </c>
    </row>
    <row r="303" spans="1:3" x14ac:dyDescent="0.3">
      <c r="A303" t="s">
        <v>44</v>
      </c>
      <c r="B303">
        <v>260</v>
      </c>
      <c r="C303">
        <v>350</v>
      </c>
    </row>
    <row r="304" spans="1:3" x14ac:dyDescent="0.3">
      <c r="A304" t="s">
        <v>44</v>
      </c>
      <c r="B304">
        <v>260</v>
      </c>
      <c r="C304">
        <v>7</v>
      </c>
    </row>
    <row r="305" spans="1:3" x14ac:dyDescent="0.3">
      <c r="A305" t="s">
        <v>44</v>
      </c>
      <c r="B305">
        <v>260</v>
      </c>
      <c r="C305">
        <v>350</v>
      </c>
    </row>
    <row r="306" spans="1:3" x14ac:dyDescent="0.3">
      <c r="A306" t="s">
        <v>28</v>
      </c>
      <c r="B306">
        <v>5</v>
      </c>
      <c r="C306">
        <v>20</v>
      </c>
    </row>
    <row r="307" spans="1:3" x14ac:dyDescent="0.3">
      <c r="A307" t="s">
        <v>38</v>
      </c>
      <c r="B307">
        <v>10</v>
      </c>
      <c r="C307">
        <v>15</v>
      </c>
    </row>
    <row r="308" spans="1:3" x14ac:dyDescent="0.3">
      <c r="A308" t="s">
        <v>38</v>
      </c>
      <c r="B308">
        <v>10</v>
      </c>
      <c r="C308">
        <v>15</v>
      </c>
    </row>
    <row r="309" spans="1:3" x14ac:dyDescent="0.3">
      <c r="A309" t="s">
        <v>38</v>
      </c>
      <c r="B309">
        <v>10</v>
      </c>
      <c r="C309">
        <v>15</v>
      </c>
    </row>
    <row r="310" spans="1:3" x14ac:dyDescent="0.3">
      <c r="A310" t="s">
        <v>38</v>
      </c>
      <c r="B310">
        <v>10</v>
      </c>
      <c r="C310">
        <v>20</v>
      </c>
    </row>
    <row r="311" spans="1:3" x14ac:dyDescent="0.3">
      <c r="A311" t="s">
        <v>41</v>
      </c>
      <c r="B311">
        <v>120</v>
      </c>
      <c r="C311">
        <v>20</v>
      </c>
    </row>
    <row r="312" spans="1:3" x14ac:dyDescent="0.3">
      <c r="A312" t="s">
        <v>41</v>
      </c>
      <c r="B312">
        <v>120</v>
      </c>
      <c r="C312">
        <v>7</v>
      </c>
    </row>
    <row r="313" spans="1:3" x14ac:dyDescent="0.3">
      <c r="A313" t="s">
        <v>42</v>
      </c>
      <c r="B313">
        <v>250</v>
      </c>
      <c r="C313">
        <v>15</v>
      </c>
    </row>
    <row r="314" spans="1:3" x14ac:dyDescent="0.3">
      <c r="A314" t="s">
        <v>19</v>
      </c>
      <c r="B314">
        <v>3</v>
      </c>
      <c r="C314">
        <v>12</v>
      </c>
    </row>
    <row r="315" spans="1:3" x14ac:dyDescent="0.3">
      <c r="A315" t="s">
        <v>19</v>
      </c>
      <c r="B315">
        <v>3</v>
      </c>
      <c r="C315">
        <v>12</v>
      </c>
    </row>
    <row r="316" spans="1:3" x14ac:dyDescent="0.3">
      <c r="A316" t="s">
        <v>19</v>
      </c>
      <c r="B316">
        <v>3</v>
      </c>
      <c r="C316">
        <v>20</v>
      </c>
    </row>
    <row r="317" spans="1:3" x14ac:dyDescent="0.3">
      <c r="A317" t="s">
        <v>28</v>
      </c>
      <c r="B317">
        <v>5</v>
      </c>
      <c r="C317">
        <v>12</v>
      </c>
    </row>
    <row r="318" spans="1:3" x14ac:dyDescent="0.3">
      <c r="A318" t="s">
        <v>28</v>
      </c>
      <c r="B318">
        <v>5</v>
      </c>
      <c r="C318">
        <v>12</v>
      </c>
    </row>
    <row r="319" spans="1:3" x14ac:dyDescent="0.3">
      <c r="A319" t="s">
        <v>38</v>
      </c>
      <c r="B319">
        <v>10</v>
      </c>
      <c r="C319">
        <v>7</v>
      </c>
    </row>
    <row r="320" spans="1:3" x14ac:dyDescent="0.3">
      <c r="A320" t="s">
        <v>41</v>
      </c>
      <c r="B320">
        <v>120</v>
      </c>
      <c r="C320">
        <v>15</v>
      </c>
    </row>
    <row r="321" spans="1:3" x14ac:dyDescent="0.3">
      <c r="A321" t="s">
        <v>41</v>
      </c>
      <c r="B321">
        <v>120</v>
      </c>
      <c r="C321">
        <v>7</v>
      </c>
    </row>
    <row r="322" spans="1:3" x14ac:dyDescent="0.3">
      <c r="A322" t="s">
        <v>41</v>
      </c>
      <c r="B322">
        <v>120</v>
      </c>
      <c r="C322">
        <v>7</v>
      </c>
    </row>
    <row r="323" spans="1:3" x14ac:dyDescent="0.3">
      <c r="A323" t="s">
        <v>41</v>
      </c>
      <c r="B323">
        <v>120</v>
      </c>
      <c r="C323">
        <v>7</v>
      </c>
    </row>
    <row r="324" spans="1:3" x14ac:dyDescent="0.3">
      <c r="A324" t="s">
        <v>42</v>
      </c>
      <c r="B324">
        <v>250</v>
      </c>
      <c r="C324">
        <v>12</v>
      </c>
    </row>
    <row r="325" spans="1:3" x14ac:dyDescent="0.3">
      <c r="A325" t="s">
        <v>42</v>
      </c>
      <c r="B325">
        <v>250</v>
      </c>
      <c r="C325">
        <v>12</v>
      </c>
    </row>
    <row r="326" spans="1:3" x14ac:dyDescent="0.3">
      <c r="A326" t="s">
        <v>42</v>
      </c>
      <c r="B326">
        <v>250</v>
      </c>
      <c r="C326">
        <v>7</v>
      </c>
    </row>
    <row r="327" spans="1:3" x14ac:dyDescent="0.3">
      <c r="A327" t="s">
        <v>44</v>
      </c>
      <c r="B327">
        <v>260</v>
      </c>
      <c r="C327">
        <v>7</v>
      </c>
    </row>
    <row r="328" spans="1:3" x14ac:dyDescent="0.3">
      <c r="A328" t="s">
        <v>19</v>
      </c>
      <c r="B328">
        <v>3</v>
      </c>
      <c r="C328">
        <v>350</v>
      </c>
    </row>
    <row r="329" spans="1:3" x14ac:dyDescent="0.3">
      <c r="A329" t="s">
        <v>19</v>
      </c>
      <c r="B329">
        <v>3</v>
      </c>
      <c r="C329">
        <v>300</v>
      </c>
    </row>
    <row r="330" spans="1:3" x14ac:dyDescent="0.3">
      <c r="A330" t="s">
        <v>19</v>
      </c>
      <c r="B330">
        <v>3</v>
      </c>
      <c r="C330">
        <v>300</v>
      </c>
    </row>
    <row r="331" spans="1:3" x14ac:dyDescent="0.3">
      <c r="A331" t="s">
        <v>28</v>
      </c>
      <c r="B331">
        <v>5</v>
      </c>
      <c r="C331">
        <v>20</v>
      </c>
    </row>
    <row r="332" spans="1:3" x14ac:dyDescent="0.3">
      <c r="A332" t="s">
        <v>28</v>
      </c>
      <c r="B332">
        <v>5</v>
      </c>
      <c r="C332">
        <v>300</v>
      </c>
    </row>
    <row r="333" spans="1:3" x14ac:dyDescent="0.3">
      <c r="A333" t="s">
        <v>28</v>
      </c>
      <c r="B333">
        <v>5</v>
      </c>
      <c r="C333">
        <v>125</v>
      </c>
    </row>
    <row r="334" spans="1:3" x14ac:dyDescent="0.3">
      <c r="A334" t="s">
        <v>38</v>
      </c>
      <c r="B334">
        <v>10</v>
      </c>
      <c r="C334">
        <v>300</v>
      </c>
    </row>
    <row r="335" spans="1:3" x14ac:dyDescent="0.3">
      <c r="A335" t="s">
        <v>38</v>
      </c>
      <c r="B335">
        <v>10</v>
      </c>
      <c r="C335">
        <v>300</v>
      </c>
    </row>
    <row r="336" spans="1:3" x14ac:dyDescent="0.3">
      <c r="A336" t="s">
        <v>38</v>
      </c>
      <c r="B336">
        <v>10</v>
      </c>
      <c r="C336">
        <v>125</v>
      </c>
    </row>
    <row r="337" spans="1:3" x14ac:dyDescent="0.3">
      <c r="A337" t="s">
        <v>38</v>
      </c>
      <c r="B337">
        <v>10</v>
      </c>
      <c r="C337">
        <v>15</v>
      </c>
    </row>
    <row r="338" spans="1:3" x14ac:dyDescent="0.3">
      <c r="A338" t="s">
        <v>38</v>
      </c>
      <c r="B338">
        <v>10</v>
      </c>
      <c r="C338">
        <v>15</v>
      </c>
    </row>
    <row r="339" spans="1:3" x14ac:dyDescent="0.3">
      <c r="A339" t="s">
        <v>38</v>
      </c>
      <c r="B339">
        <v>10</v>
      </c>
      <c r="C339">
        <v>20</v>
      </c>
    </row>
    <row r="340" spans="1:3" x14ac:dyDescent="0.3">
      <c r="A340" t="s">
        <v>38</v>
      </c>
      <c r="B340">
        <v>10</v>
      </c>
      <c r="C340">
        <v>300</v>
      </c>
    </row>
    <row r="341" spans="1:3" x14ac:dyDescent="0.3">
      <c r="A341" t="s">
        <v>38</v>
      </c>
      <c r="B341">
        <v>10</v>
      </c>
      <c r="C341">
        <v>300</v>
      </c>
    </row>
    <row r="342" spans="1:3" x14ac:dyDescent="0.3">
      <c r="A342" t="s">
        <v>38</v>
      </c>
      <c r="B342">
        <v>10</v>
      </c>
      <c r="C342">
        <v>12</v>
      </c>
    </row>
    <row r="343" spans="1:3" x14ac:dyDescent="0.3">
      <c r="A343" t="s">
        <v>38</v>
      </c>
      <c r="B343">
        <v>10</v>
      </c>
      <c r="C343">
        <v>7</v>
      </c>
    </row>
    <row r="344" spans="1:3" x14ac:dyDescent="0.3">
      <c r="A344" t="s">
        <v>41</v>
      </c>
      <c r="B344">
        <v>120</v>
      </c>
      <c r="C344">
        <v>300</v>
      </c>
    </row>
    <row r="345" spans="1:3" x14ac:dyDescent="0.3">
      <c r="A345" t="s">
        <v>41</v>
      </c>
      <c r="B345">
        <v>120</v>
      </c>
      <c r="C345">
        <v>20</v>
      </c>
    </row>
    <row r="346" spans="1:3" x14ac:dyDescent="0.3">
      <c r="A346" t="s">
        <v>41</v>
      </c>
      <c r="B346">
        <v>120</v>
      </c>
      <c r="C346">
        <v>125</v>
      </c>
    </row>
    <row r="347" spans="1:3" x14ac:dyDescent="0.3">
      <c r="A347" t="s">
        <v>41</v>
      </c>
      <c r="B347">
        <v>120</v>
      </c>
      <c r="C347">
        <v>20</v>
      </c>
    </row>
    <row r="348" spans="1:3" x14ac:dyDescent="0.3">
      <c r="A348" t="s">
        <v>41</v>
      </c>
      <c r="B348">
        <v>120</v>
      </c>
      <c r="C348">
        <v>20</v>
      </c>
    </row>
    <row r="349" spans="1:3" x14ac:dyDescent="0.3">
      <c r="A349" t="s">
        <v>41</v>
      </c>
      <c r="B349">
        <v>120</v>
      </c>
      <c r="C349">
        <v>300</v>
      </c>
    </row>
    <row r="350" spans="1:3" x14ac:dyDescent="0.3">
      <c r="A350" t="s">
        <v>41</v>
      </c>
      <c r="B350">
        <v>120</v>
      </c>
      <c r="C350">
        <v>20</v>
      </c>
    </row>
    <row r="351" spans="1:3" x14ac:dyDescent="0.3">
      <c r="A351" t="s">
        <v>42</v>
      </c>
      <c r="B351">
        <v>250</v>
      </c>
      <c r="C351">
        <v>12</v>
      </c>
    </row>
    <row r="352" spans="1:3" x14ac:dyDescent="0.3">
      <c r="A352" t="s">
        <v>42</v>
      </c>
      <c r="B352">
        <v>250</v>
      </c>
      <c r="C352">
        <v>300</v>
      </c>
    </row>
    <row r="353" spans="1:3" x14ac:dyDescent="0.3">
      <c r="A353" t="s">
        <v>42</v>
      </c>
      <c r="B353">
        <v>250</v>
      </c>
      <c r="C353">
        <v>300</v>
      </c>
    </row>
    <row r="354" spans="1:3" x14ac:dyDescent="0.3">
      <c r="A354" t="s">
        <v>44</v>
      </c>
      <c r="B354">
        <v>260</v>
      </c>
      <c r="C354">
        <v>125</v>
      </c>
    </row>
    <row r="355" spans="1:3" x14ac:dyDescent="0.3">
      <c r="A355" t="s">
        <v>44</v>
      </c>
      <c r="B355">
        <v>260</v>
      </c>
      <c r="C355">
        <v>350</v>
      </c>
    </row>
    <row r="356" spans="1:3" x14ac:dyDescent="0.3">
      <c r="A356" t="s">
        <v>44</v>
      </c>
      <c r="B356">
        <v>260</v>
      </c>
      <c r="C356">
        <v>125</v>
      </c>
    </row>
    <row r="357" spans="1:3" x14ac:dyDescent="0.3">
      <c r="A357" t="s">
        <v>44</v>
      </c>
      <c r="B357">
        <v>260</v>
      </c>
      <c r="C357">
        <v>20</v>
      </c>
    </row>
    <row r="358" spans="1:3" x14ac:dyDescent="0.3">
      <c r="A358" t="s">
        <v>44</v>
      </c>
      <c r="B358">
        <v>260</v>
      </c>
      <c r="C358">
        <v>300</v>
      </c>
    </row>
    <row r="359" spans="1:3" x14ac:dyDescent="0.3">
      <c r="A359" t="s">
        <v>28</v>
      </c>
      <c r="B359">
        <v>5</v>
      </c>
      <c r="C359">
        <v>7</v>
      </c>
    </row>
    <row r="360" spans="1:3" x14ac:dyDescent="0.3">
      <c r="A360" t="s">
        <v>28</v>
      </c>
      <c r="B360">
        <v>5</v>
      </c>
      <c r="C360">
        <v>20</v>
      </c>
    </row>
    <row r="361" spans="1:3" x14ac:dyDescent="0.3">
      <c r="A361" t="s">
        <v>38</v>
      </c>
      <c r="B361">
        <v>10</v>
      </c>
      <c r="C361">
        <v>7</v>
      </c>
    </row>
    <row r="362" spans="1:3" x14ac:dyDescent="0.3">
      <c r="A362" t="s">
        <v>44</v>
      </c>
      <c r="B362">
        <v>260</v>
      </c>
      <c r="C362">
        <v>20</v>
      </c>
    </row>
    <row r="363" spans="1:3" x14ac:dyDescent="0.3">
      <c r="A363" t="s">
        <v>19</v>
      </c>
      <c r="B363">
        <v>3</v>
      </c>
      <c r="C363">
        <v>125</v>
      </c>
    </row>
    <row r="364" spans="1:3" x14ac:dyDescent="0.3">
      <c r="A364" t="s">
        <v>19</v>
      </c>
      <c r="B364">
        <v>3</v>
      </c>
      <c r="C364">
        <v>15</v>
      </c>
    </row>
    <row r="365" spans="1:3" x14ac:dyDescent="0.3">
      <c r="A365" t="s">
        <v>19</v>
      </c>
      <c r="B365">
        <v>3</v>
      </c>
      <c r="C365">
        <v>350</v>
      </c>
    </row>
    <row r="366" spans="1:3" x14ac:dyDescent="0.3">
      <c r="A366" t="s">
        <v>28</v>
      </c>
      <c r="B366">
        <v>5</v>
      </c>
      <c r="C366">
        <v>15</v>
      </c>
    </row>
    <row r="367" spans="1:3" x14ac:dyDescent="0.3">
      <c r="A367" t="s">
        <v>28</v>
      </c>
      <c r="B367">
        <v>5</v>
      </c>
      <c r="C367">
        <v>20</v>
      </c>
    </row>
    <row r="368" spans="1:3" x14ac:dyDescent="0.3">
      <c r="A368" t="s">
        <v>28</v>
      </c>
      <c r="B368">
        <v>5</v>
      </c>
      <c r="C368">
        <v>20</v>
      </c>
    </row>
    <row r="369" spans="1:3" x14ac:dyDescent="0.3">
      <c r="A369" t="s">
        <v>28</v>
      </c>
      <c r="B369">
        <v>5</v>
      </c>
      <c r="C369">
        <v>300</v>
      </c>
    </row>
    <row r="370" spans="1:3" x14ac:dyDescent="0.3">
      <c r="A370" t="s">
        <v>28</v>
      </c>
      <c r="B370">
        <v>5</v>
      </c>
      <c r="C370">
        <v>300</v>
      </c>
    </row>
    <row r="371" spans="1:3" x14ac:dyDescent="0.3">
      <c r="A371" t="s">
        <v>28</v>
      </c>
      <c r="B371">
        <v>5</v>
      </c>
      <c r="C371">
        <v>15</v>
      </c>
    </row>
    <row r="372" spans="1:3" x14ac:dyDescent="0.3">
      <c r="A372" t="s">
        <v>38</v>
      </c>
      <c r="B372">
        <v>10</v>
      </c>
      <c r="C372">
        <v>125</v>
      </c>
    </row>
    <row r="373" spans="1:3" x14ac:dyDescent="0.3">
      <c r="A373" t="s">
        <v>38</v>
      </c>
      <c r="B373">
        <v>10</v>
      </c>
      <c r="C373">
        <v>7</v>
      </c>
    </row>
    <row r="374" spans="1:3" x14ac:dyDescent="0.3">
      <c r="A374" t="s">
        <v>38</v>
      </c>
      <c r="B374">
        <v>10</v>
      </c>
      <c r="C374">
        <v>7</v>
      </c>
    </row>
    <row r="375" spans="1:3" x14ac:dyDescent="0.3">
      <c r="A375" t="s">
        <v>38</v>
      </c>
      <c r="B375">
        <v>10</v>
      </c>
      <c r="C375">
        <v>20</v>
      </c>
    </row>
    <row r="376" spans="1:3" x14ac:dyDescent="0.3">
      <c r="A376" t="s">
        <v>38</v>
      </c>
      <c r="B376">
        <v>10</v>
      </c>
      <c r="C376">
        <v>300</v>
      </c>
    </row>
    <row r="377" spans="1:3" x14ac:dyDescent="0.3">
      <c r="A377" t="s">
        <v>38</v>
      </c>
      <c r="B377">
        <v>10</v>
      </c>
      <c r="C377">
        <v>7</v>
      </c>
    </row>
    <row r="378" spans="1:3" x14ac:dyDescent="0.3">
      <c r="A378" t="s">
        <v>38</v>
      </c>
      <c r="B378">
        <v>10</v>
      </c>
      <c r="C378">
        <v>7</v>
      </c>
    </row>
    <row r="379" spans="1:3" x14ac:dyDescent="0.3">
      <c r="A379" t="s">
        <v>38</v>
      </c>
      <c r="B379">
        <v>10</v>
      </c>
      <c r="C379">
        <v>7</v>
      </c>
    </row>
    <row r="380" spans="1:3" x14ac:dyDescent="0.3">
      <c r="A380" t="s">
        <v>38</v>
      </c>
      <c r="B380">
        <v>10</v>
      </c>
      <c r="C380">
        <v>20</v>
      </c>
    </row>
    <row r="381" spans="1:3" x14ac:dyDescent="0.3">
      <c r="A381" t="s">
        <v>38</v>
      </c>
      <c r="B381">
        <v>10</v>
      </c>
      <c r="C381">
        <v>20</v>
      </c>
    </row>
    <row r="382" spans="1:3" x14ac:dyDescent="0.3">
      <c r="A382" t="s">
        <v>38</v>
      </c>
      <c r="B382">
        <v>10</v>
      </c>
      <c r="C382">
        <v>350</v>
      </c>
    </row>
    <row r="383" spans="1:3" x14ac:dyDescent="0.3">
      <c r="A383" t="s">
        <v>38</v>
      </c>
      <c r="B383">
        <v>10</v>
      </c>
      <c r="C383">
        <v>7</v>
      </c>
    </row>
    <row r="384" spans="1:3" x14ac:dyDescent="0.3">
      <c r="A384" t="s">
        <v>38</v>
      </c>
      <c r="B384">
        <v>10</v>
      </c>
      <c r="C384">
        <v>350</v>
      </c>
    </row>
    <row r="385" spans="1:3" x14ac:dyDescent="0.3">
      <c r="A385" t="s">
        <v>41</v>
      </c>
      <c r="B385">
        <v>120</v>
      </c>
      <c r="C385">
        <v>12</v>
      </c>
    </row>
    <row r="386" spans="1:3" x14ac:dyDescent="0.3">
      <c r="A386" t="s">
        <v>41</v>
      </c>
      <c r="B386">
        <v>120</v>
      </c>
      <c r="C386">
        <v>7</v>
      </c>
    </row>
    <row r="387" spans="1:3" x14ac:dyDescent="0.3">
      <c r="A387" t="s">
        <v>41</v>
      </c>
      <c r="B387">
        <v>120</v>
      </c>
      <c r="C387">
        <v>7</v>
      </c>
    </row>
    <row r="388" spans="1:3" x14ac:dyDescent="0.3">
      <c r="A388" t="s">
        <v>41</v>
      </c>
      <c r="B388">
        <v>120</v>
      </c>
      <c r="C388">
        <v>300</v>
      </c>
    </row>
    <row r="389" spans="1:3" x14ac:dyDescent="0.3">
      <c r="A389" t="s">
        <v>41</v>
      </c>
      <c r="B389">
        <v>120</v>
      </c>
      <c r="C389">
        <v>300</v>
      </c>
    </row>
    <row r="390" spans="1:3" x14ac:dyDescent="0.3">
      <c r="A390" t="s">
        <v>42</v>
      </c>
      <c r="B390">
        <v>250</v>
      </c>
      <c r="C390">
        <v>350</v>
      </c>
    </row>
    <row r="391" spans="1:3" x14ac:dyDescent="0.3">
      <c r="A391" t="s">
        <v>42</v>
      </c>
      <c r="B391">
        <v>250</v>
      </c>
      <c r="C391">
        <v>7</v>
      </c>
    </row>
    <row r="392" spans="1:3" x14ac:dyDescent="0.3">
      <c r="A392" t="s">
        <v>42</v>
      </c>
      <c r="B392">
        <v>250</v>
      </c>
      <c r="C392">
        <v>350</v>
      </c>
    </row>
    <row r="393" spans="1:3" x14ac:dyDescent="0.3">
      <c r="A393" t="s">
        <v>42</v>
      </c>
      <c r="B393">
        <v>250</v>
      </c>
      <c r="C393">
        <v>350</v>
      </c>
    </row>
    <row r="394" spans="1:3" x14ac:dyDescent="0.3">
      <c r="A394" t="s">
        <v>42</v>
      </c>
      <c r="B394">
        <v>250</v>
      </c>
      <c r="C394">
        <v>300</v>
      </c>
    </row>
    <row r="395" spans="1:3" x14ac:dyDescent="0.3">
      <c r="A395" t="s">
        <v>42</v>
      </c>
      <c r="B395">
        <v>250</v>
      </c>
      <c r="C395">
        <v>300</v>
      </c>
    </row>
    <row r="396" spans="1:3" x14ac:dyDescent="0.3">
      <c r="A396" t="s">
        <v>44</v>
      </c>
      <c r="B396">
        <v>260</v>
      </c>
      <c r="C396">
        <v>20</v>
      </c>
    </row>
    <row r="397" spans="1:3" x14ac:dyDescent="0.3">
      <c r="A397" t="s">
        <v>44</v>
      </c>
      <c r="B397">
        <v>260</v>
      </c>
      <c r="C397">
        <v>7</v>
      </c>
    </row>
    <row r="398" spans="1:3" x14ac:dyDescent="0.3">
      <c r="A398" t="s">
        <v>44</v>
      </c>
      <c r="B398">
        <v>260</v>
      </c>
      <c r="C398">
        <v>20</v>
      </c>
    </row>
    <row r="399" spans="1:3" x14ac:dyDescent="0.3">
      <c r="A399" t="s">
        <v>44</v>
      </c>
      <c r="B399">
        <v>260</v>
      </c>
      <c r="C399">
        <v>300</v>
      </c>
    </row>
    <row r="400" spans="1:3" x14ac:dyDescent="0.3">
      <c r="A400" t="s">
        <v>44</v>
      </c>
      <c r="B400">
        <v>260</v>
      </c>
      <c r="C400">
        <v>20</v>
      </c>
    </row>
    <row r="401" spans="1:3" x14ac:dyDescent="0.3">
      <c r="A401" t="s">
        <v>44</v>
      </c>
      <c r="B401">
        <v>260</v>
      </c>
      <c r="C401">
        <v>15</v>
      </c>
    </row>
    <row r="402" spans="1:3" x14ac:dyDescent="0.3">
      <c r="A402" t="s">
        <v>44</v>
      </c>
      <c r="B402">
        <v>260</v>
      </c>
      <c r="C402">
        <v>12</v>
      </c>
    </row>
    <row r="403" spans="1:3" x14ac:dyDescent="0.3">
      <c r="A403" t="s">
        <v>44</v>
      </c>
      <c r="B403">
        <v>260</v>
      </c>
      <c r="C403">
        <v>300</v>
      </c>
    </row>
    <row r="404" spans="1:3" x14ac:dyDescent="0.3">
      <c r="A404" t="s">
        <v>42</v>
      </c>
      <c r="B404">
        <v>250</v>
      </c>
      <c r="C404">
        <v>20</v>
      </c>
    </row>
    <row r="405" spans="1:3" x14ac:dyDescent="0.3">
      <c r="A405" t="s">
        <v>19</v>
      </c>
      <c r="B405">
        <v>3</v>
      </c>
      <c r="C405">
        <v>300</v>
      </c>
    </row>
    <row r="406" spans="1:3" x14ac:dyDescent="0.3">
      <c r="A406" t="s">
        <v>19</v>
      </c>
      <c r="B406">
        <v>3</v>
      </c>
      <c r="C406">
        <v>12</v>
      </c>
    </row>
    <row r="407" spans="1:3" x14ac:dyDescent="0.3">
      <c r="A407" t="s">
        <v>28</v>
      </c>
      <c r="B407">
        <v>5</v>
      </c>
      <c r="C407">
        <v>300</v>
      </c>
    </row>
    <row r="408" spans="1:3" x14ac:dyDescent="0.3">
      <c r="A408" t="s">
        <v>28</v>
      </c>
      <c r="B408">
        <v>5</v>
      </c>
      <c r="C408">
        <v>350</v>
      </c>
    </row>
    <row r="409" spans="1:3" x14ac:dyDescent="0.3">
      <c r="A409" t="s">
        <v>28</v>
      </c>
      <c r="B409">
        <v>5</v>
      </c>
      <c r="C409">
        <v>300</v>
      </c>
    </row>
    <row r="410" spans="1:3" x14ac:dyDescent="0.3">
      <c r="A410" t="s">
        <v>28</v>
      </c>
      <c r="B410">
        <v>5</v>
      </c>
      <c r="C410">
        <v>12</v>
      </c>
    </row>
    <row r="411" spans="1:3" x14ac:dyDescent="0.3">
      <c r="A411" t="s">
        <v>28</v>
      </c>
      <c r="B411">
        <v>5</v>
      </c>
      <c r="C411">
        <v>125</v>
      </c>
    </row>
    <row r="412" spans="1:3" x14ac:dyDescent="0.3">
      <c r="A412" t="s">
        <v>28</v>
      </c>
      <c r="B412">
        <v>5</v>
      </c>
      <c r="C412">
        <v>7</v>
      </c>
    </row>
    <row r="413" spans="1:3" x14ac:dyDescent="0.3">
      <c r="A413" t="s">
        <v>28</v>
      </c>
      <c r="B413">
        <v>5</v>
      </c>
      <c r="C413">
        <v>125</v>
      </c>
    </row>
    <row r="414" spans="1:3" x14ac:dyDescent="0.3">
      <c r="A414" t="s">
        <v>28</v>
      </c>
      <c r="B414">
        <v>5</v>
      </c>
      <c r="C414">
        <v>300</v>
      </c>
    </row>
    <row r="415" spans="1:3" x14ac:dyDescent="0.3">
      <c r="A415" t="s">
        <v>38</v>
      </c>
      <c r="B415">
        <v>10</v>
      </c>
      <c r="C415">
        <v>300</v>
      </c>
    </row>
    <row r="416" spans="1:3" x14ac:dyDescent="0.3">
      <c r="A416" t="s">
        <v>38</v>
      </c>
      <c r="B416">
        <v>10</v>
      </c>
      <c r="C416">
        <v>350</v>
      </c>
    </row>
    <row r="417" spans="1:3" x14ac:dyDescent="0.3">
      <c r="A417" t="s">
        <v>38</v>
      </c>
      <c r="B417">
        <v>10</v>
      </c>
      <c r="C417">
        <v>15</v>
      </c>
    </row>
    <row r="418" spans="1:3" x14ac:dyDescent="0.3">
      <c r="A418" t="s">
        <v>38</v>
      </c>
      <c r="B418">
        <v>10</v>
      </c>
      <c r="C418">
        <v>300</v>
      </c>
    </row>
    <row r="419" spans="1:3" x14ac:dyDescent="0.3">
      <c r="A419" t="s">
        <v>38</v>
      </c>
      <c r="B419">
        <v>10</v>
      </c>
      <c r="C419">
        <v>15</v>
      </c>
    </row>
    <row r="420" spans="1:3" x14ac:dyDescent="0.3">
      <c r="A420" t="s">
        <v>38</v>
      </c>
      <c r="B420">
        <v>10</v>
      </c>
      <c r="C420">
        <v>12</v>
      </c>
    </row>
    <row r="421" spans="1:3" x14ac:dyDescent="0.3">
      <c r="A421" t="s">
        <v>38</v>
      </c>
      <c r="B421">
        <v>10</v>
      </c>
      <c r="C421">
        <v>300</v>
      </c>
    </row>
    <row r="422" spans="1:3" x14ac:dyDescent="0.3">
      <c r="A422" t="s">
        <v>38</v>
      </c>
      <c r="B422">
        <v>10</v>
      </c>
      <c r="C422">
        <v>12</v>
      </c>
    </row>
    <row r="423" spans="1:3" x14ac:dyDescent="0.3">
      <c r="A423" t="s">
        <v>38</v>
      </c>
      <c r="B423">
        <v>10</v>
      </c>
      <c r="C423">
        <v>125</v>
      </c>
    </row>
    <row r="424" spans="1:3" x14ac:dyDescent="0.3">
      <c r="A424" t="s">
        <v>41</v>
      </c>
      <c r="B424">
        <v>120</v>
      </c>
      <c r="C424">
        <v>15</v>
      </c>
    </row>
    <row r="425" spans="1:3" x14ac:dyDescent="0.3">
      <c r="A425" t="s">
        <v>41</v>
      </c>
      <c r="B425">
        <v>120</v>
      </c>
      <c r="C425">
        <v>300</v>
      </c>
    </row>
    <row r="426" spans="1:3" x14ac:dyDescent="0.3">
      <c r="A426" t="s">
        <v>41</v>
      </c>
      <c r="B426">
        <v>120</v>
      </c>
      <c r="C426">
        <v>350</v>
      </c>
    </row>
    <row r="427" spans="1:3" x14ac:dyDescent="0.3">
      <c r="A427" t="s">
        <v>41</v>
      </c>
      <c r="B427">
        <v>120</v>
      </c>
      <c r="C427">
        <v>125</v>
      </c>
    </row>
    <row r="428" spans="1:3" x14ac:dyDescent="0.3">
      <c r="A428" t="s">
        <v>41</v>
      </c>
      <c r="B428">
        <v>120</v>
      </c>
      <c r="C428">
        <v>125</v>
      </c>
    </row>
    <row r="429" spans="1:3" x14ac:dyDescent="0.3">
      <c r="A429" t="s">
        <v>41</v>
      </c>
      <c r="B429">
        <v>120</v>
      </c>
      <c r="C429">
        <v>350</v>
      </c>
    </row>
    <row r="430" spans="1:3" x14ac:dyDescent="0.3">
      <c r="A430" t="s">
        <v>42</v>
      </c>
      <c r="B430">
        <v>250</v>
      </c>
      <c r="C430">
        <v>12</v>
      </c>
    </row>
    <row r="431" spans="1:3" x14ac:dyDescent="0.3">
      <c r="A431" t="s">
        <v>42</v>
      </c>
      <c r="B431">
        <v>250</v>
      </c>
      <c r="C431">
        <v>300</v>
      </c>
    </row>
    <row r="432" spans="1:3" x14ac:dyDescent="0.3">
      <c r="A432" t="s">
        <v>42</v>
      </c>
      <c r="B432">
        <v>250</v>
      </c>
      <c r="C432">
        <v>350</v>
      </c>
    </row>
    <row r="433" spans="1:3" x14ac:dyDescent="0.3">
      <c r="A433" t="s">
        <v>42</v>
      </c>
      <c r="B433">
        <v>250</v>
      </c>
      <c r="C433">
        <v>12</v>
      </c>
    </row>
    <row r="434" spans="1:3" x14ac:dyDescent="0.3">
      <c r="A434" t="s">
        <v>42</v>
      </c>
      <c r="B434">
        <v>250</v>
      </c>
      <c r="C434">
        <v>300</v>
      </c>
    </row>
    <row r="435" spans="1:3" x14ac:dyDescent="0.3">
      <c r="A435" t="s">
        <v>42</v>
      </c>
      <c r="B435">
        <v>250</v>
      </c>
      <c r="C435">
        <v>12</v>
      </c>
    </row>
    <row r="436" spans="1:3" x14ac:dyDescent="0.3">
      <c r="A436" t="s">
        <v>42</v>
      </c>
      <c r="B436">
        <v>250</v>
      </c>
      <c r="C436">
        <v>15</v>
      </c>
    </row>
    <row r="437" spans="1:3" x14ac:dyDescent="0.3">
      <c r="A437" t="s">
        <v>42</v>
      </c>
      <c r="B437">
        <v>250</v>
      </c>
      <c r="C437">
        <v>125</v>
      </c>
    </row>
    <row r="438" spans="1:3" x14ac:dyDescent="0.3">
      <c r="A438" t="s">
        <v>44</v>
      </c>
      <c r="B438">
        <v>260</v>
      </c>
      <c r="C438">
        <v>350</v>
      </c>
    </row>
    <row r="439" spans="1:3" x14ac:dyDescent="0.3">
      <c r="A439" t="s">
        <v>44</v>
      </c>
      <c r="B439">
        <v>260</v>
      </c>
      <c r="C439">
        <v>350</v>
      </c>
    </row>
    <row r="440" spans="1:3" x14ac:dyDescent="0.3">
      <c r="A440" t="s">
        <v>44</v>
      </c>
      <c r="B440">
        <v>260</v>
      </c>
      <c r="C440">
        <v>15</v>
      </c>
    </row>
    <row r="441" spans="1:3" x14ac:dyDescent="0.3">
      <c r="A441" t="s">
        <v>44</v>
      </c>
      <c r="B441">
        <v>260</v>
      </c>
      <c r="C441">
        <v>20</v>
      </c>
    </row>
    <row r="442" spans="1:3" x14ac:dyDescent="0.3">
      <c r="A442" t="s">
        <v>19</v>
      </c>
      <c r="B442">
        <v>3</v>
      </c>
      <c r="C442">
        <v>20</v>
      </c>
    </row>
    <row r="443" spans="1:3" x14ac:dyDescent="0.3">
      <c r="A443" t="s">
        <v>19</v>
      </c>
      <c r="B443">
        <v>3</v>
      </c>
      <c r="C443">
        <v>7</v>
      </c>
    </row>
    <row r="444" spans="1:3" x14ac:dyDescent="0.3">
      <c r="A444" t="s">
        <v>19</v>
      </c>
      <c r="B444">
        <v>3</v>
      </c>
      <c r="C444">
        <v>12</v>
      </c>
    </row>
    <row r="445" spans="1:3" x14ac:dyDescent="0.3">
      <c r="A445" t="s">
        <v>19</v>
      </c>
      <c r="B445">
        <v>3</v>
      </c>
      <c r="C445">
        <v>7</v>
      </c>
    </row>
    <row r="446" spans="1:3" x14ac:dyDescent="0.3">
      <c r="A446" t="s">
        <v>38</v>
      </c>
      <c r="B446">
        <v>10</v>
      </c>
      <c r="C446">
        <v>20</v>
      </c>
    </row>
    <row r="447" spans="1:3" x14ac:dyDescent="0.3">
      <c r="A447" t="s">
        <v>38</v>
      </c>
      <c r="B447">
        <v>10</v>
      </c>
      <c r="C447">
        <v>20</v>
      </c>
    </row>
    <row r="448" spans="1:3" x14ac:dyDescent="0.3">
      <c r="A448" t="s">
        <v>38</v>
      </c>
      <c r="B448">
        <v>10</v>
      </c>
      <c r="C448">
        <v>7</v>
      </c>
    </row>
    <row r="449" spans="1:3" x14ac:dyDescent="0.3">
      <c r="A449" t="s">
        <v>41</v>
      </c>
      <c r="B449">
        <v>120</v>
      </c>
      <c r="C449">
        <v>12</v>
      </c>
    </row>
    <row r="450" spans="1:3" x14ac:dyDescent="0.3">
      <c r="A450" t="s">
        <v>41</v>
      </c>
      <c r="B450">
        <v>120</v>
      </c>
      <c r="C450">
        <v>15</v>
      </c>
    </row>
    <row r="451" spans="1:3" x14ac:dyDescent="0.3">
      <c r="A451" t="s">
        <v>42</v>
      </c>
      <c r="B451">
        <v>250</v>
      </c>
      <c r="C451">
        <v>7</v>
      </c>
    </row>
    <row r="452" spans="1:3" x14ac:dyDescent="0.3">
      <c r="A452" t="s">
        <v>42</v>
      </c>
      <c r="B452">
        <v>250</v>
      </c>
      <c r="C452">
        <v>20</v>
      </c>
    </row>
    <row r="453" spans="1:3" x14ac:dyDescent="0.3">
      <c r="A453" t="s">
        <v>42</v>
      </c>
      <c r="B453">
        <v>250</v>
      </c>
      <c r="C453">
        <v>7</v>
      </c>
    </row>
    <row r="454" spans="1:3" x14ac:dyDescent="0.3">
      <c r="A454" t="s">
        <v>44</v>
      </c>
      <c r="B454">
        <v>260</v>
      </c>
      <c r="C454">
        <v>20</v>
      </c>
    </row>
    <row r="455" spans="1:3" x14ac:dyDescent="0.3">
      <c r="A455" t="s">
        <v>44</v>
      </c>
      <c r="B455">
        <v>260</v>
      </c>
      <c r="C455">
        <v>15</v>
      </c>
    </row>
    <row r="456" spans="1:3" x14ac:dyDescent="0.3">
      <c r="A456" t="s">
        <v>44</v>
      </c>
      <c r="B456">
        <v>260</v>
      </c>
      <c r="C456">
        <v>12</v>
      </c>
    </row>
    <row r="457" spans="1:3" x14ac:dyDescent="0.3">
      <c r="A457" t="s">
        <v>19</v>
      </c>
      <c r="B457">
        <v>3</v>
      </c>
      <c r="C457">
        <v>12</v>
      </c>
    </row>
    <row r="458" spans="1:3" x14ac:dyDescent="0.3">
      <c r="A458" t="s">
        <v>28</v>
      </c>
      <c r="B458">
        <v>5</v>
      </c>
      <c r="C458">
        <v>7</v>
      </c>
    </row>
    <row r="459" spans="1:3" x14ac:dyDescent="0.3">
      <c r="A459" t="s">
        <v>38</v>
      </c>
      <c r="B459">
        <v>10</v>
      </c>
      <c r="C459">
        <v>12</v>
      </c>
    </row>
    <row r="460" spans="1:3" x14ac:dyDescent="0.3">
      <c r="A460" t="s">
        <v>19</v>
      </c>
      <c r="B460">
        <v>3</v>
      </c>
      <c r="C460">
        <v>125</v>
      </c>
    </row>
    <row r="461" spans="1:3" x14ac:dyDescent="0.3">
      <c r="A461" t="s">
        <v>19</v>
      </c>
      <c r="B461">
        <v>3</v>
      </c>
      <c r="C461">
        <v>125</v>
      </c>
    </row>
    <row r="462" spans="1:3" x14ac:dyDescent="0.3">
      <c r="A462" t="s">
        <v>28</v>
      </c>
      <c r="B462">
        <v>5</v>
      </c>
      <c r="C462">
        <v>350</v>
      </c>
    </row>
    <row r="463" spans="1:3" x14ac:dyDescent="0.3">
      <c r="A463" t="s">
        <v>28</v>
      </c>
      <c r="B463">
        <v>5</v>
      </c>
      <c r="C463">
        <v>125</v>
      </c>
    </row>
    <row r="464" spans="1:3" x14ac:dyDescent="0.3">
      <c r="A464" t="s">
        <v>28</v>
      </c>
      <c r="B464">
        <v>5</v>
      </c>
      <c r="C464">
        <v>15</v>
      </c>
    </row>
    <row r="465" spans="1:3" x14ac:dyDescent="0.3">
      <c r="A465" t="s">
        <v>38</v>
      </c>
      <c r="B465">
        <v>10</v>
      </c>
      <c r="C465">
        <v>20</v>
      </c>
    </row>
    <row r="466" spans="1:3" x14ac:dyDescent="0.3">
      <c r="A466" t="s">
        <v>38</v>
      </c>
      <c r="B466">
        <v>10</v>
      </c>
      <c r="C466">
        <v>300</v>
      </c>
    </row>
    <row r="467" spans="1:3" x14ac:dyDescent="0.3">
      <c r="A467" t="s">
        <v>38</v>
      </c>
      <c r="B467">
        <v>10</v>
      </c>
      <c r="C467">
        <v>15</v>
      </c>
    </row>
    <row r="468" spans="1:3" x14ac:dyDescent="0.3">
      <c r="A468" t="s">
        <v>38</v>
      </c>
      <c r="B468">
        <v>10</v>
      </c>
      <c r="C468">
        <v>20</v>
      </c>
    </row>
    <row r="469" spans="1:3" x14ac:dyDescent="0.3">
      <c r="A469" t="s">
        <v>41</v>
      </c>
      <c r="B469">
        <v>120</v>
      </c>
      <c r="C469">
        <v>15</v>
      </c>
    </row>
    <row r="470" spans="1:3" x14ac:dyDescent="0.3">
      <c r="A470" t="s">
        <v>41</v>
      </c>
      <c r="B470">
        <v>120</v>
      </c>
      <c r="C470">
        <v>15</v>
      </c>
    </row>
    <row r="471" spans="1:3" x14ac:dyDescent="0.3">
      <c r="A471" t="s">
        <v>41</v>
      </c>
      <c r="B471">
        <v>120</v>
      </c>
      <c r="C471">
        <v>15</v>
      </c>
    </row>
    <row r="472" spans="1:3" x14ac:dyDescent="0.3">
      <c r="A472" t="s">
        <v>41</v>
      </c>
      <c r="B472">
        <v>120</v>
      </c>
      <c r="C472">
        <v>350</v>
      </c>
    </row>
    <row r="473" spans="1:3" x14ac:dyDescent="0.3">
      <c r="A473" t="s">
        <v>41</v>
      </c>
      <c r="B473">
        <v>120</v>
      </c>
      <c r="C473">
        <v>125</v>
      </c>
    </row>
    <row r="474" spans="1:3" x14ac:dyDescent="0.3">
      <c r="A474" t="s">
        <v>41</v>
      </c>
      <c r="B474">
        <v>120</v>
      </c>
      <c r="C474">
        <v>300</v>
      </c>
    </row>
    <row r="475" spans="1:3" x14ac:dyDescent="0.3">
      <c r="A475" t="s">
        <v>41</v>
      </c>
      <c r="B475">
        <v>120</v>
      </c>
      <c r="C475">
        <v>20</v>
      </c>
    </row>
    <row r="476" spans="1:3" x14ac:dyDescent="0.3">
      <c r="A476" t="s">
        <v>41</v>
      </c>
      <c r="B476">
        <v>120</v>
      </c>
      <c r="C476">
        <v>7</v>
      </c>
    </row>
    <row r="477" spans="1:3" x14ac:dyDescent="0.3">
      <c r="A477" t="s">
        <v>41</v>
      </c>
      <c r="B477">
        <v>120</v>
      </c>
      <c r="C477">
        <v>125</v>
      </c>
    </row>
    <row r="478" spans="1:3" x14ac:dyDescent="0.3">
      <c r="A478" t="s">
        <v>41</v>
      </c>
      <c r="B478">
        <v>120</v>
      </c>
      <c r="C478">
        <v>300</v>
      </c>
    </row>
    <row r="479" spans="1:3" x14ac:dyDescent="0.3">
      <c r="A479" t="s">
        <v>42</v>
      </c>
      <c r="B479">
        <v>250</v>
      </c>
      <c r="C479">
        <v>125</v>
      </c>
    </row>
    <row r="480" spans="1:3" x14ac:dyDescent="0.3">
      <c r="A480" t="s">
        <v>42</v>
      </c>
      <c r="B480">
        <v>250</v>
      </c>
      <c r="C480">
        <v>15</v>
      </c>
    </row>
    <row r="481" spans="1:3" x14ac:dyDescent="0.3">
      <c r="A481" t="s">
        <v>42</v>
      </c>
      <c r="B481">
        <v>250</v>
      </c>
      <c r="C481">
        <v>350</v>
      </c>
    </row>
    <row r="482" spans="1:3" x14ac:dyDescent="0.3">
      <c r="A482" t="s">
        <v>42</v>
      </c>
      <c r="B482">
        <v>250</v>
      </c>
      <c r="C482">
        <v>300</v>
      </c>
    </row>
    <row r="483" spans="1:3" x14ac:dyDescent="0.3">
      <c r="A483" t="s">
        <v>42</v>
      </c>
      <c r="B483">
        <v>250</v>
      </c>
      <c r="C483">
        <v>300</v>
      </c>
    </row>
    <row r="484" spans="1:3" x14ac:dyDescent="0.3">
      <c r="A484" t="s">
        <v>42</v>
      </c>
      <c r="B484">
        <v>250</v>
      </c>
      <c r="C484">
        <v>15</v>
      </c>
    </row>
    <row r="485" spans="1:3" x14ac:dyDescent="0.3">
      <c r="A485" t="s">
        <v>42</v>
      </c>
      <c r="B485">
        <v>250</v>
      </c>
      <c r="C485">
        <v>125</v>
      </c>
    </row>
    <row r="486" spans="1:3" x14ac:dyDescent="0.3">
      <c r="A486" t="s">
        <v>42</v>
      </c>
      <c r="B486">
        <v>250</v>
      </c>
      <c r="C486">
        <v>350</v>
      </c>
    </row>
    <row r="487" spans="1:3" x14ac:dyDescent="0.3">
      <c r="A487" t="s">
        <v>44</v>
      </c>
      <c r="B487">
        <v>260</v>
      </c>
      <c r="C487">
        <v>125</v>
      </c>
    </row>
    <row r="488" spans="1:3" x14ac:dyDescent="0.3">
      <c r="A488" t="s">
        <v>44</v>
      </c>
      <c r="B488">
        <v>260</v>
      </c>
      <c r="C488">
        <v>350</v>
      </c>
    </row>
    <row r="489" spans="1:3" x14ac:dyDescent="0.3">
      <c r="A489" t="s">
        <v>44</v>
      </c>
      <c r="B489">
        <v>260</v>
      </c>
      <c r="C489">
        <v>300</v>
      </c>
    </row>
    <row r="490" spans="1:3" x14ac:dyDescent="0.3">
      <c r="A490" t="s">
        <v>44</v>
      </c>
      <c r="B490">
        <v>260</v>
      </c>
      <c r="C490">
        <v>12</v>
      </c>
    </row>
    <row r="491" spans="1:3" x14ac:dyDescent="0.3">
      <c r="A491" t="s">
        <v>44</v>
      </c>
      <c r="B491">
        <v>260</v>
      </c>
      <c r="C491">
        <v>20</v>
      </c>
    </row>
    <row r="492" spans="1:3" x14ac:dyDescent="0.3">
      <c r="A492" t="s">
        <v>44</v>
      </c>
      <c r="B492">
        <v>260</v>
      </c>
      <c r="C492">
        <v>12</v>
      </c>
    </row>
    <row r="493" spans="1:3" x14ac:dyDescent="0.3">
      <c r="A493" t="s">
        <v>44</v>
      </c>
      <c r="B493">
        <v>260</v>
      </c>
      <c r="C493">
        <v>350</v>
      </c>
    </row>
    <row r="494" spans="1:3" x14ac:dyDescent="0.3">
      <c r="A494" t="s">
        <v>44</v>
      </c>
      <c r="B494">
        <v>260</v>
      </c>
      <c r="C494">
        <v>15</v>
      </c>
    </row>
    <row r="495" spans="1:3" x14ac:dyDescent="0.3">
      <c r="A495" t="s">
        <v>44</v>
      </c>
      <c r="B495">
        <v>260</v>
      </c>
      <c r="C495">
        <v>300</v>
      </c>
    </row>
    <row r="496" spans="1:3" x14ac:dyDescent="0.3">
      <c r="A496" t="s">
        <v>19</v>
      </c>
      <c r="B496">
        <v>3</v>
      </c>
      <c r="C496">
        <v>12</v>
      </c>
    </row>
    <row r="497" spans="1:3" x14ac:dyDescent="0.3">
      <c r="A497" t="s">
        <v>38</v>
      </c>
      <c r="B497">
        <v>10</v>
      </c>
      <c r="C497">
        <v>7</v>
      </c>
    </row>
    <row r="498" spans="1:3" x14ac:dyDescent="0.3">
      <c r="A498" t="s">
        <v>38</v>
      </c>
      <c r="B498">
        <v>10</v>
      </c>
      <c r="C498">
        <v>12</v>
      </c>
    </row>
    <row r="499" spans="1:3" x14ac:dyDescent="0.3">
      <c r="A499" t="s">
        <v>41</v>
      </c>
      <c r="B499">
        <v>120</v>
      </c>
      <c r="C499">
        <v>15</v>
      </c>
    </row>
    <row r="500" spans="1:3" x14ac:dyDescent="0.3">
      <c r="A500" t="s">
        <v>41</v>
      </c>
      <c r="B500">
        <v>120</v>
      </c>
      <c r="C500">
        <v>12</v>
      </c>
    </row>
    <row r="501" spans="1:3" x14ac:dyDescent="0.3">
      <c r="A501" t="s">
        <v>42</v>
      </c>
      <c r="B501">
        <v>250</v>
      </c>
      <c r="C501">
        <v>7</v>
      </c>
    </row>
    <row r="502" spans="1:3" x14ac:dyDescent="0.3">
      <c r="A502" t="s">
        <v>42</v>
      </c>
      <c r="B502">
        <v>250</v>
      </c>
      <c r="C502">
        <v>12</v>
      </c>
    </row>
    <row r="503" spans="1:3" x14ac:dyDescent="0.3">
      <c r="A503" t="s">
        <v>44</v>
      </c>
      <c r="B503">
        <v>260</v>
      </c>
      <c r="C503">
        <v>15</v>
      </c>
    </row>
    <row r="504" spans="1:3" x14ac:dyDescent="0.3">
      <c r="A504" t="s">
        <v>44</v>
      </c>
      <c r="B504">
        <v>260</v>
      </c>
      <c r="C504">
        <v>12</v>
      </c>
    </row>
    <row r="505" spans="1:3" x14ac:dyDescent="0.3">
      <c r="A505" t="s">
        <v>19</v>
      </c>
      <c r="B505">
        <v>3</v>
      </c>
      <c r="C505">
        <v>12</v>
      </c>
    </row>
    <row r="506" spans="1:3" x14ac:dyDescent="0.3">
      <c r="A506" t="s">
        <v>19</v>
      </c>
      <c r="B506">
        <v>3</v>
      </c>
      <c r="C506">
        <v>350</v>
      </c>
    </row>
    <row r="507" spans="1:3" x14ac:dyDescent="0.3">
      <c r="A507" t="s">
        <v>19</v>
      </c>
      <c r="B507">
        <v>3</v>
      </c>
      <c r="C507">
        <v>300</v>
      </c>
    </row>
    <row r="508" spans="1:3" x14ac:dyDescent="0.3">
      <c r="A508" t="s">
        <v>19</v>
      </c>
      <c r="B508">
        <v>3</v>
      </c>
      <c r="C508">
        <v>125</v>
      </c>
    </row>
    <row r="509" spans="1:3" x14ac:dyDescent="0.3">
      <c r="A509" t="s">
        <v>19</v>
      </c>
      <c r="B509">
        <v>3</v>
      </c>
      <c r="C509">
        <v>15</v>
      </c>
    </row>
    <row r="510" spans="1:3" x14ac:dyDescent="0.3">
      <c r="A510" t="s">
        <v>19</v>
      </c>
      <c r="B510">
        <v>3</v>
      </c>
      <c r="C510">
        <v>7</v>
      </c>
    </row>
    <row r="511" spans="1:3" x14ac:dyDescent="0.3">
      <c r="A511" t="s">
        <v>28</v>
      </c>
      <c r="B511">
        <v>5</v>
      </c>
      <c r="C511">
        <v>350</v>
      </c>
    </row>
    <row r="512" spans="1:3" x14ac:dyDescent="0.3">
      <c r="A512" t="s">
        <v>28</v>
      </c>
      <c r="B512">
        <v>5</v>
      </c>
      <c r="C512">
        <v>20</v>
      </c>
    </row>
    <row r="513" spans="1:3" x14ac:dyDescent="0.3">
      <c r="A513" t="s">
        <v>28</v>
      </c>
      <c r="B513">
        <v>5</v>
      </c>
      <c r="C513">
        <v>15</v>
      </c>
    </row>
    <row r="514" spans="1:3" x14ac:dyDescent="0.3">
      <c r="A514" t="s">
        <v>38</v>
      </c>
      <c r="B514">
        <v>10</v>
      </c>
      <c r="C514">
        <v>300</v>
      </c>
    </row>
    <row r="515" spans="1:3" x14ac:dyDescent="0.3">
      <c r="A515" t="s">
        <v>38</v>
      </c>
      <c r="B515">
        <v>10</v>
      </c>
      <c r="C515">
        <v>20</v>
      </c>
    </row>
    <row r="516" spans="1:3" x14ac:dyDescent="0.3">
      <c r="A516" t="s">
        <v>38</v>
      </c>
      <c r="B516">
        <v>10</v>
      </c>
      <c r="C516">
        <v>350</v>
      </c>
    </row>
    <row r="517" spans="1:3" x14ac:dyDescent="0.3">
      <c r="A517" t="s">
        <v>38</v>
      </c>
      <c r="B517">
        <v>10</v>
      </c>
      <c r="C517">
        <v>12</v>
      </c>
    </row>
    <row r="518" spans="1:3" x14ac:dyDescent="0.3">
      <c r="A518" t="s">
        <v>38</v>
      </c>
      <c r="B518">
        <v>10</v>
      </c>
      <c r="C518">
        <v>12</v>
      </c>
    </row>
    <row r="519" spans="1:3" x14ac:dyDescent="0.3">
      <c r="A519" t="s">
        <v>38</v>
      </c>
      <c r="B519">
        <v>10</v>
      </c>
      <c r="C519">
        <v>20</v>
      </c>
    </row>
    <row r="520" spans="1:3" x14ac:dyDescent="0.3">
      <c r="A520" t="s">
        <v>38</v>
      </c>
      <c r="B520">
        <v>10</v>
      </c>
      <c r="C520">
        <v>15</v>
      </c>
    </row>
    <row r="521" spans="1:3" x14ac:dyDescent="0.3">
      <c r="A521" t="s">
        <v>38</v>
      </c>
      <c r="B521">
        <v>10</v>
      </c>
      <c r="C521">
        <v>125</v>
      </c>
    </row>
    <row r="522" spans="1:3" x14ac:dyDescent="0.3">
      <c r="A522" t="s">
        <v>38</v>
      </c>
      <c r="B522">
        <v>10</v>
      </c>
      <c r="C522">
        <v>20</v>
      </c>
    </row>
    <row r="523" spans="1:3" x14ac:dyDescent="0.3">
      <c r="A523" t="s">
        <v>38</v>
      </c>
      <c r="B523">
        <v>10</v>
      </c>
      <c r="C523">
        <v>300</v>
      </c>
    </row>
    <row r="524" spans="1:3" x14ac:dyDescent="0.3">
      <c r="A524" t="s">
        <v>41</v>
      </c>
      <c r="B524">
        <v>120</v>
      </c>
      <c r="C524">
        <v>20</v>
      </c>
    </row>
    <row r="525" spans="1:3" x14ac:dyDescent="0.3">
      <c r="A525" t="s">
        <v>41</v>
      </c>
      <c r="B525">
        <v>120</v>
      </c>
      <c r="C525">
        <v>15</v>
      </c>
    </row>
    <row r="526" spans="1:3" x14ac:dyDescent="0.3">
      <c r="A526" t="s">
        <v>41</v>
      </c>
      <c r="B526">
        <v>120</v>
      </c>
      <c r="C526">
        <v>350</v>
      </c>
    </row>
    <row r="527" spans="1:3" x14ac:dyDescent="0.3">
      <c r="A527" t="s">
        <v>41</v>
      </c>
      <c r="B527">
        <v>120</v>
      </c>
      <c r="C527">
        <v>7</v>
      </c>
    </row>
    <row r="528" spans="1:3" x14ac:dyDescent="0.3">
      <c r="A528" t="s">
        <v>42</v>
      </c>
      <c r="B528">
        <v>250</v>
      </c>
      <c r="C528">
        <v>12</v>
      </c>
    </row>
    <row r="529" spans="1:3" x14ac:dyDescent="0.3">
      <c r="A529" t="s">
        <v>42</v>
      </c>
      <c r="B529">
        <v>250</v>
      </c>
      <c r="C529">
        <v>125</v>
      </c>
    </row>
    <row r="530" spans="1:3" x14ac:dyDescent="0.3">
      <c r="A530" t="s">
        <v>42</v>
      </c>
      <c r="B530">
        <v>250</v>
      </c>
      <c r="C530">
        <v>20</v>
      </c>
    </row>
    <row r="531" spans="1:3" x14ac:dyDescent="0.3">
      <c r="A531" t="s">
        <v>44</v>
      </c>
      <c r="B531">
        <v>260</v>
      </c>
      <c r="C531">
        <v>125</v>
      </c>
    </row>
    <row r="532" spans="1:3" x14ac:dyDescent="0.3">
      <c r="A532" t="s">
        <v>44</v>
      </c>
      <c r="B532">
        <v>260</v>
      </c>
      <c r="C532">
        <v>20</v>
      </c>
    </row>
    <row r="533" spans="1:3" x14ac:dyDescent="0.3">
      <c r="A533" t="s">
        <v>44</v>
      </c>
      <c r="B533">
        <v>260</v>
      </c>
      <c r="C533">
        <v>125</v>
      </c>
    </row>
    <row r="534" spans="1:3" x14ac:dyDescent="0.3">
      <c r="A534" t="s">
        <v>44</v>
      </c>
      <c r="B534">
        <v>260</v>
      </c>
      <c r="C534">
        <v>125</v>
      </c>
    </row>
    <row r="535" spans="1:3" x14ac:dyDescent="0.3">
      <c r="A535" t="s">
        <v>44</v>
      </c>
      <c r="B535">
        <v>260</v>
      </c>
      <c r="C535">
        <v>350</v>
      </c>
    </row>
    <row r="536" spans="1:3" x14ac:dyDescent="0.3">
      <c r="A536" t="s">
        <v>44</v>
      </c>
      <c r="B536">
        <v>260</v>
      </c>
      <c r="C536">
        <v>15</v>
      </c>
    </row>
    <row r="537" spans="1:3" x14ac:dyDescent="0.3">
      <c r="A537" t="s">
        <v>38</v>
      </c>
      <c r="B537">
        <v>10</v>
      </c>
      <c r="C537">
        <v>7</v>
      </c>
    </row>
    <row r="538" spans="1:3" x14ac:dyDescent="0.3">
      <c r="A538" t="s">
        <v>19</v>
      </c>
      <c r="B538">
        <v>3</v>
      </c>
      <c r="C538">
        <v>350</v>
      </c>
    </row>
    <row r="539" spans="1:3" x14ac:dyDescent="0.3">
      <c r="A539" t="s">
        <v>19</v>
      </c>
      <c r="B539">
        <v>3</v>
      </c>
      <c r="C539">
        <v>125</v>
      </c>
    </row>
    <row r="540" spans="1:3" x14ac:dyDescent="0.3">
      <c r="A540" t="s">
        <v>19</v>
      </c>
      <c r="B540">
        <v>3</v>
      </c>
      <c r="C540">
        <v>125</v>
      </c>
    </row>
    <row r="541" spans="1:3" x14ac:dyDescent="0.3">
      <c r="A541" t="s">
        <v>19</v>
      </c>
      <c r="B541">
        <v>3</v>
      </c>
      <c r="C541">
        <v>15</v>
      </c>
    </row>
    <row r="542" spans="1:3" x14ac:dyDescent="0.3">
      <c r="A542" t="s">
        <v>28</v>
      </c>
      <c r="B542">
        <v>5</v>
      </c>
      <c r="C542">
        <v>15</v>
      </c>
    </row>
    <row r="543" spans="1:3" x14ac:dyDescent="0.3">
      <c r="A543" t="s">
        <v>28</v>
      </c>
      <c r="B543">
        <v>5</v>
      </c>
      <c r="C543">
        <v>300</v>
      </c>
    </row>
    <row r="544" spans="1:3" x14ac:dyDescent="0.3">
      <c r="A544" t="s">
        <v>28</v>
      </c>
      <c r="B544">
        <v>5</v>
      </c>
      <c r="C544">
        <v>7</v>
      </c>
    </row>
    <row r="545" spans="1:3" x14ac:dyDescent="0.3">
      <c r="A545" t="s">
        <v>28</v>
      </c>
      <c r="B545">
        <v>5</v>
      </c>
      <c r="C545">
        <v>7</v>
      </c>
    </row>
    <row r="546" spans="1:3" x14ac:dyDescent="0.3">
      <c r="A546" t="s">
        <v>28</v>
      </c>
      <c r="B546">
        <v>5</v>
      </c>
      <c r="C546">
        <v>20</v>
      </c>
    </row>
    <row r="547" spans="1:3" x14ac:dyDescent="0.3">
      <c r="A547" t="s">
        <v>28</v>
      </c>
      <c r="B547">
        <v>5</v>
      </c>
      <c r="C547">
        <v>300</v>
      </c>
    </row>
    <row r="548" spans="1:3" x14ac:dyDescent="0.3">
      <c r="A548" t="s">
        <v>38</v>
      </c>
      <c r="B548">
        <v>10</v>
      </c>
      <c r="C548">
        <v>300</v>
      </c>
    </row>
    <row r="549" spans="1:3" x14ac:dyDescent="0.3">
      <c r="A549" t="s">
        <v>38</v>
      </c>
      <c r="B549">
        <v>10</v>
      </c>
      <c r="C549">
        <v>350</v>
      </c>
    </row>
    <row r="550" spans="1:3" x14ac:dyDescent="0.3">
      <c r="A550" t="s">
        <v>38</v>
      </c>
      <c r="B550">
        <v>10</v>
      </c>
      <c r="C550">
        <v>125</v>
      </c>
    </row>
    <row r="551" spans="1:3" x14ac:dyDescent="0.3">
      <c r="A551" t="s">
        <v>38</v>
      </c>
      <c r="B551">
        <v>10</v>
      </c>
      <c r="C551">
        <v>20</v>
      </c>
    </row>
    <row r="552" spans="1:3" x14ac:dyDescent="0.3">
      <c r="A552" t="s">
        <v>38</v>
      </c>
      <c r="B552">
        <v>10</v>
      </c>
      <c r="C552">
        <v>20</v>
      </c>
    </row>
    <row r="553" spans="1:3" x14ac:dyDescent="0.3">
      <c r="A553" t="s">
        <v>38</v>
      </c>
      <c r="B553">
        <v>10</v>
      </c>
      <c r="C553">
        <v>350</v>
      </c>
    </row>
    <row r="554" spans="1:3" x14ac:dyDescent="0.3">
      <c r="A554" t="s">
        <v>38</v>
      </c>
      <c r="B554">
        <v>10</v>
      </c>
      <c r="C554">
        <v>300</v>
      </c>
    </row>
    <row r="555" spans="1:3" x14ac:dyDescent="0.3">
      <c r="A555" t="s">
        <v>38</v>
      </c>
      <c r="B555">
        <v>10</v>
      </c>
      <c r="C555">
        <v>300</v>
      </c>
    </row>
    <row r="556" spans="1:3" x14ac:dyDescent="0.3">
      <c r="A556" t="s">
        <v>38</v>
      </c>
      <c r="B556">
        <v>10</v>
      </c>
      <c r="C556">
        <v>350</v>
      </c>
    </row>
    <row r="557" spans="1:3" x14ac:dyDescent="0.3">
      <c r="A557" t="s">
        <v>38</v>
      </c>
      <c r="B557">
        <v>10</v>
      </c>
      <c r="C557">
        <v>15</v>
      </c>
    </row>
    <row r="558" spans="1:3" x14ac:dyDescent="0.3">
      <c r="A558" t="s">
        <v>38</v>
      </c>
      <c r="B558">
        <v>10</v>
      </c>
      <c r="C558">
        <v>20</v>
      </c>
    </row>
    <row r="559" spans="1:3" x14ac:dyDescent="0.3">
      <c r="A559" t="s">
        <v>41</v>
      </c>
      <c r="B559">
        <v>120</v>
      </c>
      <c r="C559">
        <v>350</v>
      </c>
    </row>
    <row r="560" spans="1:3" x14ac:dyDescent="0.3">
      <c r="A560" t="s">
        <v>41</v>
      </c>
      <c r="B560">
        <v>120</v>
      </c>
      <c r="C560">
        <v>350</v>
      </c>
    </row>
    <row r="561" spans="1:3" x14ac:dyDescent="0.3">
      <c r="A561" t="s">
        <v>41</v>
      </c>
      <c r="B561">
        <v>120</v>
      </c>
      <c r="C561">
        <v>20</v>
      </c>
    </row>
    <row r="562" spans="1:3" x14ac:dyDescent="0.3">
      <c r="A562" t="s">
        <v>42</v>
      </c>
      <c r="B562">
        <v>250</v>
      </c>
      <c r="C562">
        <v>12</v>
      </c>
    </row>
    <row r="563" spans="1:3" x14ac:dyDescent="0.3">
      <c r="A563" t="s">
        <v>42</v>
      </c>
      <c r="B563">
        <v>250</v>
      </c>
      <c r="C563">
        <v>15</v>
      </c>
    </row>
    <row r="564" spans="1:3" x14ac:dyDescent="0.3">
      <c r="A564" t="s">
        <v>42</v>
      </c>
      <c r="B564">
        <v>250</v>
      </c>
      <c r="C564">
        <v>350</v>
      </c>
    </row>
    <row r="565" spans="1:3" x14ac:dyDescent="0.3">
      <c r="A565" t="s">
        <v>42</v>
      </c>
      <c r="B565">
        <v>250</v>
      </c>
      <c r="C565">
        <v>350</v>
      </c>
    </row>
    <row r="566" spans="1:3" x14ac:dyDescent="0.3">
      <c r="A566" t="s">
        <v>42</v>
      </c>
      <c r="B566">
        <v>250</v>
      </c>
      <c r="C566">
        <v>125</v>
      </c>
    </row>
    <row r="567" spans="1:3" x14ac:dyDescent="0.3">
      <c r="A567" t="s">
        <v>42</v>
      </c>
      <c r="B567">
        <v>250</v>
      </c>
      <c r="C567">
        <v>20</v>
      </c>
    </row>
    <row r="568" spans="1:3" x14ac:dyDescent="0.3">
      <c r="A568" t="s">
        <v>44</v>
      </c>
      <c r="B568">
        <v>260</v>
      </c>
      <c r="C568">
        <v>350</v>
      </c>
    </row>
    <row r="569" spans="1:3" x14ac:dyDescent="0.3">
      <c r="A569" t="s">
        <v>44</v>
      </c>
      <c r="B569">
        <v>260</v>
      </c>
      <c r="C569">
        <v>7</v>
      </c>
    </row>
    <row r="570" spans="1:3" x14ac:dyDescent="0.3">
      <c r="A570" t="s">
        <v>44</v>
      </c>
      <c r="B570">
        <v>260</v>
      </c>
      <c r="C570">
        <v>7</v>
      </c>
    </row>
    <row r="571" spans="1:3" x14ac:dyDescent="0.3">
      <c r="A571" t="s">
        <v>44</v>
      </c>
      <c r="B571">
        <v>260</v>
      </c>
      <c r="C571">
        <v>15</v>
      </c>
    </row>
    <row r="572" spans="1:3" x14ac:dyDescent="0.3">
      <c r="A572" t="s">
        <v>19</v>
      </c>
      <c r="B572">
        <v>3</v>
      </c>
      <c r="C572">
        <v>20</v>
      </c>
    </row>
    <row r="573" spans="1:3" x14ac:dyDescent="0.3">
      <c r="A573" t="s">
        <v>28</v>
      </c>
      <c r="B573">
        <v>5</v>
      </c>
      <c r="C573">
        <v>12</v>
      </c>
    </row>
    <row r="574" spans="1:3" x14ac:dyDescent="0.3">
      <c r="A574" t="s">
        <v>38</v>
      </c>
      <c r="B574">
        <v>10</v>
      </c>
      <c r="C574">
        <v>20</v>
      </c>
    </row>
    <row r="575" spans="1:3" x14ac:dyDescent="0.3">
      <c r="A575" t="s">
        <v>42</v>
      </c>
      <c r="B575">
        <v>250</v>
      </c>
      <c r="C575">
        <v>7</v>
      </c>
    </row>
    <row r="576" spans="1:3" x14ac:dyDescent="0.3">
      <c r="A576" t="s">
        <v>42</v>
      </c>
      <c r="B576">
        <v>250</v>
      </c>
      <c r="C576">
        <v>20</v>
      </c>
    </row>
    <row r="577" spans="1:3" x14ac:dyDescent="0.3">
      <c r="A577" t="s">
        <v>44</v>
      </c>
      <c r="B577">
        <v>260</v>
      </c>
      <c r="C577">
        <v>12</v>
      </c>
    </row>
    <row r="578" spans="1:3" x14ac:dyDescent="0.3">
      <c r="A578" t="s">
        <v>19</v>
      </c>
      <c r="B578">
        <v>3</v>
      </c>
      <c r="C578">
        <v>15</v>
      </c>
    </row>
    <row r="579" spans="1:3" x14ac:dyDescent="0.3">
      <c r="A579" t="s">
        <v>42</v>
      </c>
      <c r="B579">
        <v>250</v>
      </c>
      <c r="C579">
        <v>15</v>
      </c>
    </row>
    <row r="580" spans="1:3" x14ac:dyDescent="0.3">
      <c r="A580" t="s">
        <v>19</v>
      </c>
      <c r="B580">
        <v>3</v>
      </c>
      <c r="C580">
        <v>350</v>
      </c>
    </row>
    <row r="581" spans="1:3" x14ac:dyDescent="0.3">
      <c r="A581" t="s">
        <v>19</v>
      </c>
      <c r="B581">
        <v>3</v>
      </c>
      <c r="C581">
        <v>350</v>
      </c>
    </row>
    <row r="582" spans="1:3" x14ac:dyDescent="0.3">
      <c r="A582" t="s">
        <v>19</v>
      </c>
      <c r="B582">
        <v>3</v>
      </c>
      <c r="C582">
        <v>20</v>
      </c>
    </row>
    <row r="583" spans="1:3" x14ac:dyDescent="0.3">
      <c r="A583" t="s">
        <v>28</v>
      </c>
      <c r="B583">
        <v>5</v>
      </c>
      <c r="C583">
        <v>350</v>
      </c>
    </row>
    <row r="584" spans="1:3" x14ac:dyDescent="0.3">
      <c r="A584" t="s">
        <v>28</v>
      </c>
      <c r="B584">
        <v>5</v>
      </c>
      <c r="C584">
        <v>7</v>
      </c>
    </row>
    <row r="585" spans="1:3" x14ac:dyDescent="0.3">
      <c r="A585" t="s">
        <v>28</v>
      </c>
      <c r="B585">
        <v>5</v>
      </c>
      <c r="C585">
        <v>12</v>
      </c>
    </row>
    <row r="586" spans="1:3" x14ac:dyDescent="0.3">
      <c r="A586" t="s">
        <v>28</v>
      </c>
      <c r="B586">
        <v>5</v>
      </c>
      <c r="C586">
        <v>20</v>
      </c>
    </row>
    <row r="587" spans="1:3" x14ac:dyDescent="0.3">
      <c r="A587" t="s">
        <v>28</v>
      </c>
      <c r="B587">
        <v>5</v>
      </c>
      <c r="C587">
        <v>20</v>
      </c>
    </row>
    <row r="588" spans="1:3" x14ac:dyDescent="0.3">
      <c r="A588" t="s">
        <v>38</v>
      </c>
      <c r="B588">
        <v>10</v>
      </c>
      <c r="C588">
        <v>7</v>
      </c>
    </row>
    <row r="589" spans="1:3" x14ac:dyDescent="0.3">
      <c r="A589" t="s">
        <v>38</v>
      </c>
      <c r="B589">
        <v>10</v>
      </c>
      <c r="C589">
        <v>300</v>
      </c>
    </row>
    <row r="590" spans="1:3" x14ac:dyDescent="0.3">
      <c r="A590" t="s">
        <v>38</v>
      </c>
      <c r="B590">
        <v>10</v>
      </c>
      <c r="C590">
        <v>20</v>
      </c>
    </row>
    <row r="591" spans="1:3" x14ac:dyDescent="0.3">
      <c r="A591" t="s">
        <v>38</v>
      </c>
      <c r="B591">
        <v>10</v>
      </c>
      <c r="C591">
        <v>20</v>
      </c>
    </row>
    <row r="592" spans="1:3" x14ac:dyDescent="0.3">
      <c r="A592" t="s">
        <v>38</v>
      </c>
      <c r="B592">
        <v>10</v>
      </c>
      <c r="C592">
        <v>350</v>
      </c>
    </row>
    <row r="593" spans="1:3" x14ac:dyDescent="0.3">
      <c r="A593" t="s">
        <v>38</v>
      </c>
      <c r="B593">
        <v>10</v>
      </c>
      <c r="C593">
        <v>125</v>
      </c>
    </row>
    <row r="594" spans="1:3" x14ac:dyDescent="0.3">
      <c r="A594" t="s">
        <v>38</v>
      </c>
      <c r="B594">
        <v>10</v>
      </c>
      <c r="C594">
        <v>12</v>
      </c>
    </row>
    <row r="595" spans="1:3" x14ac:dyDescent="0.3">
      <c r="A595" t="s">
        <v>38</v>
      </c>
      <c r="B595">
        <v>10</v>
      </c>
      <c r="C595">
        <v>7</v>
      </c>
    </row>
    <row r="596" spans="1:3" x14ac:dyDescent="0.3">
      <c r="A596" t="s">
        <v>38</v>
      </c>
      <c r="B596">
        <v>10</v>
      </c>
      <c r="C596">
        <v>15</v>
      </c>
    </row>
    <row r="597" spans="1:3" x14ac:dyDescent="0.3">
      <c r="A597" t="s">
        <v>38</v>
      </c>
      <c r="B597">
        <v>10</v>
      </c>
      <c r="C597">
        <v>20</v>
      </c>
    </row>
    <row r="598" spans="1:3" x14ac:dyDescent="0.3">
      <c r="A598" t="s">
        <v>38</v>
      </c>
      <c r="B598">
        <v>10</v>
      </c>
      <c r="C598">
        <v>350</v>
      </c>
    </row>
    <row r="599" spans="1:3" x14ac:dyDescent="0.3">
      <c r="A599" t="s">
        <v>38</v>
      </c>
      <c r="B599">
        <v>10</v>
      </c>
      <c r="C599">
        <v>12</v>
      </c>
    </row>
    <row r="600" spans="1:3" x14ac:dyDescent="0.3">
      <c r="A600" t="s">
        <v>41</v>
      </c>
      <c r="B600">
        <v>120</v>
      </c>
      <c r="C600">
        <v>15</v>
      </c>
    </row>
    <row r="601" spans="1:3" x14ac:dyDescent="0.3">
      <c r="A601" t="s">
        <v>41</v>
      </c>
      <c r="B601">
        <v>120</v>
      </c>
      <c r="C601">
        <v>350</v>
      </c>
    </row>
    <row r="602" spans="1:3" x14ac:dyDescent="0.3">
      <c r="A602" t="s">
        <v>41</v>
      </c>
      <c r="B602">
        <v>120</v>
      </c>
      <c r="C602">
        <v>7</v>
      </c>
    </row>
    <row r="603" spans="1:3" x14ac:dyDescent="0.3">
      <c r="A603" t="s">
        <v>41</v>
      </c>
      <c r="B603">
        <v>120</v>
      </c>
      <c r="C603">
        <v>12</v>
      </c>
    </row>
    <row r="604" spans="1:3" x14ac:dyDescent="0.3">
      <c r="A604" t="s">
        <v>41</v>
      </c>
      <c r="B604">
        <v>120</v>
      </c>
      <c r="C604">
        <v>15</v>
      </c>
    </row>
    <row r="605" spans="1:3" x14ac:dyDescent="0.3">
      <c r="A605" t="s">
        <v>41</v>
      </c>
      <c r="B605">
        <v>120</v>
      </c>
      <c r="C605">
        <v>12</v>
      </c>
    </row>
    <row r="606" spans="1:3" x14ac:dyDescent="0.3">
      <c r="A606" t="s">
        <v>41</v>
      </c>
      <c r="B606">
        <v>120</v>
      </c>
      <c r="C606">
        <v>300</v>
      </c>
    </row>
    <row r="607" spans="1:3" x14ac:dyDescent="0.3">
      <c r="A607" t="s">
        <v>41</v>
      </c>
      <c r="B607">
        <v>120</v>
      </c>
      <c r="C607">
        <v>12</v>
      </c>
    </row>
    <row r="608" spans="1:3" x14ac:dyDescent="0.3">
      <c r="A608" t="s">
        <v>42</v>
      </c>
      <c r="B608">
        <v>250</v>
      </c>
      <c r="C608">
        <v>125</v>
      </c>
    </row>
    <row r="609" spans="1:3" x14ac:dyDescent="0.3">
      <c r="A609" t="s">
        <v>42</v>
      </c>
      <c r="B609">
        <v>250</v>
      </c>
      <c r="C609">
        <v>15</v>
      </c>
    </row>
    <row r="610" spans="1:3" x14ac:dyDescent="0.3">
      <c r="A610" t="s">
        <v>44</v>
      </c>
      <c r="B610">
        <v>260</v>
      </c>
      <c r="C610">
        <v>125</v>
      </c>
    </row>
    <row r="611" spans="1:3" x14ac:dyDescent="0.3">
      <c r="A611" t="s">
        <v>44</v>
      </c>
      <c r="B611">
        <v>260</v>
      </c>
      <c r="C611">
        <v>7</v>
      </c>
    </row>
    <row r="612" spans="1:3" x14ac:dyDescent="0.3">
      <c r="A612" t="s">
        <v>44</v>
      </c>
      <c r="B612">
        <v>260</v>
      </c>
      <c r="C612">
        <v>12</v>
      </c>
    </row>
    <row r="613" spans="1:3" x14ac:dyDescent="0.3">
      <c r="A613" t="s">
        <v>44</v>
      </c>
      <c r="B613">
        <v>260</v>
      </c>
      <c r="C613">
        <v>12</v>
      </c>
    </row>
    <row r="614" spans="1:3" x14ac:dyDescent="0.3">
      <c r="A614" t="s">
        <v>19</v>
      </c>
      <c r="B614">
        <v>3</v>
      </c>
      <c r="C614">
        <v>20</v>
      </c>
    </row>
    <row r="615" spans="1:3" x14ac:dyDescent="0.3">
      <c r="A615" t="s">
        <v>19</v>
      </c>
      <c r="B615">
        <v>3</v>
      </c>
      <c r="C615">
        <v>20</v>
      </c>
    </row>
    <row r="616" spans="1:3" x14ac:dyDescent="0.3">
      <c r="A616" t="s">
        <v>19</v>
      </c>
      <c r="B616">
        <v>3</v>
      </c>
      <c r="C616">
        <v>7</v>
      </c>
    </row>
    <row r="617" spans="1:3" x14ac:dyDescent="0.3">
      <c r="A617" t="s">
        <v>19</v>
      </c>
      <c r="B617">
        <v>3</v>
      </c>
      <c r="C617">
        <v>7</v>
      </c>
    </row>
    <row r="618" spans="1:3" x14ac:dyDescent="0.3">
      <c r="A618" t="s">
        <v>28</v>
      </c>
      <c r="B618">
        <v>5</v>
      </c>
      <c r="C618">
        <v>7</v>
      </c>
    </row>
    <row r="619" spans="1:3" x14ac:dyDescent="0.3">
      <c r="A619" t="s">
        <v>28</v>
      </c>
      <c r="B619">
        <v>5</v>
      </c>
      <c r="C619">
        <v>7</v>
      </c>
    </row>
    <row r="620" spans="1:3" x14ac:dyDescent="0.3">
      <c r="A620" t="s">
        <v>38</v>
      </c>
      <c r="B620">
        <v>10</v>
      </c>
      <c r="C620">
        <v>15</v>
      </c>
    </row>
    <row r="621" spans="1:3" x14ac:dyDescent="0.3">
      <c r="A621" t="s">
        <v>38</v>
      </c>
      <c r="B621">
        <v>10</v>
      </c>
      <c r="C621">
        <v>20</v>
      </c>
    </row>
    <row r="622" spans="1:3" x14ac:dyDescent="0.3">
      <c r="A622" t="s">
        <v>38</v>
      </c>
      <c r="B622">
        <v>10</v>
      </c>
      <c r="C622">
        <v>15</v>
      </c>
    </row>
    <row r="623" spans="1:3" x14ac:dyDescent="0.3">
      <c r="A623" t="s">
        <v>38</v>
      </c>
      <c r="B623">
        <v>10</v>
      </c>
      <c r="C623">
        <v>12</v>
      </c>
    </row>
    <row r="624" spans="1:3" x14ac:dyDescent="0.3">
      <c r="A624" t="s">
        <v>42</v>
      </c>
      <c r="B624">
        <v>250</v>
      </c>
      <c r="C624">
        <v>7</v>
      </c>
    </row>
    <row r="625" spans="1:3" x14ac:dyDescent="0.3">
      <c r="A625" t="s">
        <v>44</v>
      </c>
      <c r="B625">
        <v>260</v>
      </c>
      <c r="C625">
        <v>12</v>
      </c>
    </row>
    <row r="626" spans="1:3" x14ac:dyDescent="0.3">
      <c r="A626" t="s">
        <v>44</v>
      </c>
      <c r="B626">
        <v>260</v>
      </c>
      <c r="C626">
        <v>12</v>
      </c>
    </row>
    <row r="627" spans="1:3" x14ac:dyDescent="0.3">
      <c r="A627" t="s">
        <v>19</v>
      </c>
      <c r="B627">
        <v>3</v>
      </c>
      <c r="C627">
        <v>300</v>
      </c>
    </row>
    <row r="628" spans="1:3" x14ac:dyDescent="0.3">
      <c r="A628" t="s">
        <v>19</v>
      </c>
      <c r="B628">
        <v>3</v>
      </c>
      <c r="C628">
        <v>125</v>
      </c>
    </row>
    <row r="629" spans="1:3" x14ac:dyDescent="0.3">
      <c r="A629" t="s">
        <v>19</v>
      </c>
      <c r="B629">
        <v>3</v>
      </c>
      <c r="C629">
        <v>300</v>
      </c>
    </row>
    <row r="630" spans="1:3" x14ac:dyDescent="0.3">
      <c r="A630" t="s">
        <v>19</v>
      </c>
      <c r="B630">
        <v>3</v>
      </c>
      <c r="C630">
        <v>300</v>
      </c>
    </row>
    <row r="631" spans="1:3" x14ac:dyDescent="0.3">
      <c r="A631" t="s">
        <v>19</v>
      </c>
      <c r="B631">
        <v>3</v>
      </c>
      <c r="C631">
        <v>15</v>
      </c>
    </row>
    <row r="632" spans="1:3" x14ac:dyDescent="0.3">
      <c r="A632" t="s">
        <v>19</v>
      </c>
      <c r="B632">
        <v>3</v>
      </c>
      <c r="C632">
        <v>15</v>
      </c>
    </row>
    <row r="633" spans="1:3" x14ac:dyDescent="0.3">
      <c r="A633" t="s">
        <v>19</v>
      </c>
      <c r="B633">
        <v>3</v>
      </c>
      <c r="C633">
        <v>125</v>
      </c>
    </row>
    <row r="634" spans="1:3" x14ac:dyDescent="0.3">
      <c r="A634" t="s">
        <v>28</v>
      </c>
      <c r="B634">
        <v>5</v>
      </c>
      <c r="C634">
        <v>350</v>
      </c>
    </row>
    <row r="635" spans="1:3" x14ac:dyDescent="0.3">
      <c r="A635" t="s">
        <v>28</v>
      </c>
      <c r="B635">
        <v>5</v>
      </c>
      <c r="C635">
        <v>350</v>
      </c>
    </row>
    <row r="636" spans="1:3" x14ac:dyDescent="0.3">
      <c r="A636" t="s">
        <v>28</v>
      </c>
      <c r="B636">
        <v>5</v>
      </c>
      <c r="C636">
        <v>350</v>
      </c>
    </row>
    <row r="637" spans="1:3" x14ac:dyDescent="0.3">
      <c r="A637" t="s">
        <v>28</v>
      </c>
      <c r="B637">
        <v>5</v>
      </c>
      <c r="C637">
        <v>7</v>
      </c>
    </row>
    <row r="638" spans="1:3" x14ac:dyDescent="0.3">
      <c r="A638" t="s">
        <v>28</v>
      </c>
      <c r="B638">
        <v>5</v>
      </c>
      <c r="C638">
        <v>7</v>
      </c>
    </row>
    <row r="639" spans="1:3" x14ac:dyDescent="0.3">
      <c r="A639" t="s">
        <v>28</v>
      </c>
      <c r="B639">
        <v>5</v>
      </c>
      <c r="C639">
        <v>15</v>
      </c>
    </row>
    <row r="640" spans="1:3" x14ac:dyDescent="0.3">
      <c r="A640" t="s">
        <v>38</v>
      </c>
      <c r="B640">
        <v>10</v>
      </c>
      <c r="C640">
        <v>20</v>
      </c>
    </row>
    <row r="641" spans="1:3" x14ac:dyDescent="0.3">
      <c r="A641" t="s">
        <v>38</v>
      </c>
      <c r="B641">
        <v>10</v>
      </c>
      <c r="C641">
        <v>15</v>
      </c>
    </row>
    <row r="642" spans="1:3" x14ac:dyDescent="0.3">
      <c r="A642" t="s">
        <v>38</v>
      </c>
      <c r="B642">
        <v>10</v>
      </c>
      <c r="C642">
        <v>15</v>
      </c>
    </row>
    <row r="643" spans="1:3" x14ac:dyDescent="0.3">
      <c r="A643" t="s">
        <v>38</v>
      </c>
      <c r="B643">
        <v>10</v>
      </c>
      <c r="C643">
        <v>12</v>
      </c>
    </row>
    <row r="644" spans="1:3" x14ac:dyDescent="0.3">
      <c r="A644" t="s">
        <v>38</v>
      </c>
      <c r="B644">
        <v>10</v>
      </c>
      <c r="C644">
        <v>7</v>
      </c>
    </row>
    <row r="645" spans="1:3" x14ac:dyDescent="0.3">
      <c r="A645" t="s">
        <v>38</v>
      </c>
      <c r="B645">
        <v>10</v>
      </c>
      <c r="C645">
        <v>350</v>
      </c>
    </row>
    <row r="646" spans="1:3" x14ac:dyDescent="0.3">
      <c r="A646" t="s">
        <v>38</v>
      </c>
      <c r="B646">
        <v>10</v>
      </c>
      <c r="C646">
        <v>12</v>
      </c>
    </row>
    <row r="647" spans="1:3" x14ac:dyDescent="0.3">
      <c r="A647" t="s">
        <v>38</v>
      </c>
      <c r="B647">
        <v>10</v>
      </c>
      <c r="C647">
        <v>350</v>
      </c>
    </row>
    <row r="648" spans="1:3" x14ac:dyDescent="0.3">
      <c r="A648" t="s">
        <v>38</v>
      </c>
      <c r="B648">
        <v>10</v>
      </c>
      <c r="C648">
        <v>350</v>
      </c>
    </row>
    <row r="649" spans="1:3" x14ac:dyDescent="0.3">
      <c r="A649" t="s">
        <v>41</v>
      </c>
      <c r="B649">
        <v>120</v>
      </c>
      <c r="C649">
        <v>125</v>
      </c>
    </row>
    <row r="650" spans="1:3" x14ac:dyDescent="0.3">
      <c r="A650" t="s">
        <v>41</v>
      </c>
      <c r="B650">
        <v>120</v>
      </c>
      <c r="C650">
        <v>20</v>
      </c>
    </row>
    <row r="651" spans="1:3" x14ac:dyDescent="0.3">
      <c r="A651" t="s">
        <v>41</v>
      </c>
      <c r="B651">
        <v>120</v>
      </c>
      <c r="C651">
        <v>300</v>
      </c>
    </row>
    <row r="652" spans="1:3" x14ac:dyDescent="0.3">
      <c r="A652" t="s">
        <v>41</v>
      </c>
      <c r="B652">
        <v>120</v>
      </c>
      <c r="C652">
        <v>300</v>
      </c>
    </row>
    <row r="653" spans="1:3" x14ac:dyDescent="0.3">
      <c r="A653" t="s">
        <v>41</v>
      </c>
      <c r="B653">
        <v>120</v>
      </c>
      <c r="C653">
        <v>300</v>
      </c>
    </row>
    <row r="654" spans="1:3" x14ac:dyDescent="0.3">
      <c r="A654" t="s">
        <v>42</v>
      </c>
      <c r="B654">
        <v>250</v>
      </c>
      <c r="C654">
        <v>7</v>
      </c>
    </row>
    <row r="655" spans="1:3" x14ac:dyDescent="0.3">
      <c r="A655" t="s">
        <v>42</v>
      </c>
      <c r="B655">
        <v>250</v>
      </c>
      <c r="C655">
        <v>300</v>
      </c>
    </row>
    <row r="656" spans="1:3" x14ac:dyDescent="0.3">
      <c r="A656" t="s">
        <v>42</v>
      </c>
      <c r="B656">
        <v>250</v>
      </c>
      <c r="C656">
        <v>300</v>
      </c>
    </row>
    <row r="657" spans="1:3" x14ac:dyDescent="0.3">
      <c r="A657" t="s">
        <v>42</v>
      </c>
      <c r="B657">
        <v>250</v>
      </c>
      <c r="C657">
        <v>300</v>
      </c>
    </row>
    <row r="658" spans="1:3" x14ac:dyDescent="0.3">
      <c r="A658" t="s">
        <v>42</v>
      </c>
      <c r="B658">
        <v>250</v>
      </c>
      <c r="C658">
        <v>300</v>
      </c>
    </row>
    <row r="659" spans="1:3" x14ac:dyDescent="0.3">
      <c r="A659" t="s">
        <v>42</v>
      </c>
      <c r="B659">
        <v>250</v>
      </c>
      <c r="C659">
        <v>350</v>
      </c>
    </row>
    <row r="660" spans="1:3" x14ac:dyDescent="0.3">
      <c r="A660" t="s">
        <v>44</v>
      </c>
      <c r="B660">
        <v>260</v>
      </c>
      <c r="C660">
        <v>300</v>
      </c>
    </row>
    <row r="661" spans="1:3" x14ac:dyDescent="0.3">
      <c r="A661" t="s">
        <v>44</v>
      </c>
      <c r="B661">
        <v>260</v>
      </c>
      <c r="C661">
        <v>125</v>
      </c>
    </row>
    <row r="662" spans="1:3" x14ac:dyDescent="0.3">
      <c r="A662" t="s">
        <v>44</v>
      </c>
      <c r="B662">
        <v>260</v>
      </c>
      <c r="C662">
        <v>12</v>
      </c>
    </row>
    <row r="663" spans="1:3" x14ac:dyDescent="0.3">
      <c r="A663" t="s">
        <v>44</v>
      </c>
      <c r="B663">
        <v>260</v>
      </c>
      <c r="C663">
        <v>15</v>
      </c>
    </row>
    <row r="664" spans="1:3" x14ac:dyDescent="0.3">
      <c r="A664" t="s">
        <v>44</v>
      </c>
      <c r="B664">
        <v>260</v>
      </c>
      <c r="C664">
        <v>12</v>
      </c>
    </row>
    <row r="665" spans="1:3" x14ac:dyDescent="0.3">
      <c r="A665" t="s">
        <v>44</v>
      </c>
      <c r="B665">
        <v>260</v>
      </c>
      <c r="C665">
        <v>7</v>
      </c>
    </row>
    <row r="666" spans="1:3" x14ac:dyDescent="0.3">
      <c r="A666" t="s">
        <v>44</v>
      </c>
      <c r="B666">
        <v>260</v>
      </c>
      <c r="C666">
        <v>7</v>
      </c>
    </row>
    <row r="667" spans="1:3" x14ac:dyDescent="0.3">
      <c r="A667" t="s">
        <v>44</v>
      </c>
      <c r="B667">
        <v>260</v>
      </c>
      <c r="C667">
        <v>15</v>
      </c>
    </row>
    <row r="668" spans="1:3" x14ac:dyDescent="0.3">
      <c r="A668" t="s">
        <v>19</v>
      </c>
      <c r="B668">
        <v>3</v>
      </c>
      <c r="C668">
        <v>125</v>
      </c>
    </row>
    <row r="669" spans="1:3" x14ac:dyDescent="0.3">
      <c r="A669" t="s">
        <v>19</v>
      </c>
      <c r="B669">
        <v>3</v>
      </c>
      <c r="C669">
        <v>125</v>
      </c>
    </row>
    <row r="670" spans="1:3" x14ac:dyDescent="0.3">
      <c r="A670" t="s">
        <v>19</v>
      </c>
      <c r="B670">
        <v>3</v>
      </c>
      <c r="C670">
        <v>125</v>
      </c>
    </row>
    <row r="671" spans="1:3" x14ac:dyDescent="0.3">
      <c r="A671" t="s">
        <v>28</v>
      </c>
      <c r="B671">
        <v>5</v>
      </c>
      <c r="C671">
        <v>300</v>
      </c>
    </row>
    <row r="672" spans="1:3" x14ac:dyDescent="0.3">
      <c r="A672" t="s">
        <v>38</v>
      </c>
      <c r="B672">
        <v>10</v>
      </c>
      <c r="C672">
        <v>20</v>
      </c>
    </row>
    <row r="673" spans="1:3" x14ac:dyDescent="0.3">
      <c r="A673" t="s">
        <v>38</v>
      </c>
      <c r="B673">
        <v>10</v>
      </c>
      <c r="C673">
        <v>15</v>
      </c>
    </row>
    <row r="674" spans="1:3" x14ac:dyDescent="0.3">
      <c r="A674" t="s">
        <v>38</v>
      </c>
      <c r="B674">
        <v>10</v>
      </c>
      <c r="C674">
        <v>7</v>
      </c>
    </row>
    <row r="675" spans="1:3" x14ac:dyDescent="0.3">
      <c r="A675" t="s">
        <v>38</v>
      </c>
      <c r="B675">
        <v>10</v>
      </c>
      <c r="C675">
        <v>350</v>
      </c>
    </row>
    <row r="676" spans="1:3" x14ac:dyDescent="0.3">
      <c r="A676" t="s">
        <v>38</v>
      </c>
      <c r="B676">
        <v>10</v>
      </c>
      <c r="C676">
        <v>15</v>
      </c>
    </row>
    <row r="677" spans="1:3" x14ac:dyDescent="0.3">
      <c r="A677" t="s">
        <v>38</v>
      </c>
      <c r="B677">
        <v>10</v>
      </c>
      <c r="C677">
        <v>20</v>
      </c>
    </row>
    <row r="678" spans="1:3" x14ac:dyDescent="0.3">
      <c r="A678" t="s">
        <v>38</v>
      </c>
      <c r="B678">
        <v>10</v>
      </c>
      <c r="C678">
        <v>125</v>
      </c>
    </row>
    <row r="679" spans="1:3" x14ac:dyDescent="0.3">
      <c r="A679" t="s">
        <v>38</v>
      </c>
      <c r="B679">
        <v>10</v>
      </c>
      <c r="C679">
        <v>15</v>
      </c>
    </row>
    <row r="680" spans="1:3" x14ac:dyDescent="0.3">
      <c r="A680" t="s">
        <v>38</v>
      </c>
      <c r="B680">
        <v>10</v>
      </c>
      <c r="C680">
        <v>350</v>
      </c>
    </row>
    <row r="681" spans="1:3" x14ac:dyDescent="0.3">
      <c r="A681" t="s">
        <v>38</v>
      </c>
      <c r="B681">
        <v>10</v>
      </c>
      <c r="C681">
        <v>350</v>
      </c>
    </row>
    <row r="682" spans="1:3" x14ac:dyDescent="0.3">
      <c r="A682" t="s">
        <v>38</v>
      </c>
      <c r="B682">
        <v>10</v>
      </c>
      <c r="C682">
        <v>12</v>
      </c>
    </row>
    <row r="683" spans="1:3" x14ac:dyDescent="0.3">
      <c r="A683" t="s">
        <v>38</v>
      </c>
      <c r="B683">
        <v>10</v>
      </c>
      <c r="C683">
        <v>20</v>
      </c>
    </row>
    <row r="684" spans="1:3" x14ac:dyDescent="0.3">
      <c r="A684" t="s">
        <v>41</v>
      </c>
      <c r="B684">
        <v>120</v>
      </c>
      <c r="C684">
        <v>12</v>
      </c>
    </row>
    <row r="685" spans="1:3" x14ac:dyDescent="0.3">
      <c r="A685" t="s">
        <v>41</v>
      </c>
      <c r="B685">
        <v>120</v>
      </c>
      <c r="C685">
        <v>15</v>
      </c>
    </row>
    <row r="686" spans="1:3" x14ac:dyDescent="0.3">
      <c r="A686" t="s">
        <v>41</v>
      </c>
      <c r="B686">
        <v>120</v>
      </c>
      <c r="C686">
        <v>125</v>
      </c>
    </row>
    <row r="687" spans="1:3" x14ac:dyDescent="0.3">
      <c r="A687" t="s">
        <v>41</v>
      </c>
      <c r="B687">
        <v>120</v>
      </c>
      <c r="C687">
        <v>300</v>
      </c>
    </row>
    <row r="688" spans="1:3" x14ac:dyDescent="0.3">
      <c r="A688" t="s">
        <v>41</v>
      </c>
      <c r="B688">
        <v>120</v>
      </c>
      <c r="C688">
        <v>125</v>
      </c>
    </row>
    <row r="689" spans="1:3" x14ac:dyDescent="0.3">
      <c r="A689" t="s">
        <v>41</v>
      </c>
      <c r="B689">
        <v>120</v>
      </c>
      <c r="C689">
        <v>12</v>
      </c>
    </row>
    <row r="690" spans="1:3" x14ac:dyDescent="0.3">
      <c r="A690" t="s">
        <v>42</v>
      </c>
      <c r="B690">
        <v>250</v>
      </c>
      <c r="C690">
        <v>20</v>
      </c>
    </row>
    <row r="691" spans="1:3" x14ac:dyDescent="0.3">
      <c r="A691" t="s">
        <v>42</v>
      </c>
      <c r="B691">
        <v>250</v>
      </c>
      <c r="C691">
        <v>15</v>
      </c>
    </row>
    <row r="692" spans="1:3" x14ac:dyDescent="0.3">
      <c r="A692" t="s">
        <v>42</v>
      </c>
      <c r="B692">
        <v>250</v>
      </c>
      <c r="C692">
        <v>20</v>
      </c>
    </row>
    <row r="693" spans="1:3" x14ac:dyDescent="0.3">
      <c r="A693" t="s">
        <v>42</v>
      </c>
      <c r="B693">
        <v>250</v>
      </c>
      <c r="C693">
        <v>15</v>
      </c>
    </row>
    <row r="694" spans="1:3" x14ac:dyDescent="0.3">
      <c r="A694" t="s">
        <v>42</v>
      </c>
      <c r="B694">
        <v>250</v>
      </c>
      <c r="C694">
        <v>125</v>
      </c>
    </row>
    <row r="695" spans="1:3" x14ac:dyDescent="0.3">
      <c r="A695" t="s">
        <v>42</v>
      </c>
      <c r="B695">
        <v>250</v>
      </c>
      <c r="C695">
        <v>125</v>
      </c>
    </row>
    <row r="696" spans="1:3" x14ac:dyDescent="0.3">
      <c r="A696" t="s">
        <v>42</v>
      </c>
      <c r="B696">
        <v>250</v>
      </c>
      <c r="C696">
        <v>20</v>
      </c>
    </row>
    <row r="697" spans="1:3" x14ac:dyDescent="0.3">
      <c r="A697" t="s">
        <v>44</v>
      </c>
      <c r="B697">
        <v>260</v>
      </c>
      <c r="C697">
        <v>300</v>
      </c>
    </row>
    <row r="698" spans="1:3" x14ac:dyDescent="0.3">
      <c r="A698" t="s">
        <v>44</v>
      </c>
      <c r="B698">
        <v>260</v>
      </c>
      <c r="C698">
        <v>300</v>
      </c>
    </row>
    <row r="699" spans="1:3" x14ac:dyDescent="0.3">
      <c r="A699" t="s">
        <v>28</v>
      </c>
      <c r="B699">
        <v>5</v>
      </c>
      <c r="C699">
        <v>7</v>
      </c>
    </row>
    <row r="700" spans="1:3" x14ac:dyDescent="0.3">
      <c r="A700" t="s">
        <v>38</v>
      </c>
      <c r="B700">
        <v>10</v>
      </c>
      <c r="C700">
        <v>7</v>
      </c>
    </row>
    <row r="701" spans="1:3" x14ac:dyDescent="0.3">
      <c r="A701" t="s">
        <v>42</v>
      </c>
      <c r="B701">
        <v>250</v>
      </c>
      <c r="C701">
        <v>12</v>
      </c>
    </row>
    <row r="702" spans="1:3" x14ac:dyDescent="0.3">
      <c r="A702" t="s">
        <v>41</v>
      </c>
      <c r="B702">
        <v>120</v>
      </c>
      <c r="C702">
        <v>20</v>
      </c>
    </row>
    <row r="703" spans="1:3" x14ac:dyDescent="0.3">
      <c r="A703" t="s">
        <v>41</v>
      </c>
      <c r="B703">
        <v>120</v>
      </c>
      <c r="C703">
        <v>125</v>
      </c>
    </row>
    <row r="704" spans="1:3" x14ac:dyDescent="0.3">
      <c r="A704" t="s">
        <v>41</v>
      </c>
      <c r="B704">
        <v>120</v>
      </c>
      <c r="C704">
        <v>125</v>
      </c>
    </row>
    <row r="705" spans="1:3" x14ac:dyDescent="0.3">
      <c r="A705" t="s">
        <v>41</v>
      </c>
      <c r="B705">
        <v>120</v>
      </c>
      <c r="C705">
        <v>20</v>
      </c>
    </row>
    <row r="706" spans="1:3" x14ac:dyDescent="0.3">
      <c r="A706" t="s">
        <v>41</v>
      </c>
      <c r="B706">
        <v>120</v>
      </c>
      <c r="C706">
        <v>300</v>
      </c>
    </row>
    <row r="707" spans="1:3" x14ac:dyDescent="0.3">
      <c r="A707" t="s">
        <v>42</v>
      </c>
      <c r="B707">
        <v>250</v>
      </c>
      <c r="C707">
        <v>20</v>
      </c>
    </row>
    <row r="708" spans="1:3" x14ac:dyDescent="0.3">
      <c r="A708" t="s">
        <v>42</v>
      </c>
      <c r="B708">
        <v>250</v>
      </c>
      <c r="C708">
        <v>20</v>
      </c>
    </row>
    <row r="709" spans="1:3" x14ac:dyDescent="0.3">
      <c r="A709" t="s">
        <v>42</v>
      </c>
      <c r="B709">
        <v>250</v>
      </c>
      <c r="C709">
        <v>20</v>
      </c>
    </row>
    <row r="710" spans="1:3" x14ac:dyDescent="0.3">
      <c r="A710" t="s">
        <v>42</v>
      </c>
      <c r="B710">
        <v>250</v>
      </c>
      <c r="C710">
        <v>20</v>
      </c>
    </row>
    <row r="711" spans="1:3" x14ac:dyDescent="0.3">
      <c r="A711" t="s">
        <v>42</v>
      </c>
      <c r="B711">
        <v>250</v>
      </c>
      <c r="C711">
        <v>7</v>
      </c>
    </row>
    <row r="712" spans="1:3" x14ac:dyDescent="0.3">
      <c r="A712" t="s">
        <v>42</v>
      </c>
      <c r="B712">
        <v>250</v>
      </c>
      <c r="C712">
        <v>7</v>
      </c>
    </row>
    <row r="713" spans="1:3" x14ac:dyDescent="0.3">
      <c r="A713" t="s">
        <v>44</v>
      </c>
      <c r="B713">
        <v>260</v>
      </c>
      <c r="C713">
        <v>350</v>
      </c>
    </row>
    <row r="714" spans="1:3" x14ac:dyDescent="0.3">
      <c r="A714" t="s">
        <v>44</v>
      </c>
      <c r="B714">
        <v>260</v>
      </c>
      <c r="C714">
        <v>350</v>
      </c>
    </row>
    <row r="715" spans="1:3" x14ac:dyDescent="0.3">
      <c r="A715" t="s">
        <v>44</v>
      </c>
      <c r="B715">
        <v>260</v>
      </c>
      <c r="C715">
        <v>350</v>
      </c>
    </row>
    <row r="716" spans="1:3" x14ac:dyDescent="0.3">
      <c r="A716" t="s">
        <v>44</v>
      </c>
      <c r="B716">
        <v>260</v>
      </c>
      <c r="C716">
        <v>300</v>
      </c>
    </row>
    <row r="717" spans="1:3" x14ac:dyDescent="0.3">
      <c r="A717" t="s">
        <v>38</v>
      </c>
      <c r="B717">
        <v>10</v>
      </c>
      <c r="C717">
        <v>15</v>
      </c>
    </row>
    <row r="718" spans="1:3" x14ac:dyDescent="0.3">
      <c r="A718" t="s">
        <v>19</v>
      </c>
      <c r="B718">
        <v>3</v>
      </c>
      <c r="C718">
        <v>20</v>
      </c>
    </row>
    <row r="719" spans="1:3" x14ac:dyDescent="0.3">
      <c r="A719" t="s">
        <v>19</v>
      </c>
      <c r="B719">
        <v>3</v>
      </c>
      <c r="C719">
        <v>15</v>
      </c>
    </row>
    <row r="720" spans="1:3" x14ac:dyDescent="0.3">
      <c r="A720" t="s">
        <v>19</v>
      </c>
      <c r="B720">
        <v>3</v>
      </c>
      <c r="C720">
        <v>12</v>
      </c>
    </row>
    <row r="721" spans="1:3" x14ac:dyDescent="0.3">
      <c r="A721" t="s">
        <v>19</v>
      </c>
      <c r="B721">
        <v>3</v>
      </c>
      <c r="C721">
        <v>12</v>
      </c>
    </row>
    <row r="722" spans="1:3" x14ac:dyDescent="0.3">
      <c r="A722" t="s">
        <v>19</v>
      </c>
      <c r="B722">
        <v>3</v>
      </c>
      <c r="C722">
        <v>15</v>
      </c>
    </row>
    <row r="723" spans="1:3" x14ac:dyDescent="0.3">
      <c r="A723" t="s">
        <v>19</v>
      </c>
      <c r="B723">
        <v>3</v>
      </c>
      <c r="C723">
        <v>7</v>
      </c>
    </row>
    <row r="724" spans="1:3" x14ac:dyDescent="0.3">
      <c r="A724" t="s">
        <v>19</v>
      </c>
      <c r="B724">
        <v>3</v>
      </c>
      <c r="C724">
        <v>125</v>
      </c>
    </row>
    <row r="725" spans="1:3" x14ac:dyDescent="0.3">
      <c r="A725" t="s">
        <v>28</v>
      </c>
      <c r="B725">
        <v>5</v>
      </c>
      <c r="C725">
        <v>350</v>
      </c>
    </row>
    <row r="726" spans="1:3" x14ac:dyDescent="0.3">
      <c r="A726" t="s">
        <v>28</v>
      </c>
      <c r="B726">
        <v>5</v>
      </c>
      <c r="C726">
        <v>350</v>
      </c>
    </row>
    <row r="727" spans="1:3" x14ac:dyDescent="0.3">
      <c r="A727" t="s">
        <v>28</v>
      </c>
      <c r="B727">
        <v>5</v>
      </c>
      <c r="C727">
        <v>7</v>
      </c>
    </row>
    <row r="728" spans="1:3" x14ac:dyDescent="0.3">
      <c r="A728" t="s">
        <v>28</v>
      </c>
      <c r="B728">
        <v>5</v>
      </c>
      <c r="C728">
        <v>12</v>
      </c>
    </row>
    <row r="729" spans="1:3" x14ac:dyDescent="0.3">
      <c r="A729" t="s">
        <v>38</v>
      </c>
      <c r="B729">
        <v>10</v>
      </c>
      <c r="C729">
        <v>350</v>
      </c>
    </row>
    <row r="730" spans="1:3" x14ac:dyDescent="0.3">
      <c r="A730" t="s">
        <v>38</v>
      </c>
      <c r="B730">
        <v>10</v>
      </c>
      <c r="C730">
        <v>12</v>
      </c>
    </row>
    <row r="731" spans="1:3" x14ac:dyDescent="0.3">
      <c r="A731" t="s">
        <v>38</v>
      </c>
      <c r="B731">
        <v>10</v>
      </c>
      <c r="C731">
        <v>350</v>
      </c>
    </row>
    <row r="732" spans="1:3" x14ac:dyDescent="0.3">
      <c r="A732" t="s">
        <v>41</v>
      </c>
      <c r="B732">
        <v>120</v>
      </c>
      <c r="C732">
        <v>125</v>
      </c>
    </row>
    <row r="733" spans="1:3" x14ac:dyDescent="0.3">
      <c r="A733" t="s">
        <v>41</v>
      </c>
      <c r="B733">
        <v>120</v>
      </c>
      <c r="C733">
        <v>125</v>
      </c>
    </row>
    <row r="734" spans="1:3" x14ac:dyDescent="0.3">
      <c r="A734" t="s">
        <v>41</v>
      </c>
      <c r="B734">
        <v>120</v>
      </c>
      <c r="C734">
        <v>15</v>
      </c>
    </row>
    <row r="735" spans="1:3" x14ac:dyDescent="0.3">
      <c r="A735" t="s">
        <v>41</v>
      </c>
      <c r="B735">
        <v>120</v>
      </c>
      <c r="C735">
        <v>350</v>
      </c>
    </row>
    <row r="736" spans="1:3" x14ac:dyDescent="0.3">
      <c r="A736" t="s">
        <v>41</v>
      </c>
      <c r="B736">
        <v>120</v>
      </c>
      <c r="C736">
        <v>7</v>
      </c>
    </row>
    <row r="737" spans="1:3" x14ac:dyDescent="0.3">
      <c r="A737" t="s">
        <v>41</v>
      </c>
      <c r="B737">
        <v>120</v>
      </c>
      <c r="C737">
        <v>300</v>
      </c>
    </row>
    <row r="738" spans="1:3" x14ac:dyDescent="0.3">
      <c r="A738" t="s">
        <v>41</v>
      </c>
      <c r="B738">
        <v>120</v>
      </c>
      <c r="C738">
        <v>350</v>
      </c>
    </row>
    <row r="739" spans="1:3" x14ac:dyDescent="0.3">
      <c r="A739" t="s">
        <v>42</v>
      </c>
      <c r="B739">
        <v>250</v>
      </c>
      <c r="C739">
        <v>15</v>
      </c>
    </row>
    <row r="740" spans="1:3" x14ac:dyDescent="0.3">
      <c r="A740" t="s">
        <v>42</v>
      </c>
      <c r="B740">
        <v>250</v>
      </c>
      <c r="C740">
        <v>7</v>
      </c>
    </row>
    <row r="741" spans="1:3" x14ac:dyDescent="0.3">
      <c r="A741" t="s">
        <v>42</v>
      </c>
      <c r="B741">
        <v>250</v>
      </c>
      <c r="C741">
        <v>300</v>
      </c>
    </row>
    <row r="742" spans="1:3" x14ac:dyDescent="0.3">
      <c r="A742" t="s">
        <v>42</v>
      </c>
      <c r="B742">
        <v>250</v>
      </c>
      <c r="C742">
        <v>20</v>
      </c>
    </row>
    <row r="743" spans="1:3" x14ac:dyDescent="0.3">
      <c r="A743" t="s">
        <v>42</v>
      </c>
      <c r="B743">
        <v>250</v>
      </c>
      <c r="C743">
        <v>300</v>
      </c>
    </row>
    <row r="744" spans="1:3" x14ac:dyDescent="0.3">
      <c r="A744" t="s">
        <v>44</v>
      </c>
      <c r="B744">
        <v>260</v>
      </c>
      <c r="C744">
        <v>125</v>
      </c>
    </row>
    <row r="745" spans="1:3" x14ac:dyDescent="0.3">
      <c r="A745" t="s">
        <v>44</v>
      </c>
      <c r="B745">
        <v>260</v>
      </c>
      <c r="C745">
        <v>350</v>
      </c>
    </row>
    <row r="746" spans="1:3" x14ac:dyDescent="0.3">
      <c r="A746" t="s">
        <v>44</v>
      </c>
      <c r="B746">
        <v>260</v>
      </c>
      <c r="C746">
        <v>350</v>
      </c>
    </row>
    <row r="747" spans="1:3" x14ac:dyDescent="0.3">
      <c r="A747" t="s">
        <v>44</v>
      </c>
      <c r="B747">
        <v>260</v>
      </c>
      <c r="C747">
        <v>7</v>
      </c>
    </row>
    <row r="748" spans="1:3" x14ac:dyDescent="0.3">
      <c r="A748" t="s">
        <v>44</v>
      </c>
      <c r="B748">
        <v>260</v>
      </c>
      <c r="C748">
        <v>350</v>
      </c>
    </row>
    <row r="749" spans="1:3" x14ac:dyDescent="0.3">
      <c r="A749" t="s">
        <v>28</v>
      </c>
      <c r="B749">
        <v>5</v>
      </c>
      <c r="C749">
        <v>20</v>
      </c>
    </row>
    <row r="750" spans="1:3" x14ac:dyDescent="0.3">
      <c r="A750" t="s">
        <v>38</v>
      </c>
      <c r="B750">
        <v>10</v>
      </c>
      <c r="C750">
        <v>15</v>
      </c>
    </row>
    <row r="751" spans="1:3" x14ac:dyDescent="0.3">
      <c r="A751" t="s">
        <v>38</v>
      </c>
      <c r="B751">
        <v>10</v>
      </c>
      <c r="C751">
        <v>15</v>
      </c>
    </row>
    <row r="752" spans="1:3" x14ac:dyDescent="0.3">
      <c r="A752" t="s">
        <v>38</v>
      </c>
      <c r="B752">
        <v>10</v>
      </c>
      <c r="C752">
        <v>15</v>
      </c>
    </row>
    <row r="753" spans="1:3" x14ac:dyDescent="0.3">
      <c r="A753" t="s">
        <v>38</v>
      </c>
      <c r="B753">
        <v>10</v>
      </c>
      <c r="C753">
        <v>20</v>
      </c>
    </row>
    <row r="754" spans="1:3" x14ac:dyDescent="0.3">
      <c r="A754" t="s">
        <v>41</v>
      </c>
      <c r="B754">
        <v>120</v>
      </c>
      <c r="C754">
        <v>20</v>
      </c>
    </row>
    <row r="755" spans="1:3" x14ac:dyDescent="0.3">
      <c r="A755" t="s">
        <v>41</v>
      </c>
      <c r="B755">
        <v>120</v>
      </c>
      <c r="C755">
        <v>7</v>
      </c>
    </row>
    <row r="756" spans="1:3" x14ac:dyDescent="0.3">
      <c r="A756" t="s">
        <v>42</v>
      </c>
      <c r="B756">
        <v>250</v>
      </c>
      <c r="C756">
        <v>15</v>
      </c>
    </row>
    <row r="757" spans="1:3" x14ac:dyDescent="0.3">
      <c r="A757" t="s">
        <v>19</v>
      </c>
      <c r="B757">
        <v>3</v>
      </c>
      <c r="C757">
        <v>12</v>
      </c>
    </row>
    <row r="758" spans="1:3" x14ac:dyDescent="0.3">
      <c r="A758" t="s">
        <v>19</v>
      </c>
      <c r="B758">
        <v>3</v>
      </c>
      <c r="C758">
        <v>12</v>
      </c>
    </row>
    <row r="759" spans="1:3" x14ac:dyDescent="0.3">
      <c r="A759" t="s">
        <v>19</v>
      </c>
      <c r="B759">
        <v>3</v>
      </c>
      <c r="C759">
        <v>20</v>
      </c>
    </row>
    <row r="760" spans="1:3" x14ac:dyDescent="0.3">
      <c r="A760" t="s">
        <v>28</v>
      </c>
      <c r="B760">
        <v>5</v>
      </c>
      <c r="C760">
        <v>12</v>
      </c>
    </row>
    <row r="761" spans="1:3" x14ac:dyDescent="0.3">
      <c r="A761" t="s">
        <v>28</v>
      </c>
      <c r="B761">
        <v>5</v>
      </c>
      <c r="C761">
        <v>12</v>
      </c>
    </row>
    <row r="762" spans="1:3" x14ac:dyDescent="0.3">
      <c r="A762" t="s">
        <v>38</v>
      </c>
      <c r="B762">
        <v>10</v>
      </c>
      <c r="C762">
        <v>7</v>
      </c>
    </row>
    <row r="763" spans="1:3" x14ac:dyDescent="0.3">
      <c r="A763" t="s">
        <v>41</v>
      </c>
      <c r="B763">
        <v>120</v>
      </c>
      <c r="C763">
        <v>15</v>
      </c>
    </row>
    <row r="764" spans="1:3" x14ac:dyDescent="0.3">
      <c r="A764" t="s">
        <v>41</v>
      </c>
      <c r="B764">
        <v>120</v>
      </c>
      <c r="C764">
        <v>7</v>
      </c>
    </row>
    <row r="765" spans="1:3" x14ac:dyDescent="0.3">
      <c r="A765" t="s">
        <v>41</v>
      </c>
      <c r="B765">
        <v>120</v>
      </c>
      <c r="C765">
        <v>7</v>
      </c>
    </row>
    <row r="766" spans="1:3" x14ac:dyDescent="0.3">
      <c r="A766" t="s">
        <v>41</v>
      </c>
      <c r="B766">
        <v>120</v>
      </c>
      <c r="C766">
        <v>7</v>
      </c>
    </row>
    <row r="767" spans="1:3" x14ac:dyDescent="0.3">
      <c r="A767" t="s">
        <v>42</v>
      </c>
      <c r="B767">
        <v>250</v>
      </c>
      <c r="C767">
        <v>12</v>
      </c>
    </row>
    <row r="768" spans="1:3" x14ac:dyDescent="0.3">
      <c r="A768" t="s">
        <v>42</v>
      </c>
      <c r="B768">
        <v>250</v>
      </c>
      <c r="C768">
        <v>12</v>
      </c>
    </row>
    <row r="769" spans="1:3" x14ac:dyDescent="0.3">
      <c r="A769" t="s">
        <v>42</v>
      </c>
      <c r="B769">
        <v>250</v>
      </c>
      <c r="C769">
        <v>7</v>
      </c>
    </row>
    <row r="770" spans="1:3" x14ac:dyDescent="0.3">
      <c r="A770" t="s">
        <v>44</v>
      </c>
      <c r="B770">
        <v>260</v>
      </c>
      <c r="C770">
        <v>7</v>
      </c>
    </row>
    <row r="771" spans="1:3" x14ac:dyDescent="0.3">
      <c r="A771" t="s">
        <v>19</v>
      </c>
      <c r="B771">
        <v>3</v>
      </c>
      <c r="C771">
        <v>350</v>
      </c>
    </row>
    <row r="772" spans="1:3" x14ac:dyDescent="0.3">
      <c r="A772" t="s">
        <v>19</v>
      </c>
      <c r="B772">
        <v>3</v>
      </c>
      <c r="C772">
        <v>300</v>
      </c>
    </row>
    <row r="773" spans="1:3" x14ac:dyDescent="0.3">
      <c r="A773" t="s">
        <v>19</v>
      </c>
      <c r="B773">
        <v>3</v>
      </c>
      <c r="C773">
        <v>300</v>
      </c>
    </row>
    <row r="774" spans="1:3" x14ac:dyDescent="0.3">
      <c r="A774" t="s">
        <v>28</v>
      </c>
      <c r="B774">
        <v>5</v>
      </c>
      <c r="C774">
        <v>20</v>
      </c>
    </row>
    <row r="775" spans="1:3" x14ac:dyDescent="0.3">
      <c r="A775" t="s">
        <v>28</v>
      </c>
      <c r="B775">
        <v>5</v>
      </c>
      <c r="C775">
        <v>300</v>
      </c>
    </row>
    <row r="776" spans="1:3" x14ac:dyDescent="0.3">
      <c r="A776" t="s">
        <v>28</v>
      </c>
      <c r="B776">
        <v>5</v>
      </c>
      <c r="C776">
        <v>125</v>
      </c>
    </row>
    <row r="777" spans="1:3" x14ac:dyDescent="0.3">
      <c r="A777" t="s">
        <v>38</v>
      </c>
      <c r="B777">
        <v>10</v>
      </c>
      <c r="C777">
        <v>300</v>
      </c>
    </row>
    <row r="778" spans="1:3" x14ac:dyDescent="0.3">
      <c r="A778" t="s">
        <v>38</v>
      </c>
      <c r="B778">
        <v>10</v>
      </c>
      <c r="C778">
        <v>300</v>
      </c>
    </row>
    <row r="779" spans="1:3" x14ac:dyDescent="0.3">
      <c r="A779" t="s">
        <v>38</v>
      </c>
      <c r="B779">
        <v>10</v>
      </c>
      <c r="C779">
        <v>125</v>
      </c>
    </row>
    <row r="780" spans="1:3" x14ac:dyDescent="0.3">
      <c r="A780" t="s">
        <v>38</v>
      </c>
      <c r="B780">
        <v>10</v>
      </c>
      <c r="C780">
        <v>15</v>
      </c>
    </row>
    <row r="781" spans="1:3" x14ac:dyDescent="0.3">
      <c r="A781" t="s">
        <v>38</v>
      </c>
      <c r="B781">
        <v>10</v>
      </c>
      <c r="C781">
        <v>15</v>
      </c>
    </row>
    <row r="782" spans="1:3" x14ac:dyDescent="0.3">
      <c r="A782" t="s">
        <v>38</v>
      </c>
      <c r="B782">
        <v>10</v>
      </c>
      <c r="C782">
        <v>20</v>
      </c>
    </row>
    <row r="783" spans="1:3" x14ac:dyDescent="0.3">
      <c r="A783" t="s">
        <v>38</v>
      </c>
      <c r="B783">
        <v>10</v>
      </c>
      <c r="C783">
        <v>300</v>
      </c>
    </row>
    <row r="784" spans="1:3" x14ac:dyDescent="0.3">
      <c r="A784" t="s">
        <v>38</v>
      </c>
      <c r="B784">
        <v>10</v>
      </c>
      <c r="C784">
        <v>300</v>
      </c>
    </row>
    <row r="785" spans="1:3" x14ac:dyDescent="0.3">
      <c r="A785" t="s">
        <v>38</v>
      </c>
      <c r="B785">
        <v>10</v>
      </c>
      <c r="C785">
        <v>12</v>
      </c>
    </row>
    <row r="786" spans="1:3" x14ac:dyDescent="0.3">
      <c r="A786" t="s">
        <v>38</v>
      </c>
      <c r="B786">
        <v>10</v>
      </c>
      <c r="C786">
        <v>7</v>
      </c>
    </row>
    <row r="787" spans="1:3" x14ac:dyDescent="0.3">
      <c r="A787" t="s">
        <v>41</v>
      </c>
      <c r="B787">
        <v>120</v>
      </c>
      <c r="C787">
        <v>300</v>
      </c>
    </row>
    <row r="788" spans="1:3" x14ac:dyDescent="0.3">
      <c r="A788" t="s">
        <v>41</v>
      </c>
      <c r="B788">
        <v>120</v>
      </c>
      <c r="C788">
        <v>20</v>
      </c>
    </row>
    <row r="789" spans="1:3" x14ac:dyDescent="0.3">
      <c r="A789" t="s">
        <v>41</v>
      </c>
      <c r="B789">
        <v>120</v>
      </c>
      <c r="C789">
        <v>125</v>
      </c>
    </row>
    <row r="790" spans="1:3" x14ac:dyDescent="0.3">
      <c r="A790" t="s">
        <v>41</v>
      </c>
      <c r="B790">
        <v>120</v>
      </c>
      <c r="C790">
        <v>20</v>
      </c>
    </row>
    <row r="791" spans="1:3" x14ac:dyDescent="0.3">
      <c r="A791" t="s">
        <v>41</v>
      </c>
      <c r="B791">
        <v>120</v>
      </c>
      <c r="C791">
        <v>20</v>
      </c>
    </row>
    <row r="792" spans="1:3" x14ac:dyDescent="0.3">
      <c r="A792" t="s">
        <v>41</v>
      </c>
      <c r="B792">
        <v>120</v>
      </c>
      <c r="C792">
        <v>300</v>
      </c>
    </row>
    <row r="793" spans="1:3" x14ac:dyDescent="0.3">
      <c r="A793" t="s">
        <v>41</v>
      </c>
      <c r="B793">
        <v>120</v>
      </c>
      <c r="C793">
        <v>20</v>
      </c>
    </row>
    <row r="794" spans="1:3" x14ac:dyDescent="0.3">
      <c r="A794" t="s">
        <v>42</v>
      </c>
      <c r="B794">
        <v>250</v>
      </c>
      <c r="C794">
        <v>12</v>
      </c>
    </row>
    <row r="795" spans="1:3" x14ac:dyDescent="0.3">
      <c r="A795" t="s">
        <v>42</v>
      </c>
      <c r="B795">
        <v>250</v>
      </c>
      <c r="C795">
        <v>300</v>
      </c>
    </row>
    <row r="796" spans="1:3" x14ac:dyDescent="0.3">
      <c r="A796" t="s">
        <v>42</v>
      </c>
      <c r="B796">
        <v>250</v>
      </c>
      <c r="C796">
        <v>300</v>
      </c>
    </row>
    <row r="797" spans="1:3" x14ac:dyDescent="0.3">
      <c r="A797" t="s">
        <v>44</v>
      </c>
      <c r="B797">
        <v>260</v>
      </c>
      <c r="C797">
        <v>125</v>
      </c>
    </row>
    <row r="798" spans="1:3" x14ac:dyDescent="0.3">
      <c r="A798" t="s">
        <v>44</v>
      </c>
      <c r="B798">
        <v>260</v>
      </c>
      <c r="C798">
        <v>350</v>
      </c>
    </row>
    <row r="799" spans="1:3" x14ac:dyDescent="0.3">
      <c r="A799" t="s">
        <v>44</v>
      </c>
      <c r="B799">
        <v>260</v>
      </c>
      <c r="C799">
        <v>125</v>
      </c>
    </row>
    <row r="800" spans="1:3" x14ac:dyDescent="0.3">
      <c r="A800" t="s">
        <v>44</v>
      </c>
      <c r="B800">
        <v>260</v>
      </c>
      <c r="C800">
        <v>20</v>
      </c>
    </row>
    <row r="801" spans="1:3" x14ac:dyDescent="0.3">
      <c r="A801" t="s">
        <v>44</v>
      </c>
      <c r="B801">
        <v>260</v>
      </c>
      <c r="C801">
        <v>300</v>
      </c>
    </row>
    <row r="802" spans="1:3" x14ac:dyDescent="0.3">
      <c r="A802" t="s">
        <v>28</v>
      </c>
      <c r="B802">
        <v>5</v>
      </c>
      <c r="C802">
        <v>7</v>
      </c>
    </row>
    <row r="803" spans="1:3" x14ac:dyDescent="0.3">
      <c r="A803" t="s">
        <v>28</v>
      </c>
      <c r="B803">
        <v>5</v>
      </c>
      <c r="C803">
        <v>20</v>
      </c>
    </row>
    <row r="804" spans="1:3" x14ac:dyDescent="0.3">
      <c r="A804" t="s">
        <v>38</v>
      </c>
      <c r="B804">
        <v>10</v>
      </c>
      <c r="C804">
        <v>7</v>
      </c>
    </row>
    <row r="805" spans="1:3" x14ac:dyDescent="0.3">
      <c r="A805" t="s">
        <v>44</v>
      </c>
      <c r="B805">
        <v>260</v>
      </c>
      <c r="C805">
        <v>20</v>
      </c>
    </row>
    <row r="806" spans="1:3" x14ac:dyDescent="0.3">
      <c r="A806" t="s">
        <v>19</v>
      </c>
      <c r="B806">
        <v>3</v>
      </c>
      <c r="C806">
        <v>125</v>
      </c>
    </row>
    <row r="807" spans="1:3" x14ac:dyDescent="0.3">
      <c r="A807" t="s">
        <v>19</v>
      </c>
      <c r="B807">
        <v>3</v>
      </c>
      <c r="C807">
        <v>15</v>
      </c>
    </row>
    <row r="808" spans="1:3" x14ac:dyDescent="0.3">
      <c r="A808" t="s">
        <v>19</v>
      </c>
      <c r="B808">
        <v>3</v>
      </c>
      <c r="C808">
        <v>350</v>
      </c>
    </row>
    <row r="809" spans="1:3" x14ac:dyDescent="0.3">
      <c r="A809" t="s">
        <v>28</v>
      </c>
      <c r="B809">
        <v>5</v>
      </c>
      <c r="C809">
        <v>15</v>
      </c>
    </row>
    <row r="810" spans="1:3" x14ac:dyDescent="0.3">
      <c r="A810" t="s">
        <v>28</v>
      </c>
      <c r="B810">
        <v>5</v>
      </c>
      <c r="C810">
        <v>20</v>
      </c>
    </row>
    <row r="811" spans="1:3" x14ac:dyDescent="0.3">
      <c r="A811" t="s">
        <v>28</v>
      </c>
      <c r="B811">
        <v>5</v>
      </c>
      <c r="C811">
        <v>20</v>
      </c>
    </row>
    <row r="812" spans="1:3" x14ac:dyDescent="0.3">
      <c r="A812" t="s">
        <v>28</v>
      </c>
      <c r="B812">
        <v>5</v>
      </c>
      <c r="C812">
        <v>300</v>
      </c>
    </row>
    <row r="813" spans="1:3" x14ac:dyDescent="0.3">
      <c r="A813" t="s">
        <v>28</v>
      </c>
      <c r="B813">
        <v>5</v>
      </c>
      <c r="C813">
        <v>300</v>
      </c>
    </row>
    <row r="814" spans="1:3" x14ac:dyDescent="0.3">
      <c r="A814" t="s">
        <v>28</v>
      </c>
      <c r="B814">
        <v>5</v>
      </c>
      <c r="C814">
        <v>15</v>
      </c>
    </row>
    <row r="815" spans="1:3" x14ac:dyDescent="0.3">
      <c r="A815" t="s">
        <v>38</v>
      </c>
      <c r="B815">
        <v>10</v>
      </c>
      <c r="C815">
        <v>125</v>
      </c>
    </row>
    <row r="816" spans="1:3" x14ac:dyDescent="0.3">
      <c r="A816" t="s">
        <v>38</v>
      </c>
      <c r="B816">
        <v>10</v>
      </c>
      <c r="C816">
        <v>7</v>
      </c>
    </row>
    <row r="817" spans="1:3" x14ac:dyDescent="0.3">
      <c r="A817" t="s">
        <v>38</v>
      </c>
      <c r="B817">
        <v>10</v>
      </c>
      <c r="C817">
        <v>7</v>
      </c>
    </row>
    <row r="818" spans="1:3" x14ac:dyDescent="0.3">
      <c r="A818" t="s">
        <v>38</v>
      </c>
      <c r="B818">
        <v>10</v>
      </c>
      <c r="C818">
        <v>20</v>
      </c>
    </row>
    <row r="819" spans="1:3" x14ac:dyDescent="0.3">
      <c r="A819" t="s">
        <v>38</v>
      </c>
      <c r="B819">
        <v>10</v>
      </c>
      <c r="C819">
        <v>300</v>
      </c>
    </row>
    <row r="820" spans="1:3" x14ac:dyDescent="0.3">
      <c r="A820" t="s">
        <v>38</v>
      </c>
      <c r="B820">
        <v>10</v>
      </c>
      <c r="C820">
        <v>7</v>
      </c>
    </row>
    <row r="821" spans="1:3" x14ac:dyDescent="0.3">
      <c r="A821" t="s">
        <v>38</v>
      </c>
      <c r="B821">
        <v>10</v>
      </c>
      <c r="C821">
        <v>7</v>
      </c>
    </row>
    <row r="822" spans="1:3" x14ac:dyDescent="0.3">
      <c r="A822" t="s">
        <v>38</v>
      </c>
      <c r="B822">
        <v>10</v>
      </c>
      <c r="C822">
        <v>7</v>
      </c>
    </row>
    <row r="823" spans="1:3" x14ac:dyDescent="0.3">
      <c r="A823" t="s">
        <v>19</v>
      </c>
      <c r="B823">
        <v>3</v>
      </c>
      <c r="C823">
        <v>20</v>
      </c>
    </row>
    <row r="824" spans="1:3" x14ac:dyDescent="0.3">
      <c r="A824" t="s">
        <v>19</v>
      </c>
      <c r="B824">
        <v>3</v>
      </c>
      <c r="C824">
        <v>7</v>
      </c>
    </row>
    <row r="825" spans="1:3" x14ac:dyDescent="0.3">
      <c r="A825" t="s">
        <v>19</v>
      </c>
      <c r="B825">
        <v>3</v>
      </c>
      <c r="C825">
        <v>7</v>
      </c>
    </row>
    <row r="826" spans="1:3" x14ac:dyDescent="0.3">
      <c r="A826" t="s">
        <v>28</v>
      </c>
      <c r="B826">
        <v>5</v>
      </c>
      <c r="C826">
        <v>7</v>
      </c>
    </row>
    <row r="827" spans="1:3" x14ac:dyDescent="0.3">
      <c r="A827" t="s">
        <v>28</v>
      </c>
      <c r="B827">
        <v>5</v>
      </c>
      <c r="C827">
        <v>7</v>
      </c>
    </row>
    <row r="828" spans="1:3" x14ac:dyDescent="0.3">
      <c r="A828" t="s">
        <v>38</v>
      </c>
      <c r="B828">
        <v>10</v>
      </c>
      <c r="C828">
        <v>15</v>
      </c>
    </row>
    <row r="829" spans="1:3" x14ac:dyDescent="0.3">
      <c r="A829" t="s">
        <v>38</v>
      </c>
      <c r="B829">
        <v>10</v>
      </c>
      <c r="C829">
        <v>20</v>
      </c>
    </row>
    <row r="830" spans="1:3" x14ac:dyDescent="0.3">
      <c r="A830" t="s">
        <v>38</v>
      </c>
      <c r="B830">
        <v>10</v>
      </c>
      <c r="C830">
        <v>15</v>
      </c>
    </row>
    <row r="831" spans="1:3" x14ac:dyDescent="0.3">
      <c r="A831" t="s">
        <v>38</v>
      </c>
      <c r="B831">
        <v>10</v>
      </c>
      <c r="C831">
        <v>12</v>
      </c>
    </row>
    <row r="832" spans="1:3" x14ac:dyDescent="0.3">
      <c r="A832" t="s">
        <v>42</v>
      </c>
      <c r="B832">
        <v>250</v>
      </c>
      <c r="C832">
        <v>7</v>
      </c>
    </row>
    <row r="833" spans="1:3" x14ac:dyDescent="0.3">
      <c r="A833" t="s">
        <v>44</v>
      </c>
      <c r="B833">
        <v>260</v>
      </c>
      <c r="C833">
        <v>12</v>
      </c>
    </row>
    <row r="834" spans="1:3" x14ac:dyDescent="0.3">
      <c r="A834" t="s">
        <v>44</v>
      </c>
      <c r="B834">
        <v>260</v>
      </c>
      <c r="C834">
        <v>12</v>
      </c>
    </row>
    <row r="835" spans="1:3" x14ac:dyDescent="0.3">
      <c r="A835" t="s">
        <v>19</v>
      </c>
      <c r="B835">
        <v>3</v>
      </c>
      <c r="C835">
        <v>300</v>
      </c>
    </row>
    <row r="836" spans="1:3" x14ac:dyDescent="0.3">
      <c r="A836" t="s">
        <v>19</v>
      </c>
      <c r="B836">
        <v>3</v>
      </c>
      <c r="C836">
        <v>125</v>
      </c>
    </row>
    <row r="837" spans="1:3" x14ac:dyDescent="0.3">
      <c r="A837" t="s">
        <v>19</v>
      </c>
      <c r="B837">
        <v>3</v>
      </c>
      <c r="C837">
        <v>300</v>
      </c>
    </row>
    <row r="838" spans="1:3" x14ac:dyDescent="0.3">
      <c r="A838" t="s">
        <v>19</v>
      </c>
      <c r="B838">
        <v>3</v>
      </c>
      <c r="C838">
        <v>300</v>
      </c>
    </row>
    <row r="839" spans="1:3" x14ac:dyDescent="0.3">
      <c r="A839" t="s">
        <v>19</v>
      </c>
      <c r="B839">
        <v>3</v>
      </c>
      <c r="C839">
        <v>15</v>
      </c>
    </row>
    <row r="840" spans="1:3" x14ac:dyDescent="0.3">
      <c r="A840" t="s">
        <v>19</v>
      </c>
      <c r="B840">
        <v>3</v>
      </c>
      <c r="C840">
        <v>15</v>
      </c>
    </row>
    <row r="841" spans="1:3" x14ac:dyDescent="0.3">
      <c r="A841" t="s">
        <v>19</v>
      </c>
      <c r="B841">
        <v>3</v>
      </c>
      <c r="C841">
        <v>125</v>
      </c>
    </row>
    <row r="842" spans="1:3" x14ac:dyDescent="0.3">
      <c r="A842" t="s">
        <v>28</v>
      </c>
      <c r="B842">
        <v>5</v>
      </c>
      <c r="C842">
        <v>350</v>
      </c>
    </row>
    <row r="843" spans="1:3" x14ac:dyDescent="0.3">
      <c r="A843" t="s">
        <v>28</v>
      </c>
      <c r="B843">
        <v>5</v>
      </c>
      <c r="C843">
        <v>350</v>
      </c>
    </row>
    <row r="844" spans="1:3" x14ac:dyDescent="0.3">
      <c r="A844" t="s">
        <v>28</v>
      </c>
      <c r="B844">
        <v>5</v>
      </c>
      <c r="C844">
        <v>350</v>
      </c>
    </row>
    <row r="845" spans="1:3" x14ac:dyDescent="0.3">
      <c r="A845" t="s">
        <v>28</v>
      </c>
      <c r="B845">
        <v>5</v>
      </c>
      <c r="C845">
        <v>7</v>
      </c>
    </row>
    <row r="846" spans="1:3" x14ac:dyDescent="0.3">
      <c r="A846" t="s">
        <v>28</v>
      </c>
      <c r="B846">
        <v>5</v>
      </c>
      <c r="C846">
        <v>7</v>
      </c>
    </row>
    <row r="847" spans="1:3" x14ac:dyDescent="0.3">
      <c r="A847" t="s">
        <v>28</v>
      </c>
      <c r="B847">
        <v>5</v>
      </c>
      <c r="C847">
        <v>15</v>
      </c>
    </row>
    <row r="848" spans="1:3" x14ac:dyDescent="0.3">
      <c r="A848" t="s">
        <v>38</v>
      </c>
      <c r="B848">
        <v>10</v>
      </c>
      <c r="C848">
        <v>20</v>
      </c>
    </row>
    <row r="849" spans="1:3" x14ac:dyDescent="0.3">
      <c r="A849" t="s">
        <v>38</v>
      </c>
      <c r="B849">
        <v>10</v>
      </c>
      <c r="C849">
        <v>15</v>
      </c>
    </row>
    <row r="850" spans="1:3" x14ac:dyDescent="0.3">
      <c r="A850" t="s">
        <v>38</v>
      </c>
      <c r="B850">
        <v>10</v>
      </c>
      <c r="C850">
        <v>15</v>
      </c>
    </row>
    <row r="851" spans="1:3" x14ac:dyDescent="0.3">
      <c r="A851" t="s">
        <v>38</v>
      </c>
      <c r="B851">
        <v>10</v>
      </c>
      <c r="C851">
        <v>12</v>
      </c>
    </row>
    <row r="852" spans="1:3" x14ac:dyDescent="0.3">
      <c r="A852" t="s">
        <v>38</v>
      </c>
      <c r="B852">
        <v>10</v>
      </c>
      <c r="C852">
        <v>7</v>
      </c>
    </row>
    <row r="853" spans="1:3" x14ac:dyDescent="0.3">
      <c r="A853" t="s">
        <v>38</v>
      </c>
      <c r="B853">
        <v>10</v>
      </c>
      <c r="C853">
        <v>350</v>
      </c>
    </row>
    <row r="854" spans="1:3" x14ac:dyDescent="0.3">
      <c r="A854" t="s">
        <v>38</v>
      </c>
      <c r="B854">
        <v>10</v>
      </c>
      <c r="C854">
        <v>12</v>
      </c>
    </row>
    <row r="855" spans="1:3" x14ac:dyDescent="0.3">
      <c r="A855" t="s">
        <v>38</v>
      </c>
      <c r="B855">
        <v>10</v>
      </c>
      <c r="C855">
        <v>350</v>
      </c>
    </row>
    <row r="856" spans="1:3" x14ac:dyDescent="0.3">
      <c r="A856" t="s">
        <v>38</v>
      </c>
      <c r="B856">
        <v>10</v>
      </c>
      <c r="C856">
        <v>350</v>
      </c>
    </row>
    <row r="857" spans="1:3" x14ac:dyDescent="0.3">
      <c r="A857" t="s">
        <v>41</v>
      </c>
      <c r="B857">
        <v>120</v>
      </c>
      <c r="C857">
        <v>125</v>
      </c>
    </row>
    <row r="858" spans="1:3" x14ac:dyDescent="0.3">
      <c r="A858" t="s">
        <v>41</v>
      </c>
      <c r="B858">
        <v>120</v>
      </c>
      <c r="C858">
        <v>20</v>
      </c>
    </row>
    <row r="859" spans="1:3" x14ac:dyDescent="0.3">
      <c r="A859" t="s">
        <v>41</v>
      </c>
      <c r="B859">
        <v>120</v>
      </c>
      <c r="C859">
        <v>300</v>
      </c>
    </row>
    <row r="860" spans="1:3" x14ac:dyDescent="0.3">
      <c r="A860" t="s">
        <v>41</v>
      </c>
      <c r="B860">
        <v>120</v>
      </c>
      <c r="C860">
        <v>300</v>
      </c>
    </row>
    <row r="861" spans="1:3" x14ac:dyDescent="0.3">
      <c r="A861" t="s">
        <v>41</v>
      </c>
      <c r="B861">
        <v>120</v>
      </c>
      <c r="C861">
        <v>300</v>
      </c>
    </row>
    <row r="862" spans="1:3" x14ac:dyDescent="0.3">
      <c r="A862" t="s">
        <v>42</v>
      </c>
      <c r="B862">
        <v>250</v>
      </c>
      <c r="C862">
        <v>7</v>
      </c>
    </row>
    <row r="863" spans="1:3" x14ac:dyDescent="0.3">
      <c r="A863" t="s">
        <v>42</v>
      </c>
      <c r="B863">
        <v>250</v>
      </c>
      <c r="C863">
        <v>300</v>
      </c>
    </row>
    <row r="864" spans="1:3" x14ac:dyDescent="0.3">
      <c r="A864" t="s">
        <v>42</v>
      </c>
      <c r="B864">
        <v>250</v>
      </c>
      <c r="C864">
        <v>300</v>
      </c>
    </row>
    <row r="865" spans="1:3" x14ac:dyDescent="0.3">
      <c r="A865" t="s">
        <v>42</v>
      </c>
      <c r="B865">
        <v>250</v>
      </c>
      <c r="C865">
        <v>300</v>
      </c>
    </row>
    <row r="866" spans="1:3" x14ac:dyDescent="0.3">
      <c r="A866" t="s">
        <v>42</v>
      </c>
      <c r="B866">
        <v>250</v>
      </c>
      <c r="C866">
        <v>300</v>
      </c>
    </row>
    <row r="867" spans="1:3" x14ac:dyDescent="0.3">
      <c r="A867" t="s">
        <v>42</v>
      </c>
      <c r="B867">
        <v>250</v>
      </c>
      <c r="C867">
        <v>350</v>
      </c>
    </row>
    <row r="868" spans="1:3" x14ac:dyDescent="0.3">
      <c r="A868" t="s">
        <v>44</v>
      </c>
      <c r="B868">
        <v>260</v>
      </c>
      <c r="C868">
        <v>300</v>
      </c>
    </row>
    <row r="869" spans="1:3" x14ac:dyDescent="0.3">
      <c r="A869" t="s">
        <v>44</v>
      </c>
      <c r="B869">
        <v>260</v>
      </c>
      <c r="C869">
        <v>125</v>
      </c>
    </row>
    <row r="870" spans="1:3" x14ac:dyDescent="0.3">
      <c r="A870" t="s">
        <v>44</v>
      </c>
      <c r="B870">
        <v>260</v>
      </c>
      <c r="C870">
        <v>12</v>
      </c>
    </row>
    <row r="871" spans="1:3" x14ac:dyDescent="0.3">
      <c r="A871" t="s">
        <v>44</v>
      </c>
      <c r="B871">
        <v>260</v>
      </c>
      <c r="C871">
        <v>15</v>
      </c>
    </row>
    <row r="872" spans="1:3" x14ac:dyDescent="0.3">
      <c r="A872" t="s">
        <v>44</v>
      </c>
      <c r="B872">
        <v>260</v>
      </c>
      <c r="C872">
        <v>12</v>
      </c>
    </row>
    <row r="873" spans="1:3" x14ac:dyDescent="0.3">
      <c r="A873" t="s">
        <v>44</v>
      </c>
      <c r="B873">
        <v>260</v>
      </c>
      <c r="C873">
        <v>7</v>
      </c>
    </row>
    <row r="874" spans="1:3" x14ac:dyDescent="0.3">
      <c r="A874" t="s">
        <v>44</v>
      </c>
      <c r="B874">
        <v>260</v>
      </c>
      <c r="C874">
        <v>7</v>
      </c>
    </row>
    <row r="875" spans="1:3" x14ac:dyDescent="0.3">
      <c r="A875" t="s">
        <v>44</v>
      </c>
      <c r="B875">
        <v>260</v>
      </c>
      <c r="C875">
        <v>15</v>
      </c>
    </row>
    <row r="876" spans="1:3" x14ac:dyDescent="0.3">
      <c r="A876" t="s">
        <v>19</v>
      </c>
      <c r="B876">
        <v>3</v>
      </c>
      <c r="C876">
        <v>125</v>
      </c>
    </row>
    <row r="877" spans="1:3" x14ac:dyDescent="0.3">
      <c r="A877" t="s">
        <v>19</v>
      </c>
      <c r="B877">
        <v>3</v>
      </c>
      <c r="C877">
        <v>125</v>
      </c>
    </row>
    <row r="878" spans="1:3" x14ac:dyDescent="0.3">
      <c r="A878" t="s">
        <v>19</v>
      </c>
      <c r="B878">
        <v>3</v>
      </c>
      <c r="C878">
        <v>125</v>
      </c>
    </row>
    <row r="879" spans="1:3" x14ac:dyDescent="0.3">
      <c r="A879" t="s">
        <v>28</v>
      </c>
      <c r="B879">
        <v>5</v>
      </c>
      <c r="C879">
        <v>300</v>
      </c>
    </row>
    <row r="880" spans="1:3" x14ac:dyDescent="0.3">
      <c r="A880" t="s">
        <v>38</v>
      </c>
      <c r="B880">
        <v>10</v>
      </c>
      <c r="C880">
        <v>20</v>
      </c>
    </row>
    <row r="881" spans="1:3" x14ac:dyDescent="0.3">
      <c r="A881" t="s">
        <v>38</v>
      </c>
      <c r="B881">
        <v>10</v>
      </c>
      <c r="C881">
        <v>15</v>
      </c>
    </row>
    <row r="882" spans="1:3" x14ac:dyDescent="0.3">
      <c r="A882" t="s">
        <v>38</v>
      </c>
      <c r="B882">
        <v>10</v>
      </c>
      <c r="C882">
        <v>7</v>
      </c>
    </row>
    <row r="883" spans="1:3" x14ac:dyDescent="0.3">
      <c r="A883" t="s">
        <v>38</v>
      </c>
      <c r="B883">
        <v>10</v>
      </c>
      <c r="C883">
        <v>350</v>
      </c>
    </row>
    <row r="884" spans="1:3" x14ac:dyDescent="0.3">
      <c r="A884" t="s">
        <v>38</v>
      </c>
      <c r="B884">
        <v>10</v>
      </c>
      <c r="C884">
        <v>15</v>
      </c>
    </row>
    <row r="885" spans="1:3" x14ac:dyDescent="0.3">
      <c r="A885" t="s">
        <v>38</v>
      </c>
      <c r="B885">
        <v>10</v>
      </c>
      <c r="C885">
        <v>20</v>
      </c>
    </row>
    <row r="886" spans="1:3" x14ac:dyDescent="0.3">
      <c r="A886" t="s">
        <v>38</v>
      </c>
      <c r="B886">
        <v>10</v>
      </c>
      <c r="C886">
        <v>125</v>
      </c>
    </row>
    <row r="887" spans="1:3" x14ac:dyDescent="0.3">
      <c r="A887" t="s">
        <v>38</v>
      </c>
      <c r="B887">
        <v>10</v>
      </c>
      <c r="C887">
        <v>15</v>
      </c>
    </row>
    <row r="888" spans="1:3" x14ac:dyDescent="0.3">
      <c r="A888" t="s">
        <v>38</v>
      </c>
      <c r="B888">
        <v>10</v>
      </c>
      <c r="C888">
        <v>350</v>
      </c>
    </row>
    <row r="889" spans="1:3" x14ac:dyDescent="0.3">
      <c r="A889" t="s">
        <v>38</v>
      </c>
      <c r="B889">
        <v>10</v>
      </c>
      <c r="C889">
        <v>350</v>
      </c>
    </row>
    <row r="890" spans="1:3" x14ac:dyDescent="0.3">
      <c r="A890" t="s">
        <v>38</v>
      </c>
      <c r="B890">
        <v>10</v>
      </c>
      <c r="C890">
        <v>12</v>
      </c>
    </row>
    <row r="891" spans="1:3" x14ac:dyDescent="0.3">
      <c r="A891" t="s">
        <v>38</v>
      </c>
      <c r="B891">
        <v>10</v>
      </c>
      <c r="C891">
        <v>20</v>
      </c>
    </row>
    <row r="892" spans="1:3" x14ac:dyDescent="0.3">
      <c r="A892" t="s">
        <v>41</v>
      </c>
      <c r="B892">
        <v>120</v>
      </c>
      <c r="C892">
        <v>12</v>
      </c>
    </row>
    <row r="893" spans="1:3" x14ac:dyDescent="0.3">
      <c r="A893" t="s">
        <v>41</v>
      </c>
      <c r="B893">
        <v>120</v>
      </c>
      <c r="C893">
        <v>15</v>
      </c>
    </row>
    <row r="894" spans="1:3" x14ac:dyDescent="0.3">
      <c r="A894" t="s">
        <v>41</v>
      </c>
      <c r="B894">
        <v>120</v>
      </c>
      <c r="C894">
        <v>125</v>
      </c>
    </row>
    <row r="895" spans="1:3" x14ac:dyDescent="0.3">
      <c r="A895" t="s">
        <v>41</v>
      </c>
      <c r="B895">
        <v>120</v>
      </c>
      <c r="C895">
        <v>300</v>
      </c>
    </row>
    <row r="896" spans="1:3" x14ac:dyDescent="0.3">
      <c r="A896" t="s">
        <v>41</v>
      </c>
      <c r="B896">
        <v>120</v>
      </c>
      <c r="C896">
        <v>125</v>
      </c>
    </row>
    <row r="897" spans="1:3" x14ac:dyDescent="0.3">
      <c r="A897" t="s">
        <v>41</v>
      </c>
      <c r="B897">
        <v>120</v>
      </c>
      <c r="C897">
        <v>12</v>
      </c>
    </row>
    <row r="898" spans="1:3" x14ac:dyDescent="0.3">
      <c r="A898" t="s">
        <v>42</v>
      </c>
      <c r="B898">
        <v>250</v>
      </c>
      <c r="C898">
        <v>20</v>
      </c>
    </row>
    <row r="899" spans="1:3" x14ac:dyDescent="0.3">
      <c r="A899" t="s">
        <v>42</v>
      </c>
      <c r="B899">
        <v>250</v>
      </c>
      <c r="C899">
        <v>15</v>
      </c>
    </row>
    <row r="900" spans="1:3" x14ac:dyDescent="0.3">
      <c r="A900" t="s">
        <v>42</v>
      </c>
      <c r="B900">
        <v>250</v>
      </c>
      <c r="C900">
        <v>20</v>
      </c>
    </row>
    <row r="901" spans="1:3" x14ac:dyDescent="0.3">
      <c r="A901" t="s">
        <v>42</v>
      </c>
      <c r="B901">
        <v>250</v>
      </c>
      <c r="C901">
        <v>15</v>
      </c>
    </row>
    <row r="902" spans="1:3" x14ac:dyDescent="0.3">
      <c r="A902" t="s">
        <v>42</v>
      </c>
      <c r="B902">
        <v>250</v>
      </c>
      <c r="C902">
        <v>125</v>
      </c>
    </row>
    <row r="903" spans="1:3" x14ac:dyDescent="0.3">
      <c r="A903" t="s">
        <v>42</v>
      </c>
      <c r="B903">
        <v>250</v>
      </c>
      <c r="C903">
        <v>125</v>
      </c>
    </row>
    <row r="904" spans="1:3" x14ac:dyDescent="0.3">
      <c r="A904" t="s">
        <v>42</v>
      </c>
      <c r="B904">
        <v>250</v>
      </c>
      <c r="C904">
        <v>20</v>
      </c>
    </row>
    <row r="905" spans="1:3" x14ac:dyDescent="0.3">
      <c r="A905" t="s">
        <v>44</v>
      </c>
      <c r="B905">
        <v>260</v>
      </c>
      <c r="C905">
        <v>300</v>
      </c>
    </row>
    <row r="906" spans="1:3" x14ac:dyDescent="0.3">
      <c r="A906" t="s">
        <v>44</v>
      </c>
      <c r="B906">
        <v>260</v>
      </c>
      <c r="C906">
        <v>300</v>
      </c>
    </row>
    <row r="907" spans="1:3" x14ac:dyDescent="0.3">
      <c r="A907" t="s">
        <v>28</v>
      </c>
      <c r="B907">
        <v>5</v>
      </c>
      <c r="C907">
        <v>7</v>
      </c>
    </row>
    <row r="908" spans="1:3" x14ac:dyDescent="0.3">
      <c r="A908" t="s">
        <v>38</v>
      </c>
      <c r="B908">
        <v>10</v>
      </c>
      <c r="C908">
        <v>7</v>
      </c>
    </row>
    <row r="909" spans="1:3" x14ac:dyDescent="0.3">
      <c r="A909" t="s">
        <v>42</v>
      </c>
      <c r="B909">
        <v>250</v>
      </c>
      <c r="C909">
        <v>12</v>
      </c>
    </row>
    <row r="910" spans="1:3" x14ac:dyDescent="0.3">
      <c r="A910" t="s">
        <v>41</v>
      </c>
      <c r="B910">
        <v>120</v>
      </c>
      <c r="C910">
        <v>20</v>
      </c>
    </row>
    <row r="911" spans="1:3" x14ac:dyDescent="0.3">
      <c r="A911" t="s">
        <v>41</v>
      </c>
      <c r="B911">
        <v>120</v>
      </c>
      <c r="C911">
        <v>125</v>
      </c>
    </row>
    <row r="912" spans="1:3" x14ac:dyDescent="0.3">
      <c r="A912" t="s">
        <v>41</v>
      </c>
      <c r="B912">
        <v>120</v>
      </c>
      <c r="C912">
        <v>125</v>
      </c>
    </row>
    <row r="913" spans="1:3" x14ac:dyDescent="0.3">
      <c r="A913" t="s">
        <v>41</v>
      </c>
      <c r="B913">
        <v>120</v>
      </c>
      <c r="C913">
        <v>20</v>
      </c>
    </row>
    <row r="914" spans="1:3" x14ac:dyDescent="0.3">
      <c r="A914" t="s">
        <v>41</v>
      </c>
      <c r="B914">
        <v>120</v>
      </c>
      <c r="C914">
        <v>300</v>
      </c>
    </row>
    <row r="915" spans="1:3" x14ac:dyDescent="0.3">
      <c r="A915" t="s">
        <v>42</v>
      </c>
      <c r="B915">
        <v>250</v>
      </c>
      <c r="C915">
        <v>20</v>
      </c>
    </row>
    <row r="916" spans="1:3" x14ac:dyDescent="0.3">
      <c r="A916" t="s">
        <v>42</v>
      </c>
      <c r="B916">
        <v>250</v>
      </c>
      <c r="C916">
        <v>20</v>
      </c>
    </row>
    <row r="917" spans="1:3" x14ac:dyDescent="0.3">
      <c r="A917" t="s">
        <v>42</v>
      </c>
      <c r="B917">
        <v>250</v>
      </c>
      <c r="C917">
        <v>20</v>
      </c>
    </row>
    <row r="918" spans="1:3" x14ac:dyDescent="0.3">
      <c r="A918" t="s">
        <v>42</v>
      </c>
      <c r="B918">
        <v>250</v>
      </c>
      <c r="C918">
        <v>20</v>
      </c>
    </row>
    <row r="919" spans="1:3" x14ac:dyDescent="0.3">
      <c r="A919" t="s">
        <v>42</v>
      </c>
      <c r="B919">
        <v>250</v>
      </c>
      <c r="C919">
        <v>7</v>
      </c>
    </row>
    <row r="920" spans="1:3" x14ac:dyDescent="0.3">
      <c r="A920" t="s">
        <v>42</v>
      </c>
      <c r="B920">
        <v>250</v>
      </c>
      <c r="C920">
        <v>7</v>
      </c>
    </row>
    <row r="921" spans="1:3" x14ac:dyDescent="0.3">
      <c r="A921" t="s">
        <v>44</v>
      </c>
      <c r="B921">
        <v>260</v>
      </c>
      <c r="C921">
        <v>350</v>
      </c>
    </row>
    <row r="922" spans="1:3" x14ac:dyDescent="0.3">
      <c r="A922" t="s">
        <v>44</v>
      </c>
      <c r="B922">
        <v>260</v>
      </c>
      <c r="C922">
        <v>350</v>
      </c>
    </row>
    <row r="923" spans="1:3" x14ac:dyDescent="0.3">
      <c r="A923" t="s">
        <v>44</v>
      </c>
      <c r="B923">
        <v>260</v>
      </c>
      <c r="C923">
        <v>350</v>
      </c>
    </row>
    <row r="924" spans="1:3" x14ac:dyDescent="0.3">
      <c r="A924" t="s">
        <v>44</v>
      </c>
      <c r="B924">
        <v>260</v>
      </c>
      <c r="C924">
        <v>300</v>
      </c>
    </row>
    <row r="925" spans="1:3" x14ac:dyDescent="0.3">
      <c r="A925" t="s">
        <v>38</v>
      </c>
      <c r="B925">
        <v>10</v>
      </c>
      <c r="C925">
        <v>15</v>
      </c>
    </row>
    <row r="926" spans="1:3" x14ac:dyDescent="0.3">
      <c r="A926" t="s">
        <v>19</v>
      </c>
      <c r="B926">
        <v>3</v>
      </c>
      <c r="C926">
        <v>20</v>
      </c>
    </row>
    <row r="927" spans="1:3" x14ac:dyDescent="0.3">
      <c r="A927" t="s">
        <v>19</v>
      </c>
      <c r="B927">
        <v>3</v>
      </c>
      <c r="C927">
        <v>15</v>
      </c>
    </row>
    <row r="928" spans="1:3" x14ac:dyDescent="0.3">
      <c r="A928" t="s">
        <v>19</v>
      </c>
      <c r="B928">
        <v>3</v>
      </c>
      <c r="C928">
        <v>12</v>
      </c>
    </row>
    <row r="929" spans="1:3" x14ac:dyDescent="0.3">
      <c r="A929" t="s">
        <v>19</v>
      </c>
      <c r="B929">
        <v>3</v>
      </c>
      <c r="C929">
        <v>12</v>
      </c>
    </row>
    <row r="930" spans="1:3" x14ac:dyDescent="0.3">
      <c r="A930" t="s">
        <v>19</v>
      </c>
      <c r="B930">
        <v>3</v>
      </c>
      <c r="C930">
        <v>15</v>
      </c>
    </row>
    <row r="931" spans="1:3" x14ac:dyDescent="0.3">
      <c r="A931" t="s">
        <v>19</v>
      </c>
      <c r="B931">
        <v>3</v>
      </c>
      <c r="C931">
        <v>7</v>
      </c>
    </row>
    <row r="932" spans="1:3" x14ac:dyDescent="0.3">
      <c r="A932" t="s">
        <v>19</v>
      </c>
      <c r="B932">
        <v>3</v>
      </c>
      <c r="C932">
        <v>125</v>
      </c>
    </row>
    <row r="933" spans="1:3" x14ac:dyDescent="0.3">
      <c r="A933" t="s">
        <v>28</v>
      </c>
      <c r="B933">
        <v>5</v>
      </c>
      <c r="C933">
        <v>350</v>
      </c>
    </row>
    <row r="934" spans="1:3" x14ac:dyDescent="0.3">
      <c r="A934" t="s">
        <v>28</v>
      </c>
      <c r="B934">
        <v>5</v>
      </c>
      <c r="C934">
        <v>350</v>
      </c>
    </row>
    <row r="935" spans="1:3" x14ac:dyDescent="0.3">
      <c r="A935" t="s">
        <v>28</v>
      </c>
      <c r="B935">
        <v>5</v>
      </c>
      <c r="C935">
        <v>7</v>
      </c>
    </row>
    <row r="936" spans="1:3" x14ac:dyDescent="0.3">
      <c r="A936" t="s">
        <v>28</v>
      </c>
      <c r="B936">
        <v>5</v>
      </c>
      <c r="C936">
        <v>12</v>
      </c>
    </row>
    <row r="937" spans="1:3" x14ac:dyDescent="0.3">
      <c r="A937" t="s">
        <v>38</v>
      </c>
      <c r="B937">
        <v>10</v>
      </c>
      <c r="C937">
        <v>350</v>
      </c>
    </row>
    <row r="938" spans="1:3" x14ac:dyDescent="0.3">
      <c r="A938" t="s">
        <v>38</v>
      </c>
      <c r="B938">
        <v>10</v>
      </c>
      <c r="C938">
        <v>12</v>
      </c>
    </row>
    <row r="939" spans="1:3" x14ac:dyDescent="0.3">
      <c r="A939" t="s">
        <v>38</v>
      </c>
      <c r="B939">
        <v>10</v>
      </c>
      <c r="C939">
        <v>350</v>
      </c>
    </row>
    <row r="940" spans="1:3" x14ac:dyDescent="0.3">
      <c r="A940" t="s">
        <v>41</v>
      </c>
      <c r="B940">
        <v>120</v>
      </c>
      <c r="C940">
        <v>125</v>
      </c>
    </row>
    <row r="941" spans="1:3" x14ac:dyDescent="0.3">
      <c r="A941" t="s">
        <v>41</v>
      </c>
      <c r="B941">
        <v>120</v>
      </c>
      <c r="C941">
        <v>125</v>
      </c>
    </row>
    <row r="942" spans="1:3" x14ac:dyDescent="0.3">
      <c r="A942" t="s">
        <v>41</v>
      </c>
      <c r="B942">
        <v>120</v>
      </c>
      <c r="C942">
        <v>15</v>
      </c>
    </row>
    <row r="943" spans="1:3" x14ac:dyDescent="0.3">
      <c r="A943" t="s">
        <v>41</v>
      </c>
      <c r="B943">
        <v>120</v>
      </c>
      <c r="C943">
        <v>350</v>
      </c>
    </row>
    <row r="944" spans="1:3" x14ac:dyDescent="0.3">
      <c r="A944" t="s">
        <v>41</v>
      </c>
      <c r="B944">
        <v>120</v>
      </c>
      <c r="C944">
        <v>7</v>
      </c>
    </row>
    <row r="945" spans="1:3" x14ac:dyDescent="0.3">
      <c r="A945" t="s">
        <v>41</v>
      </c>
      <c r="B945">
        <v>120</v>
      </c>
      <c r="C945">
        <v>300</v>
      </c>
    </row>
    <row r="946" spans="1:3" x14ac:dyDescent="0.3">
      <c r="A946" t="s">
        <v>41</v>
      </c>
      <c r="B946">
        <v>120</v>
      </c>
      <c r="C946">
        <v>350</v>
      </c>
    </row>
    <row r="947" spans="1:3" x14ac:dyDescent="0.3">
      <c r="A947" t="s">
        <v>42</v>
      </c>
      <c r="B947">
        <v>250</v>
      </c>
      <c r="C947">
        <v>15</v>
      </c>
    </row>
    <row r="948" spans="1:3" x14ac:dyDescent="0.3">
      <c r="A948" t="s">
        <v>42</v>
      </c>
      <c r="B948">
        <v>250</v>
      </c>
      <c r="C948">
        <v>7</v>
      </c>
    </row>
    <row r="949" spans="1:3" x14ac:dyDescent="0.3">
      <c r="A949" t="s">
        <v>42</v>
      </c>
      <c r="B949">
        <v>250</v>
      </c>
      <c r="C949">
        <v>300</v>
      </c>
    </row>
    <row r="950" spans="1:3" x14ac:dyDescent="0.3">
      <c r="A950" t="s">
        <v>42</v>
      </c>
      <c r="B950">
        <v>250</v>
      </c>
      <c r="C950">
        <v>20</v>
      </c>
    </row>
    <row r="951" spans="1:3" x14ac:dyDescent="0.3">
      <c r="A951" t="s">
        <v>42</v>
      </c>
      <c r="B951">
        <v>250</v>
      </c>
      <c r="C951">
        <v>300</v>
      </c>
    </row>
    <row r="952" spans="1:3" x14ac:dyDescent="0.3">
      <c r="A952" t="s">
        <v>44</v>
      </c>
      <c r="B952">
        <v>260</v>
      </c>
      <c r="C952">
        <v>125</v>
      </c>
    </row>
    <row r="953" spans="1:3" x14ac:dyDescent="0.3">
      <c r="A953" t="s">
        <v>44</v>
      </c>
      <c r="B953">
        <v>260</v>
      </c>
      <c r="C953">
        <v>350</v>
      </c>
    </row>
    <row r="954" spans="1:3" x14ac:dyDescent="0.3">
      <c r="A954" t="s">
        <v>44</v>
      </c>
      <c r="B954">
        <v>260</v>
      </c>
      <c r="C954">
        <v>350</v>
      </c>
    </row>
    <row r="955" spans="1:3" x14ac:dyDescent="0.3">
      <c r="A955" t="s">
        <v>44</v>
      </c>
      <c r="B955">
        <v>260</v>
      </c>
      <c r="C955">
        <v>7</v>
      </c>
    </row>
    <row r="956" spans="1:3" x14ac:dyDescent="0.3">
      <c r="A956" t="s">
        <v>44</v>
      </c>
      <c r="B956">
        <v>260</v>
      </c>
      <c r="C956">
        <v>350</v>
      </c>
    </row>
    <row r="957" spans="1:3" x14ac:dyDescent="0.3">
      <c r="A957" t="s">
        <v>28</v>
      </c>
      <c r="B957">
        <v>5</v>
      </c>
      <c r="C957">
        <v>20</v>
      </c>
    </row>
    <row r="958" spans="1:3" x14ac:dyDescent="0.3">
      <c r="A958" t="s">
        <v>38</v>
      </c>
      <c r="B958">
        <v>10</v>
      </c>
      <c r="C958">
        <v>15</v>
      </c>
    </row>
    <row r="959" spans="1:3" x14ac:dyDescent="0.3">
      <c r="A959" t="s">
        <v>38</v>
      </c>
      <c r="B959">
        <v>10</v>
      </c>
      <c r="C959">
        <v>15</v>
      </c>
    </row>
    <row r="960" spans="1:3" x14ac:dyDescent="0.3">
      <c r="A960" t="s">
        <v>38</v>
      </c>
      <c r="B960">
        <v>10</v>
      </c>
      <c r="C960">
        <v>15</v>
      </c>
    </row>
    <row r="961" spans="1:3" x14ac:dyDescent="0.3">
      <c r="A961" t="s">
        <v>38</v>
      </c>
      <c r="B961">
        <v>10</v>
      </c>
      <c r="C961">
        <v>20</v>
      </c>
    </row>
    <row r="962" spans="1:3" x14ac:dyDescent="0.3">
      <c r="A962" t="s">
        <v>41</v>
      </c>
      <c r="B962">
        <v>120</v>
      </c>
      <c r="C962">
        <v>20</v>
      </c>
    </row>
    <row r="963" spans="1:3" x14ac:dyDescent="0.3">
      <c r="A963" t="s">
        <v>41</v>
      </c>
      <c r="B963">
        <v>120</v>
      </c>
      <c r="C963">
        <v>7</v>
      </c>
    </row>
    <row r="964" spans="1:3" x14ac:dyDescent="0.3">
      <c r="A964" t="s">
        <v>42</v>
      </c>
      <c r="B964">
        <v>250</v>
      </c>
      <c r="C964">
        <v>15</v>
      </c>
    </row>
    <row r="965" spans="1:3" x14ac:dyDescent="0.3">
      <c r="A965" t="s">
        <v>19</v>
      </c>
      <c r="B965">
        <v>3</v>
      </c>
      <c r="C965">
        <v>12</v>
      </c>
    </row>
    <row r="966" spans="1:3" x14ac:dyDescent="0.3">
      <c r="A966" t="s">
        <v>19</v>
      </c>
      <c r="B966">
        <v>3</v>
      </c>
      <c r="C966">
        <v>12</v>
      </c>
    </row>
    <row r="967" spans="1:3" x14ac:dyDescent="0.3">
      <c r="A967" t="s">
        <v>19</v>
      </c>
      <c r="B967">
        <v>3</v>
      </c>
      <c r="C967">
        <v>20</v>
      </c>
    </row>
    <row r="968" spans="1:3" x14ac:dyDescent="0.3">
      <c r="A968" t="s">
        <v>28</v>
      </c>
      <c r="B968">
        <v>5</v>
      </c>
      <c r="C968">
        <v>12</v>
      </c>
    </row>
    <row r="969" spans="1:3" x14ac:dyDescent="0.3">
      <c r="A969" t="s">
        <v>28</v>
      </c>
      <c r="B969">
        <v>5</v>
      </c>
      <c r="C969">
        <v>12</v>
      </c>
    </row>
    <row r="970" spans="1:3" x14ac:dyDescent="0.3">
      <c r="A970" t="s">
        <v>38</v>
      </c>
      <c r="B970">
        <v>10</v>
      </c>
      <c r="C970">
        <v>7</v>
      </c>
    </row>
    <row r="971" spans="1:3" x14ac:dyDescent="0.3">
      <c r="A971" t="s">
        <v>38</v>
      </c>
      <c r="B971">
        <v>10</v>
      </c>
      <c r="C971">
        <v>125</v>
      </c>
    </row>
    <row r="972" spans="1:3" x14ac:dyDescent="0.3">
      <c r="A972" t="s">
        <v>38</v>
      </c>
      <c r="B972">
        <v>10</v>
      </c>
      <c r="C972">
        <v>15</v>
      </c>
    </row>
    <row r="973" spans="1:3" x14ac:dyDescent="0.3">
      <c r="A973" t="s">
        <v>38</v>
      </c>
      <c r="B973">
        <v>10</v>
      </c>
      <c r="C973">
        <v>15</v>
      </c>
    </row>
    <row r="974" spans="1:3" x14ac:dyDescent="0.3">
      <c r="A974" t="s">
        <v>38</v>
      </c>
      <c r="B974">
        <v>10</v>
      </c>
      <c r="C974">
        <v>20</v>
      </c>
    </row>
    <row r="975" spans="1:3" x14ac:dyDescent="0.3">
      <c r="A975" t="s">
        <v>38</v>
      </c>
      <c r="B975">
        <v>10</v>
      </c>
      <c r="C975">
        <v>300</v>
      </c>
    </row>
    <row r="976" spans="1:3" x14ac:dyDescent="0.3">
      <c r="A976" t="s">
        <v>38</v>
      </c>
      <c r="B976">
        <v>10</v>
      </c>
      <c r="C976">
        <v>300</v>
      </c>
    </row>
    <row r="977" spans="1:3" x14ac:dyDescent="0.3">
      <c r="A977" t="s">
        <v>38</v>
      </c>
      <c r="B977">
        <v>10</v>
      </c>
      <c r="C977">
        <v>12</v>
      </c>
    </row>
    <row r="978" spans="1:3" x14ac:dyDescent="0.3">
      <c r="A978" t="s">
        <v>38</v>
      </c>
      <c r="B978">
        <v>10</v>
      </c>
      <c r="C978">
        <v>7</v>
      </c>
    </row>
    <row r="979" spans="1:3" x14ac:dyDescent="0.3">
      <c r="A979" t="s">
        <v>41</v>
      </c>
      <c r="B979">
        <v>120</v>
      </c>
      <c r="C979">
        <v>300</v>
      </c>
    </row>
    <row r="980" spans="1:3" x14ac:dyDescent="0.3">
      <c r="A980" t="s">
        <v>41</v>
      </c>
      <c r="B980">
        <v>120</v>
      </c>
      <c r="C980">
        <v>20</v>
      </c>
    </row>
    <row r="981" spans="1:3" x14ac:dyDescent="0.3">
      <c r="A981" t="s">
        <v>41</v>
      </c>
      <c r="B981">
        <v>120</v>
      </c>
      <c r="C981">
        <v>125</v>
      </c>
    </row>
    <row r="982" spans="1:3" x14ac:dyDescent="0.3">
      <c r="A982" t="s">
        <v>41</v>
      </c>
      <c r="B982">
        <v>120</v>
      </c>
      <c r="C982">
        <v>20</v>
      </c>
    </row>
    <row r="983" spans="1:3" x14ac:dyDescent="0.3">
      <c r="A983" t="s">
        <v>41</v>
      </c>
      <c r="B983">
        <v>120</v>
      </c>
      <c r="C983">
        <v>20</v>
      </c>
    </row>
    <row r="984" spans="1:3" x14ac:dyDescent="0.3">
      <c r="A984" t="s">
        <v>41</v>
      </c>
      <c r="B984">
        <v>120</v>
      </c>
      <c r="C984">
        <v>300</v>
      </c>
    </row>
    <row r="985" spans="1:3" x14ac:dyDescent="0.3">
      <c r="A985" t="s">
        <v>41</v>
      </c>
      <c r="B985">
        <v>120</v>
      </c>
      <c r="C985">
        <v>20</v>
      </c>
    </row>
    <row r="986" spans="1:3" x14ac:dyDescent="0.3">
      <c r="A986" t="s">
        <v>42</v>
      </c>
      <c r="B986">
        <v>250</v>
      </c>
      <c r="C986">
        <v>12</v>
      </c>
    </row>
    <row r="987" spans="1:3" x14ac:dyDescent="0.3">
      <c r="A987" t="s">
        <v>42</v>
      </c>
      <c r="B987">
        <v>250</v>
      </c>
      <c r="C987">
        <v>300</v>
      </c>
    </row>
    <row r="988" spans="1:3" x14ac:dyDescent="0.3">
      <c r="A988" t="s">
        <v>42</v>
      </c>
      <c r="B988">
        <v>250</v>
      </c>
      <c r="C988">
        <v>300</v>
      </c>
    </row>
    <row r="989" spans="1:3" x14ac:dyDescent="0.3">
      <c r="A989" t="s">
        <v>44</v>
      </c>
      <c r="B989">
        <v>260</v>
      </c>
      <c r="C989">
        <v>125</v>
      </c>
    </row>
    <row r="990" spans="1:3" x14ac:dyDescent="0.3">
      <c r="A990" t="s">
        <v>44</v>
      </c>
      <c r="B990">
        <v>260</v>
      </c>
      <c r="C990">
        <v>350</v>
      </c>
    </row>
    <row r="991" spans="1:3" x14ac:dyDescent="0.3">
      <c r="A991" t="s">
        <v>44</v>
      </c>
      <c r="B991">
        <v>260</v>
      </c>
      <c r="C991">
        <v>125</v>
      </c>
    </row>
    <row r="992" spans="1:3" x14ac:dyDescent="0.3">
      <c r="A992" t="s">
        <v>44</v>
      </c>
      <c r="B992">
        <v>260</v>
      </c>
      <c r="C992">
        <v>20</v>
      </c>
    </row>
    <row r="993" spans="1:3" x14ac:dyDescent="0.3">
      <c r="A993" t="s">
        <v>44</v>
      </c>
      <c r="B993">
        <v>260</v>
      </c>
      <c r="C993">
        <v>300</v>
      </c>
    </row>
    <row r="994" spans="1:3" x14ac:dyDescent="0.3">
      <c r="A994" t="s">
        <v>28</v>
      </c>
      <c r="B994">
        <v>5</v>
      </c>
      <c r="C994">
        <v>7</v>
      </c>
    </row>
    <row r="995" spans="1:3" x14ac:dyDescent="0.3">
      <c r="A995" t="s">
        <v>28</v>
      </c>
      <c r="B995">
        <v>5</v>
      </c>
      <c r="C995">
        <v>20</v>
      </c>
    </row>
    <row r="996" spans="1:3" x14ac:dyDescent="0.3">
      <c r="A996" t="s">
        <v>38</v>
      </c>
      <c r="B996">
        <v>10</v>
      </c>
      <c r="C996">
        <v>7</v>
      </c>
    </row>
    <row r="997" spans="1:3" x14ac:dyDescent="0.3">
      <c r="A997" t="s">
        <v>44</v>
      </c>
      <c r="B997">
        <v>260</v>
      </c>
      <c r="C997">
        <v>20</v>
      </c>
    </row>
    <row r="998" spans="1:3" x14ac:dyDescent="0.3">
      <c r="A998" t="s">
        <v>19</v>
      </c>
      <c r="B998">
        <v>3</v>
      </c>
      <c r="C998">
        <v>125</v>
      </c>
    </row>
    <row r="999" spans="1:3" x14ac:dyDescent="0.3">
      <c r="A999" t="s">
        <v>19</v>
      </c>
      <c r="B999">
        <v>3</v>
      </c>
      <c r="C999">
        <v>15</v>
      </c>
    </row>
    <row r="1000" spans="1:3" x14ac:dyDescent="0.3">
      <c r="A1000" t="s">
        <v>19</v>
      </c>
      <c r="B1000">
        <v>3</v>
      </c>
      <c r="C1000">
        <v>350</v>
      </c>
    </row>
    <row r="1001" spans="1:3" x14ac:dyDescent="0.3">
      <c r="A1001" t="s">
        <v>28</v>
      </c>
      <c r="B1001">
        <v>5</v>
      </c>
      <c r="C1001">
        <v>15</v>
      </c>
    </row>
    <row r="1002" spans="1:3" x14ac:dyDescent="0.3">
      <c r="A1002" t="s">
        <v>28</v>
      </c>
      <c r="B1002">
        <v>5</v>
      </c>
      <c r="C1002">
        <v>20</v>
      </c>
    </row>
    <row r="1003" spans="1:3" x14ac:dyDescent="0.3">
      <c r="A1003" t="s">
        <v>28</v>
      </c>
      <c r="B1003">
        <v>5</v>
      </c>
      <c r="C1003">
        <v>20</v>
      </c>
    </row>
    <row r="1004" spans="1:3" x14ac:dyDescent="0.3">
      <c r="A1004" t="s">
        <v>28</v>
      </c>
      <c r="B1004">
        <v>5</v>
      </c>
      <c r="C1004">
        <v>300</v>
      </c>
    </row>
    <row r="1005" spans="1:3" x14ac:dyDescent="0.3">
      <c r="A1005" t="s">
        <v>28</v>
      </c>
      <c r="B1005">
        <v>5</v>
      </c>
      <c r="C1005">
        <v>300</v>
      </c>
    </row>
    <row r="1006" spans="1:3" x14ac:dyDescent="0.3">
      <c r="A1006" t="s">
        <v>28</v>
      </c>
      <c r="B1006">
        <v>5</v>
      </c>
      <c r="C1006">
        <v>15</v>
      </c>
    </row>
    <row r="1007" spans="1:3" x14ac:dyDescent="0.3">
      <c r="A1007" t="s">
        <v>38</v>
      </c>
      <c r="B1007">
        <v>10</v>
      </c>
      <c r="C1007">
        <v>125</v>
      </c>
    </row>
    <row r="1008" spans="1:3" x14ac:dyDescent="0.3">
      <c r="A1008" t="s">
        <v>38</v>
      </c>
      <c r="B1008">
        <v>10</v>
      </c>
      <c r="C1008">
        <v>7</v>
      </c>
    </row>
    <row r="1009" spans="1:3" x14ac:dyDescent="0.3">
      <c r="A1009" t="s">
        <v>38</v>
      </c>
      <c r="B1009">
        <v>10</v>
      </c>
      <c r="C1009">
        <v>7</v>
      </c>
    </row>
    <row r="1010" spans="1:3" x14ac:dyDescent="0.3">
      <c r="A1010" t="s">
        <v>38</v>
      </c>
      <c r="B1010">
        <v>10</v>
      </c>
      <c r="C1010">
        <v>20</v>
      </c>
    </row>
    <row r="1011" spans="1:3" x14ac:dyDescent="0.3">
      <c r="A1011" t="s">
        <v>38</v>
      </c>
      <c r="B1011">
        <v>10</v>
      </c>
      <c r="C1011">
        <v>300</v>
      </c>
    </row>
    <row r="1012" spans="1:3" x14ac:dyDescent="0.3">
      <c r="A1012" t="s">
        <v>38</v>
      </c>
      <c r="B1012">
        <v>10</v>
      </c>
      <c r="C1012">
        <v>7</v>
      </c>
    </row>
    <row r="1013" spans="1:3" x14ac:dyDescent="0.3">
      <c r="A1013" t="s">
        <v>38</v>
      </c>
      <c r="B1013">
        <v>10</v>
      </c>
      <c r="C1013">
        <v>7</v>
      </c>
    </row>
    <row r="1014" spans="1:3" x14ac:dyDescent="0.3">
      <c r="A1014" t="s">
        <v>38</v>
      </c>
      <c r="B1014">
        <v>10</v>
      </c>
      <c r="C1014">
        <v>7</v>
      </c>
    </row>
    <row r="1015" spans="1:3" x14ac:dyDescent="0.3">
      <c r="A1015" t="s">
        <v>19</v>
      </c>
      <c r="B1015">
        <v>3</v>
      </c>
      <c r="C1015">
        <v>20</v>
      </c>
    </row>
    <row r="1016" spans="1:3" x14ac:dyDescent="0.3">
      <c r="A1016" t="s">
        <v>19</v>
      </c>
      <c r="B1016">
        <v>3</v>
      </c>
      <c r="C1016">
        <v>7</v>
      </c>
    </row>
    <row r="1017" spans="1:3" x14ac:dyDescent="0.3">
      <c r="A1017" t="s">
        <v>19</v>
      </c>
      <c r="B1017">
        <v>3</v>
      </c>
      <c r="C1017">
        <v>7</v>
      </c>
    </row>
    <row r="1018" spans="1:3" x14ac:dyDescent="0.3">
      <c r="A1018" t="s">
        <v>28</v>
      </c>
      <c r="B1018">
        <v>5</v>
      </c>
      <c r="C1018">
        <v>7</v>
      </c>
    </row>
    <row r="1019" spans="1:3" x14ac:dyDescent="0.3">
      <c r="A1019" t="s">
        <v>28</v>
      </c>
      <c r="B1019">
        <v>5</v>
      </c>
      <c r="C1019">
        <v>7</v>
      </c>
    </row>
    <row r="1020" spans="1:3" x14ac:dyDescent="0.3">
      <c r="A1020" t="s">
        <v>38</v>
      </c>
      <c r="B1020">
        <v>10</v>
      </c>
      <c r="C1020">
        <v>15</v>
      </c>
    </row>
    <row r="1021" spans="1:3" x14ac:dyDescent="0.3">
      <c r="A1021" t="s">
        <v>38</v>
      </c>
      <c r="B1021">
        <v>10</v>
      </c>
      <c r="C1021">
        <v>20</v>
      </c>
    </row>
    <row r="1022" spans="1:3" x14ac:dyDescent="0.3">
      <c r="A1022" t="s">
        <v>38</v>
      </c>
      <c r="B1022">
        <v>10</v>
      </c>
      <c r="C1022">
        <v>15</v>
      </c>
    </row>
    <row r="1023" spans="1:3" x14ac:dyDescent="0.3">
      <c r="A1023" t="s">
        <v>38</v>
      </c>
      <c r="B1023">
        <v>10</v>
      </c>
      <c r="C1023">
        <v>12</v>
      </c>
    </row>
    <row r="1024" spans="1:3" x14ac:dyDescent="0.3">
      <c r="A1024" t="s">
        <v>42</v>
      </c>
      <c r="B1024">
        <v>250</v>
      </c>
      <c r="C1024">
        <v>7</v>
      </c>
    </row>
    <row r="1025" spans="1:3" x14ac:dyDescent="0.3">
      <c r="A1025" t="s">
        <v>44</v>
      </c>
      <c r="B1025">
        <v>260</v>
      </c>
      <c r="C1025">
        <v>12</v>
      </c>
    </row>
    <row r="1026" spans="1:3" x14ac:dyDescent="0.3">
      <c r="A1026" t="s">
        <v>44</v>
      </c>
      <c r="B1026">
        <v>260</v>
      </c>
      <c r="C1026">
        <v>12</v>
      </c>
    </row>
    <row r="1027" spans="1:3" x14ac:dyDescent="0.3">
      <c r="A1027" t="s">
        <v>19</v>
      </c>
      <c r="B1027">
        <v>3</v>
      </c>
      <c r="C1027">
        <v>300</v>
      </c>
    </row>
    <row r="1028" spans="1:3" x14ac:dyDescent="0.3">
      <c r="A1028" t="s">
        <v>19</v>
      </c>
      <c r="B1028">
        <v>3</v>
      </c>
      <c r="C1028">
        <v>125</v>
      </c>
    </row>
    <row r="1029" spans="1:3" x14ac:dyDescent="0.3">
      <c r="A1029" t="s">
        <v>19</v>
      </c>
      <c r="B1029">
        <v>3</v>
      </c>
      <c r="C1029">
        <v>300</v>
      </c>
    </row>
    <row r="1030" spans="1:3" x14ac:dyDescent="0.3">
      <c r="A1030" t="s">
        <v>19</v>
      </c>
      <c r="B1030">
        <v>3</v>
      </c>
      <c r="C1030">
        <v>300</v>
      </c>
    </row>
    <row r="1031" spans="1:3" x14ac:dyDescent="0.3">
      <c r="A1031" t="s">
        <v>19</v>
      </c>
      <c r="B1031">
        <v>3</v>
      </c>
      <c r="C1031">
        <v>15</v>
      </c>
    </row>
    <row r="1032" spans="1:3" x14ac:dyDescent="0.3">
      <c r="A1032" t="s">
        <v>19</v>
      </c>
      <c r="B1032">
        <v>3</v>
      </c>
      <c r="C1032">
        <v>15</v>
      </c>
    </row>
    <row r="1033" spans="1:3" x14ac:dyDescent="0.3">
      <c r="A1033" t="s">
        <v>19</v>
      </c>
      <c r="B1033">
        <v>3</v>
      </c>
      <c r="C1033">
        <v>125</v>
      </c>
    </row>
    <row r="1034" spans="1:3" x14ac:dyDescent="0.3">
      <c r="A1034" t="s">
        <v>28</v>
      </c>
      <c r="B1034">
        <v>5</v>
      </c>
      <c r="C1034">
        <v>350</v>
      </c>
    </row>
    <row r="1035" spans="1:3" x14ac:dyDescent="0.3">
      <c r="A1035" t="s">
        <v>28</v>
      </c>
      <c r="B1035">
        <v>5</v>
      </c>
      <c r="C1035">
        <v>350</v>
      </c>
    </row>
    <row r="1036" spans="1:3" x14ac:dyDescent="0.3">
      <c r="A1036" t="s">
        <v>28</v>
      </c>
      <c r="B1036">
        <v>5</v>
      </c>
      <c r="C1036">
        <v>350</v>
      </c>
    </row>
    <row r="1037" spans="1:3" x14ac:dyDescent="0.3">
      <c r="A1037" t="s">
        <v>28</v>
      </c>
      <c r="B1037">
        <v>5</v>
      </c>
      <c r="C1037">
        <v>7</v>
      </c>
    </row>
    <row r="1038" spans="1:3" x14ac:dyDescent="0.3">
      <c r="A1038" t="s">
        <v>28</v>
      </c>
      <c r="B1038">
        <v>5</v>
      </c>
      <c r="C1038">
        <v>7</v>
      </c>
    </row>
    <row r="1039" spans="1:3" x14ac:dyDescent="0.3">
      <c r="A1039" t="s">
        <v>28</v>
      </c>
      <c r="B1039">
        <v>5</v>
      </c>
      <c r="C1039">
        <v>15</v>
      </c>
    </row>
    <row r="1040" spans="1:3" x14ac:dyDescent="0.3">
      <c r="A1040" t="s">
        <v>38</v>
      </c>
      <c r="B1040">
        <v>10</v>
      </c>
      <c r="C1040">
        <v>20</v>
      </c>
    </row>
    <row r="1041" spans="1:3" x14ac:dyDescent="0.3">
      <c r="A1041" t="s">
        <v>38</v>
      </c>
      <c r="B1041">
        <v>10</v>
      </c>
      <c r="C1041">
        <v>15</v>
      </c>
    </row>
    <row r="1042" spans="1:3" x14ac:dyDescent="0.3">
      <c r="A1042" t="s">
        <v>38</v>
      </c>
      <c r="B1042">
        <v>10</v>
      </c>
      <c r="C1042">
        <v>15</v>
      </c>
    </row>
    <row r="1043" spans="1:3" x14ac:dyDescent="0.3">
      <c r="A1043" t="s">
        <v>38</v>
      </c>
      <c r="B1043">
        <v>10</v>
      </c>
      <c r="C1043">
        <v>12</v>
      </c>
    </row>
    <row r="1044" spans="1:3" x14ac:dyDescent="0.3">
      <c r="A1044" t="s">
        <v>38</v>
      </c>
      <c r="B1044">
        <v>10</v>
      </c>
      <c r="C1044">
        <v>7</v>
      </c>
    </row>
    <row r="1045" spans="1:3" x14ac:dyDescent="0.3">
      <c r="A1045" t="s">
        <v>38</v>
      </c>
      <c r="B1045">
        <v>10</v>
      </c>
      <c r="C1045">
        <v>350</v>
      </c>
    </row>
    <row r="1046" spans="1:3" x14ac:dyDescent="0.3">
      <c r="A1046" t="s">
        <v>38</v>
      </c>
      <c r="B1046">
        <v>10</v>
      </c>
      <c r="C1046">
        <v>12</v>
      </c>
    </row>
    <row r="1047" spans="1:3" x14ac:dyDescent="0.3">
      <c r="A1047" t="s">
        <v>38</v>
      </c>
      <c r="B1047">
        <v>10</v>
      </c>
      <c r="C1047">
        <v>350</v>
      </c>
    </row>
    <row r="1048" spans="1:3" x14ac:dyDescent="0.3">
      <c r="A1048" t="s">
        <v>38</v>
      </c>
      <c r="B1048">
        <v>10</v>
      </c>
      <c r="C1048">
        <v>350</v>
      </c>
    </row>
    <row r="1049" spans="1:3" x14ac:dyDescent="0.3">
      <c r="A1049" t="s">
        <v>41</v>
      </c>
      <c r="B1049">
        <v>120</v>
      </c>
      <c r="C1049">
        <v>125</v>
      </c>
    </row>
    <row r="1050" spans="1:3" x14ac:dyDescent="0.3">
      <c r="A1050" t="s">
        <v>41</v>
      </c>
      <c r="B1050">
        <v>120</v>
      </c>
      <c r="C1050">
        <v>20</v>
      </c>
    </row>
    <row r="1051" spans="1:3" x14ac:dyDescent="0.3">
      <c r="A1051" t="s">
        <v>41</v>
      </c>
      <c r="B1051">
        <v>120</v>
      </c>
      <c r="C1051">
        <v>300</v>
      </c>
    </row>
    <row r="1052" spans="1:3" x14ac:dyDescent="0.3">
      <c r="A1052" t="s">
        <v>41</v>
      </c>
      <c r="B1052">
        <v>120</v>
      </c>
      <c r="C1052">
        <v>300</v>
      </c>
    </row>
    <row r="1053" spans="1:3" x14ac:dyDescent="0.3">
      <c r="A1053" t="s">
        <v>41</v>
      </c>
      <c r="B1053">
        <v>120</v>
      </c>
      <c r="C1053">
        <v>300</v>
      </c>
    </row>
    <row r="1054" spans="1:3" x14ac:dyDescent="0.3">
      <c r="A1054" t="s">
        <v>42</v>
      </c>
      <c r="B1054">
        <v>250</v>
      </c>
      <c r="C1054">
        <v>7</v>
      </c>
    </row>
    <row r="1055" spans="1:3" x14ac:dyDescent="0.3">
      <c r="A1055" t="s">
        <v>42</v>
      </c>
      <c r="B1055">
        <v>250</v>
      </c>
      <c r="C1055">
        <v>300</v>
      </c>
    </row>
    <row r="1056" spans="1:3" x14ac:dyDescent="0.3">
      <c r="A1056" t="s">
        <v>42</v>
      </c>
      <c r="B1056">
        <v>250</v>
      </c>
      <c r="C1056">
        <v>300</v>
      </c>
    </row>
    <row r="1057" spans="1:3" x14ac:dyDescent="0.3">
      <c r="A1057" t="s">
        <v>42</v>
      </c>
      <c r="B1057">
        <v>250</v>
      </c>
      <c r="C1057">
        <v>300</v>
      </c>
    </row>
    <row r="1058" spans="1:3" x14ac:dyDescent="0.3">
      <c r="A1058" t="s">
        <v>42</v>
      </c>
      <c r="B1058">
        <v>250</v>
      </c>
      <c r="C1058">
        <v>300</v>
      </c>
    </row>
    <row r="1059" spans="1:3" x14ac:dyDescent="0.3">
      <c r="A1059" t="s">
        <v>42</v>
      </c>
      <c r="B1059">
        <v>250</v>
      </c>
      <c r="C1059">
        <v>350</v>
      </c>
    </row>
    <row r="1060" spans="1:3" x14ac:dyDescent="0.3">
      <c r="A1060" t="s">
        <v>44</v>
      </c>
      <c r="B1060">
        <v>260</v>
      </c>
      <c r="C1060">
        <v>300</v>
      </c>
    </row>
    <row r="1061" spans="1:3" x14ac:dyDescent="0.3">
      <c r="A1061" t="s">
        <v>44</v>
      </c>
      <c r="B1061">
        <v>260</v>
      </c>
      <c r="C1061">
        <v>125</v>
      </c>
    </row>
    <row r="1062" spans="1:3" x14ac:dyDescent="0.3">
      <c r="A1062" t="s">
        <v>44</v>
      </c>
      <c r="B1062">
        <v>260</v>
      </c>
      <c r="C1062">
        <v>12</v>
      </c>
    </row>
    <row r="1063" spans="1:3" x14ac:dyDescent="0.3">
      <c r="A1063" t="s">
        <v>44</v>
      </c>
      <c r="B1063">
        <v>260</v>
      </c>
      <c r="C1063">
        <v>15</v>
      </c>
    </row>
    <row r="1064" spans="1:3" x14ac:dyDescent="0.3">
      <c r="A1064" t="s">
        <v>44</v>
      </c>
      <c r="B1064">
        <v>260</v>
      </c>
      <c r="C1064">
        <v>12</v>
      </c>
    </row>
    <row r="1065" spans="1:3" x14ac:dyDescent="0.3">
      <c r="A1065" t="s">
        <v>44</v>
      </c>
      <c r="B1065">
        <v>260</v>
      </c>
      <c r="C1065">
        <v>7</v>
      </c>
    </row>
    <row r="1066" spans="1:3" x14ac:dyDescent="0.3">
      <c r="A1066" t="s">
        <v>44</v>
      </c>
      <c r="B1066">
        <v>260</v>
      </c>
      <c r="C1066">
        <v>7</v>
      </c>
    </row>
    <row r="1067" spans="1:3" x14ac:dyDescent="0.3">
      <c r="A1067" t="s">
        <v>44</v>
      </c>
      <c r="B1067">
        <v>260</v>
      </c>
      <c r="C1067">
        <v>15</v>
      </c>
    </row>
    <row r="1068" spans="1:3" x14ac:dyDescent="0.3">
      <c r="A1068" t="s">
        <v>19</v>
      </c>
      <c r="B1068">
        <v>3</v>
      </c>
      <c r="C1068">
        <v>125</v>
      </c>
    </row>
    <row r="1069" spans="1:3" x14ac:dyDescent="0.3">
      <c r="A1069" t="s">
        <v>19</v>
      </c>
      <c r="B1069">
        <v>3</v>
      </c>
      <c r="C1069">
        <v>125</v>
      </c>
    </row>
    <row r="1070" spans="1:3" x14ac:dyDescent="0.3">
      <c r="A1070" t="s">
        <v>19</v>
      </c>
      <c r="B1070">
        <v>3</v>
      </c>
      <c r="C1070">
        <v>125</v>
      </c>
    </row>
    <row r="1071" spans="1:3" x14ac:dyDescent="0.3">
      <c r="A1071" t="s">
        <v>28</v>
      </c>
      <c r="B1071">
        <v>5</v>
      </c>
      <c r="C1071">
        <v>300</v>
      </c>
    </row>
    <row r="1072" spans="1:3" x14ac:dyDescent="0.3">
      <c r="A1072" t="s">
        <v>38</v>
      </c>
      <c r="B1072">
        <v>10</v>
      </c>
      <c r="C1072">
        <v>20</v>
      </c>
    </row>
    <row r="1073" spans="1:3" x14ac:dyDescent="0.3">
      <c r="A1073" t="s">
        <v>38</v>
      </c>
      <c r="B1073">
        <v>10</v>
      </c>
      <c r="C1073">
        <v>15</v>
      </c>
    </row>
    <row r="1074" spans="1:3" x14ac:dyDescent="0.3">
      <c r="A1074" t="s">
        <v>38</v>
      </c>
      <c r="B1074">
        <v>10</v>
      </c>
      <c r="C1074">
        <v>7</v>
      </c>
    </row>
    <row r="1075" spans="1:3" x14ac:dyDescent="0.3">
      <c r="A1075" t="s">
        <v>38</v>
      </c>
      <c r="B1075">
        <v>10</v>
      </c>
      <c r="C1075">
        <v>350</v>
      </c>
    </row>
    <row r="1076" spans="1:3" x14ac:dyDescent="0.3">
      <c r="A1076" t="s">
        <v>38</v>
      </c>
      <c r="B1076">
        <v>10</v>
      </c>
      <c r="C1076">
        <v>15</v>
      </c>
    </row>
    <row r="1077" spans="1:3" x14ac:dyDescent="0.3">
      <c r="A1077" t="s">
        <v>38</v>
      </c>
      <c r="B1077">
        <v>10</v>
      </c>
      <c r="C1077">
        <v>20</v>
      </c>
    </row>
    <row r="1078" spans="1:3" x14ac:dyDescent="0.3">
      <c r="A1078" t="s">
        <v>38</v>
      </c>
      <c r="B1078">
        <v>10</v>
      </c>
      <c r="C1078">
        <v>125</v>
      </c>
    </row>
    <row r="1079" spans="1:3" x14ac:dyDescent="0.3">
      <c r="A1079" t="s">
        <v>38</v>
      </c>
      <c r="B1079">
        <v>10</v>
      </c>
      <c r="C1079">
        <v>15</v>
      </c>
    </row>
    <row r="1080" spans="1:3" x14ac:dyDescent="0.3">
      <c r="A1080" t="s">
        <v>38</v>
      </c>
      <c r="B1080">
        <v>10</v>
      </c>
      <c r="C1080">
        <v>350</v>
      </c>
    </row>
    <row r="1081" spans="1:3" x14ac:dyDescent="0.3">
      <c r="A1081" t="s">
        <v>38</v>
      </c>
      <c r="B1081">
        <v>10</v>
      </c>
      <c r="C1081">
        <v>350</v>
      </c>
    </row>
    <row r="1082" spans="1:3" x14ac:dyDescent="0.3">
      <c r="A1082" t="s">
        <v>38</v>
      </c>
      <c r="B1082">
        <v>10</v>
      </c>
      <c r="C1082">
        <v>12</v>
      </c>
    </row>
    <row r="1083" spans="1:3" x14ac:dyDescent="0.3">
      <c r="A1083" t="s">
        <v>38</v>
      </c>
      <c r="B1083">
        <v>3</v>
      </c>
      <c r="C1083">
        <v>12</v>
      </c>
    </row>
    <row r="1084" spans="1:3" x14ac:dyDescent="0.3">
      <c r="A1084" t="s">
        <v>38</v>
      </c>
      <c r="B1084">
        <v>3</v>
      </c>
      <c r="C1084">
        <v>12</v>
      </c>
    </row>
    <row r="1085" spans="1:3" x14ac:dyDescent="0.3">
      <c r="A1085" t="s">
        <v>38</v>
      </c>
      <c r="B1085">
        <v>3</v>
      </c>
      <c r="C1085">
        <v>15</v>
      </c>
    </row>
    <row r="1086" spans="1:3" x14ac:dyDescent="0.3">
      <c r="A1086" t="s">
        <v>41</v>
      </c>
      <c r="B1086">
        <v>3</v>
      </c>
      <c r="C1086">
        <v>7</v>
      </c>
    </row>
    <row r="1087" spans="1:3" x14ac:dyDescent="0.3">
      <c r="A1087" t="s">
        <v>41</v>
      </c>
      <c r="B1087">
        <v>5</v>
      </c>
      <c r="C1087">
        <v>125</v>
      </c>
    </row>
    <row r="1088" spans="1:3" x14ac:dyDescent="0.3">
      <c r="A1088" t="s">
        <v>42</v>
      </c>
      <c r="B1088">
        <v>5</v>
      </c>
      <c r="C1088">
        <v>350</v>
      </c>
    </row>
    <row r="1089" spans="1:3" x14ac:dyDescent="0.3">
      <c r="A1089" t="s">
        <v>19</v>
      </c>
      <c r="B1089">
        <v>5</v>
      </c>
      <c r="C1089">
        <v>350</v>
      </c>
    </row>
    <row r="1090" spans="1:3" x14ac:dyDescent="0.3">
      <c r="A1090" t="s">
        <v>19</v>
      </c>
      <c r="B1090">
        <v>5</v>
      </c>
      <c r="C1090">
        <v>7</v>
      </c>
    </row>
    <row r="1091" spans="1:3" x14ac:dyDescent="0.3">
      <c r="A1091" t="s">
        <v>19</v>
      </c>
      <c r="B1091">
        <v>5</v>
      </c>
      <c r="C1091">
        <v>12</v>
      </c>
    </row>
    <row r="1092" spans="1:3" x14ac:dyDescent="0.3">
      <c r="A1092" t="s">
        <v>28</v>
      </c>
      <c r="B1092">
        <v>5</v>
      </c>
      <c r="C1092">
        <v>350</v>
      </c>
    </row>
    <row r="1093" spans="1:3" x14ac:dyDescent="0.3">
      <c r="A1093" t="s">
        <v>28</v>
      </c>
      <c r="B1093">
        <v>5</v>
      </c>
      <c r="C1093">
        <v>12</v>
      </c>
    </row>
    <row r="1094" spans="1:3" x14ac:dyDescent="0.3">
      <c r="A1094" t="s">
        <v>38</v>
      </c>
      <c r="B1094">
        <v>5</v>
      </c>
      <c r="C1094">
        <v>350</v>
      </c>
    </row>
    <row r="1095" spans="1:3" x14ac:dyDescent="0.3">
      <c r="A1095" t="s">
        <v>38</v>
      </c>
      <c r="B1095">
        <v>5</v>
      </c>
      <c r="C1095">
        <v>125</v>
      </c>
    </row>
    <row r="1096" spans="1:3" x14ac:dyDescent="0.3">
      <c r="A1096" t="s">
        <v>38</v>
      </c>
      <c r="B1096">
        <v>5</v>
      </c>
      <c r="C1096">
        <v>125</v>
      </c>
    </row>
    <row r="1097" spans="1:3" x14ac:dyDescent="0.3">
      <c r="A1097" t="s">
        <v>38</v>
      </c>
      <c r="B1097">
        <v>10</v>
      </c>
      <c r="C1097">
        <v>15</v>
      </c>
    </row>
    <row r="1098" spans="1:3" x14ac:dyDescent="0.3">
      <c r="A1098" t="s">
        <v>38</v>
      </c>
      <c r="B1098">
        <v>10</v>
      </c>
      <c r="C1098">
        <v>350</v>
      </c>
    </row>
    <row r="1099" spans="1:3" x14ac:dyDescent="0.3">
      <c r="A1099" t="s">
        <v>38</v>
      </c>
      <c r="B1099">
        <v>10</v>
      </c>
      <c r="C1099">
        <v>7</v>
      </c>
    </row>
    <row r="1100" spans="1:3" x14ac:dyDescent="0.3">
      <c r="A1100" t="s">
        <v>38</v>
      </c>
      <c r="B1100">
        <v>10</v>
      </c>
      <c r="C1100">
        <v>300</v>
      </c>
    </row>
    <row r="1101" spans="1:3" x14ac:dyDescent="0.3">
      <c r="A1101" t="s">
        <v>38</v>
      </c>
      <c r="B1101">
        <v>10</v>
      </c>
      <c r="C1101">
        <v>350</v>
      </c>
    </row>
    <row r="1102" spans="1:3" x14ac:dyDescent="0.3">
      <c r="A1102" t="s">
        <v>38</v>
      </c>
      <c r="B1102">
        <v>10</v>
      </c>
      <c r="C1102">
        <v>15</v>
      </c>
    </row>
    <row r="1103" spans="1:3" x14ac:dyDescent="0.3">
      <c r="A1103" t="s">
        <v>41</v>
      </c>
      <c r="B1103">
        <v>10</v>
      </c>
      <c r="C1103">
        <v>7</v>
      </c>
    </row>
    <row r="1104" spans="1:3" x14ac:dyDescent="0.3">
      <c r="A1104" t="s">
        <v>41</v>
      </c>
      <c r="B1104">
        <v>10</v>
      </c>
      <c r="C1104">
        <v>300</v>
      </c>
    </row>
    <row r="1105" spans="1:3" x14ac:dyDescent="0.3">
      <c r="A1105" t="s">
        <v>41</v>
      </c>
      <c r="B1105">
        <v>10</v>
      </c>
      <c r="C1105">
        <v>20</v>
      </c>
    </row>
    <row r="1106" spans="1:3" x14ac:dyDescent="0.3">
      <c r="A1106" t="s">
        <v>41</v>
      </c>
      <c r="B1106">
        <v>10</v>
      </c>
      <c r="C1106">
        <v>300</v>
      </c>
    </row>
    <row r="1107" spans="1:3" x14ac:dyDescent="0.3">
      <c r="A1107" t="s">
        <v>41</v>
      </c>
      <c r="B1107">
        <v>10</v>
      </c>
      <c r="C1107">
        <v>125</v>
      </c>
    </row>
    <row r="1108" spans="1:3" x14ac:dyDescent="0.3">
      <c r="A1108" t="s">
        <v>41</v>
      </c>
      <c r="B1108">
        <v>120</v>
      </c>
      <c r="C1108">
        <v>350</v>
      </c>
    </row>
    <row r="1109" spans="1:3" x14ac:dyDescent="0.3">
      <c r="A1109" t="s">
        <v>41</v>
      </c>
      <c r="B1109">
        <v>120</v>
      </c>
      <c r="C1109">
        <v>350</v>
      </c>
    </row>
    <row r="1110" spans="1:3" x14ac:dyDescent="0.3">
      <c r="A1110" t="s">
        <v>42</v>
      </c>
      <c r="B1110">
        <v>120</v>
      </c>
      <c r="C1110">
        <v>7</v>
      </c>
    </row>
    <row r="1111" spans="1:3" x14ac:dyDescent="0.3">
      <c r="A1111" t="s">
        <v>42</v>
      </c>
      <c r="B1111">
        <v>120</v>
      </c>
      <c r="C1111">
        <v>350</v>
      </c>
    </row>
    <row r="1112" spans="1:3" x14ac:dyDescent="0.3">
      <c r="A1112" t="s">
        <v>42</v>
      </c>
      <c r="B1112">
        <v>120</v>
      </c>
      <c r="C1112">
        <v>20</v>
      </c>
    </row>
    <row r="1113" spans="1:3" x14ac:dyDescent="0.3">
      <c r="A1113" t="s">
        <v>44</v>
      </c>
      <c r="B1113">
        <v>250</v>
      </c>
      <c r="C1113">
        <v>15</v>
      </c>
    </row>
    <row r="1114" spans="1:3" x14ac:dyDescent="0.3">
      <c r="A1114" t="s">
        <v>44</v>
      </c>
      <c r="B1114">
        <v>250</v>
      </c>
      <c r="C1114">
        <v>15</v>
      </c>
    </row>
    <row r="1115" spans="1:3" x14ac:dyDescent="0.3">
      <c r="A1115" t="s">
        <v>44</v>
      </c>
      <c r="B1115">
        <v>250</v>
      </c>
      <c r="C1115">
        <v>15</v>
      </c>
    </row>
    <row r="1116" spans="1:3" x14ac:dyDescent="0.3">
      <c r="A1116" t="s">
        <v>44</v>
      </c>
      <c r="B1116">
        <v>250</v>
      </c>
      <c r="C1116">
        <v>20</v>
      </c>
    </row>
    <row r="1117" spans="1:3" x14ac:dyDescent="0.3">
      <c r="A1117" t="s">
        <v>44</v>
      </c>
      <c r="B1117">
        <v>250</v>
      </c>
      <c r="C1117">
        <v>20</v>
      </c>
    </row>
    <row r="1118" spans="1:3" x14ac:dyDescent="0.3">
      <c r="A1118" t="s">
        <v>28</v>
      </c>
      <c r="B1118">
        <v>250</v>
      </c>
      <c r="C1118">
        <v>7</v>
      </c>
    </row>
    <row r="1119" spans="1:3" x14ac:dyDescent="0.3">
      <c r="A1119" t="s">
        <v>28</v>
      </c>
      <c r="B1119">
        <v>260</v>
      </c>
      <c r="C1119">
        <v>15</v>
      </c>
    </row>
    <row r="1120" spans="1:3" x14ac:dyDescent="0.3">
      <c r="A1120" t="s">
        <v>38</v>
      </c>
      <c r="B1120">
        <v>260</v>
      </c>
      <c r="C1120">
        <v>12</v>
      </c>
    </row>
    <row r="1121" spans="1:3" x14ac:dyDescent="0.3">
      <c r="A1121" t="s">
        <v>44</v>
      </c>
      <c r="B1121">
        <v>260</v>
      </c>
      <c r="C1121">
        <v>12</v>
      </c>
    </row>
    <row r="1122" spans="1:3" x14ac:dyDescent="0.3">
      <c r="A1122" t="s">
        <v>19</v>
      </c>
      <c r="B1122">
        <v>260</v>
      </c>
      <c r="C1122">
        <v>20</v>
      </c>
    </row>
    <row r="1123" spans="1:3" x14ac:dyDescent="0.3">
      <c r="A1123" t="s">
        <v>19</v>
      </c>
      <c r="B1123">
        <v>260</v>
      </c>
      <c r="C1123">
        <v>12</v>
      </c>
    </row>
    <row r="1124" spans="1:3" x14ac:dyDescent="0.3">
      <c r="A1124" t="s">
        <v>19</v>
      </c>
      <c r="B1124">
        <v>260</v>
      </c>
      <c r="C1124">
        <v>12</v>
      </c>
    </row>
    <row r="1125" spans="1:3" x14ac:dyDescent="0.3">
      <c r="A1125" t="s">
        <v>28</v>
      </c>
      <c r="B1125">
        <v>260</v>
      </c>
      <c r="C1125">
        <v>7</v>
      </c>
    </row>
    <row r="1126" spans="1:3" x14ac:dyDescent="0.3">
      <c r="A1126" t="s">
        <v>28</v>
      </c>
      <c r="B1126">
        <v>260</v>
      </c>
      <c r="C1126">
        <v>15</v>
      </c>
    </row>
    <row r="1127" spans="1:3" x14ac:dyDescent="0.3">
      <c r="A1127" t="s">
        <v>28</v>
      </c>
      <c r="B1127">
        <v>3</v>
      </c>
      <c r="C1127">
        <v>7</v>
      </c>
    </row>
    <row r="1128" spans="1:3" x14ac:dyDescent="0.3">
      <c r="A1128" t="s">
        <v>28</v>
      </c>
      <c r="B1128">
        <v>10</v>
      </c>
      <c r="C1128">
        <v>7</v>
      </c>
    </row>
    <row r="1129" spans="1:3" x14ac:dyDescent="0.3">
      <c r="A1129" t="s">
        <v>28</v>
      </c>
      <c r="B1129">
        <v>10</v>
      </c>
      <c r="C1129">
        <v>7</v>
      </c>
    </row>
    <row r="1130" spans="1:3" x14ac:dyDescent="0.3">
      <c r="A1130" t="s">
        <v>28</v>
      </c>
      <c r="B1130">
        <v>10</v>
      </c>
      <c r="C1130">
        <v>12</v>
      </c>
    </row>
    <row r="1131" spans="1:3" x14ac:dyDescent="0.3">
      <c r="A1131" t="s">
        <v>38</v>
      </c>
      <c r="B1131">
        <v>10</v>
      </c>
      <c r="C1131">
        <v>12</v>
      </c>
    </row>
    <row r="1132" spans="1:3" x14ac:dyDescent="0.3">
      <c r="A1132" t="s">
        <v>38</v>
      </c>
      <c r="B1132">
        <v>10</v>
      </c>
      <c r="C1132">
        <v>7</v>
      </c>
    </row>
    <row r="1133" spans="1:3" x14ac:dyDescent="0.3">
      <c r="A1133" t="s">
        <v>38</v>
      </c>
      <c r="B1133">
        <v>10</v>
      </c>
      <c r="C1133">
        <v>7</v>
      </c>
    </row>
    <row r="1134" spans="1:3" x14ac:dyDescent="0.3">
      <c r="A1134" t="s">
        <v>38</v>
      </c>
      <c r="B1134">
        <v>10</v>
      </c>
      <c r="C1134">
        <v>350</v>
      </c>
    </row>
    <row r="1135" spans="1:3" x14ac:dyDescent="0.3">
      <c r="A1135" t="s">
        <v>38</v>
      </c>
      <c r="B1135">
        <v>10</v>
      </c>
      <c r="C1135">
        <v>300</v>
      </c>
    </row>
    <row r="1136" spans="1:3" x14ac:dyDescent="0.3">
      <c r="A1136" t="s">
        <v>38</v>
      </c>
      <c r="B1136">
        <v>10</v>
      </c>
      <c r="C1136">
        <v>300</v>
      </c>
    </row>
    <row r="1137" spans="1:3" x14ac:dyDescent="0.3">
      <c r="A1137" t="s">
        <v>38</v>
      </c>
      <c r="B1137">
        <v>120</v>
      </c>
      <c r="C1137">
        <v>20</v>
      </c>
    </row>
    <row r="1138" spans="1:3" x14ac:dyDescent="0.3">
      <c r="A1138" t="s">
        <v>38</v>
      </c>
      <c r="B1138">
        <v>120</v>
      </c>
      <c r="C1138">
        <v>300</v>
      </c>
    </row>
    <row r="1139" spans="1:3" x14ac:dyDescent="0.3">
      <c r="A1139" t="s">
        <v>19</v>
      </c>
      <c r="B1139">
        <v>120</v>
      </c>
      <c r="C1139">
        <v>125</v>
      </c>
    </row>
    <row r="1140" spans="1:3" x14ac:dyDescent="0.3">
      <c r="A1140" t="s">
        <v>19</v>
      </c>
      <c r="B1140">
        <v>120</v>
      </c>
      <c r="C1140">
        <v>300</v>
      </c>
    </row>
    <row r="1141" spans="1:3" x14ac:dyDescent="0.3">
      <c r="A1141" t="s">
        <v>19</v>
      </c>
      <c r="B1141">
        <v>3</v>
      </c>
      <c r="C1141">
        <v>300</v>
      </c>
    </row>
    <row r="1142" spans="1:3" x14ac:dyDescent="0.3">
      <c r="A1142" t="s">
        <v>28</v>
      </c>
      <c r="B1142">
        <v>3</v>
      </c>
      <c r="C1142">
        <v>125</v>
      </c>
    </row>
    <row r="1143" spans="1:3" x14ac:dyDescent="0.3">
      <c r="A1143" t="s">
        <v>28</v>
      </c>
      <c r="B1143">
        <v>3</v>
      </c>
      <c r="C1143">
        <v>15</v>
      </c>
    </row>
    <row r="1144" spans="1:3" x14ac:dyDescent="0.3">
      <c r="A1144" t="s">
        <v>38</v>
      </c>
      <c r="B1144">
        <v>3</v>
      </c>
      <c r="C1144">
        <v>15</v>
      </c>
    </row>
    <row r="1145" spans="1:3" x14ac:dyDescent="0.3">
      <c r="A1145" t="s">
        <v>38</v>
      </c>
      <c r="B1145">
        <v>3</v>
      </c>
      <c r="C1145">
        <v>20</v>
      </c>
    </row>
    <row r="1146" spans="1:3" x14ac:dyDescent="0.3">
      <c r="A1146" t="s">
        <v>38</v>
      </c>
      <c r="B1146">
        <v>3</v>
      </c>
      <c r="C1146">
        <v>300</v>
      </c>
    </row>
    <row r="1147" spans="1:3" x14ac:dyDescent="0.3">
      <c r="A1147" t="s">
        <v>38</v>
      </c>
      <c r="B1147">
        <v>3</v>
      </c>
      <c r="C1147">
        <v>300</v>
      </c>
    </row>
    <row r="1148" spans="1:3" x14ac:dyDescent="0.3">
      <c r="A1148" t="s">
        <v>42</v>
      </c>
      <c r="B1148">
        <v>5</v>
      </c>
      <c r="C1148">
        <v>12</v>
      </c>
    </row>
    <row r="1149" spans="1:3" x14ac:dyDescent="0.3">
      <c r="A1149" t="s">
        <v>44</v>
      </c>
      <c r="B1149">
        <v>5</v>
      </c>
      <c r="C1149">
        <v>7</v>
      </c>
    </row>
    <row r="1150" spans="1:3" x14ac:dyDescent="0.3">
      <c r="A1150" t="s">
        <v>44</v>
      </c>
      <c r="B1150">
        <v>5</v>
      </c>
      <c r="C1150">
        <v>300</v>
      </c>
    </row>
    <row r="1151" spans="1:3" x14ac:dyDescent="0.3">
      <c r="A1151" t="s">
        <v>19</v>
      </c>
      <c r="B1151">
        <v>5</v>
      </c>
      <c r="C1151">
        <v>20</v>
      </c>
    </row>
    <row r="1152" spans="1:3" x14ac:dyDescent="0.3">
      <c r="A1152" t="s">
        <v>19</v>
      </c>
      <c r="B1152">
        <v>5</v>
      </c>
      <c r="C1152">
        <v>125</v>
      </c>
    </row>
    <row r="1153" spans="1:3" x14ac:dyDescent="0.3">
      <c r="A1153" t="s">
        <v>19</v>
      </c>
      <c r="B1153">
        <v>5</v>
      </c>
      <c r="C1153">
        <v>20</v>
      </c>
    </row>
    <row r="1154" spans="1:3" x14ac:dyDescent="0.3">
      <c r="A1154" t="s">
        <v>19</v>
      </c>
      <c r="B1154">
        <v>10</v>
      </c>
      <c r="C1154">
        <v>20</v>
      </c>
    </row>
    <row r="1155" spans="1:3" x14ac:dyDescent="0.3">
      <c r="A1155" t="s">
        <v>19</v>
      </c>
      <c r="B1155">
        <v>10</v>
      </c>
      <c r="C1155">
        <v>300</v>
      </c>
    </row>
    <row r="1156" spans="1:3" x14ac:dyDescent="0.3">
      <c r="A1156" t="s">
        <v>19</v>
      </c>
      <c r="B1156">
        <v>10</v>
      </c>
      <c r="C1156">
        <v>20</v>
      </c>
    </row>
    <row r="1157" spans="1:3" x14ac:dyDescent="0.3">
      <c r="A1157" t="s">
        <v>19</v>
      </c>
      <c r="B1157">
        <v>10</v>
      </c>
      <c r="C1157">
        <v>12</v>
      </c>
    </row>
    <row r="1158" spans="1:3" x14ac:dyDescent="0.3">
      <c r="A1158" t="s">
        <v>28</v>
      </c>
      <c r="B1158">
        <v>120</v>
      </c>
      <c r="C1158">
        <v>300</v>
      </c>
    </row>
    <row r="1159" spans="1:3" x14ac:dyDescent="0.3">
      <c r="A1159" t="s">
        <v>28</v>
      </c>
      <c r="B1159">
        <v>120</v>
      </c>
      <c r="C1159">
        <v>300</v>
      </c>
    </row>
    <row r="1160" spans="1:3" x14ac:dyDescent="0.3">
      <c r="A1160" t="s">
        <v>28</v>
      </c>
      <c r="B1160">
        <v>120</v>
      </c>
      <c r="C1160">
        <v>125</v>
      </c>
    </row>
    <row r="1161" spans="1:3" x14ac:dyDescent="0.3">
      <c r="A1161" t="s">
        <v>28</v>
      </c>
      <c r="B1161">
        <v>120</v>
      </c>
      <c r="C1161">
        <v>350</v>
      </c>
    </row>
    <row r="1162" spans="1:3" x14ac:dyDescent="0.3">
      <c r="A1162" t="s">
        <v>28</v>
      </c>
      <c r="B1162">
        <v>120</v>
      </c>
      <c r="C1162">
        <v>125</v>
      </c>
    </row>
    <row r="1163" spans="1:3" x14ac:dyDescent="0.3">
      <c r="A1163" t="s">
        <v>28</v>
      </c>
      <c r="B1163">
        <v>250</v>
      </c>
      <c r="C1163">
        <v>20</v>
      </c>
    </row>
    <row r="1164" spans="1:3" x14ac:dyDescent="0.3">
      <c r="A1164" t="s">
        <v>38</v>
      </c>
      <c r="B1164">
        <v>250</v>
      </c>
      <c r="C1164">
        <v>300</v>
      </c>
    </row>
    <row r="1165" spans="1:3" x14ac:dyDescent="0.3">
      <c r="A1165" t="s">
        <v>38</v>
      </c>
      <c r="B1165">
        <v>250</v>
      </c>
      <c r="C1165">
        <v>7</v>
      </c>
    </row>
    <row r="1166" spans="1:3" x14ac:dyDescent="0.3">
      <c r="A1166" t="s">
        <v>38</v>
      </c>
      <c r="B1166">
        <v>10</v>
      </c>
      <c r="C1166">
        <v>20</v>
      </c>
    </row>
    <row r="1167" spans="1:3" x14ac:dyDescent="0.3">
      <c r="A1167" t="s">
        <v>38</v>
      </c>
      <c r="B1167">
        <v>10</v>
      </c>
      <c r="C1167">
        <v>7</v>
      </c>
    </row>
    <row r="1168" spans="1:3" x14ac:dyDescent="0.3">
      <c r="A1168" t="s">
        <v>38</v>
      </c>
      <c r="B1168">
        <v>10</v>
      </c>
      <c r="C1168">
        <v>20</v>
      </c>
    </row>
    <row r="1169" spans="1:3" x14ac:dyDescent="0.3">
      <c r="A1169" t="s">
        <v>38</v>
      </c>
      <c r="B1169">
        <v>10</v>
      </c>
      <c r="C1169">
        <v>125</v>
      </c>
    </row>
    <row r="1170" spans="1:3" x14ac:dyDescent="0.3">
      <c r="A1170" t="s">
        <v>38</v>
      </c>
      <c r="B1170">
        <v>10</v>
      </c>
      <c r="C1170">
        <v>15</v>
      </c>
    </row>
    <row r="1171" spans="1:3" x14ac:dyDescent="0.3">
      <c r="A1171" t="s">
        <v>38</v>
      </c>
      <c r="B1171">
        <v>10</v>
      </c>
      <c r="C1171">
        <v>350</v>
      </c>
    </row>
    <row r="1172" spans="1:3" x14ac:dyDescent="0.3">
      <c r="A1172" t="s">
        <v>38</v>
      </c>
      <c r="B1172">
        <v>10</v>
      </c>
      <c r="C1172">
        <v>15</v>
      </c>
    </row>
    <row r="1173" spans="1:3" x14ac:dyDescent="0.3">
      <c r="A1173" t="s">
        <v>41</v>
      </c>
      <c r="B1173">
        <v>120</v>
      </c>
      <c r="C1173">
        <v>20</v>
      </c>
    </row>
    <row r="1174" spans="1:3" x14ac:dyDescent="0.3">
      <c r="A1174" t="s">
        <v>41</v>
      </c>
      <c r="B1174">
        <v>120</v>
      </c>
      <c r="C1174">
        <v>20</v>
      </c>
    </row>
    <row r="1175" spans="1:3" x14ac:dyDescent="0.3">
      <c r="A1175" t="s">
        <v>41</v>
      </c>
      <c r="B1175">
        <v>120</v>
      </c>
      <c r="C1175">
        <v>300</v>
      </c>
    </row>
    <row r="1176" spans="1:3" x14ac:dyDescent="0.3">
      <c r="A1176" t="s">
        <v>41</v>
      </c>
      <c r="B1176">
        <v>250</v>
      </c>
      <c r="C1176">
        <v>300</v>
      </c>
    </row>
    <row r="1177" spans="1:3" x14ac:dyDescent="0.3">
      <c r="A1177" t="s">
        <v>41</v>
      </c>
      <c r="B1177">
        <v>250</v>
      </c>
      <c r="C1177">
        <v>15</v>
      </c>
    </row>
    <row r="1178" spans="1:3" x14ac:dyDescent="0.3">
      <c r="A1178" t="s">
        <v>42</v>
      </c>
      <c r="B1178">
        <v>250</v>
      </c>
      <c r="C1178">
        <v>125</v>
      </c>
    </row>
    <row r="1179" spans="1:3" x14ac:dyDescent="0.3">
      <c r="A1179" t="s">
        <v>42</v>
      </c>
      <c r="B1179">
        <v>250</v>
      </c>
      <c r="C1179">
        <v>7</v>
      </c>
    </row>
    <row r="1180" spans="1:3" x14ac:dyDescent="0.3">
      <c r="A1180" t="s">
        <v>42</v>
      </c>
      <c r="B1180">
        <v>250</v>
      </c>
      <c r="C1180">
        <v>7</v>
      </c>
    </row>
    <row r="1181" spans="1:3" x14ac:dyDescent="0.3">
      <c r="A1181" t="s">
        <v>42</v>
      </c>
      <c r="B1181">
        <v>250</v>
      </c>
      <c r="C1181">
        <v>20</v>
      </c>
    </row>
    <row r="1182" spans="1:3" x14ac:dyDescent="0.3">
      <c r="A1182" t="s">
        <v>42</v>
      </c>
      <c r="B1182">
        <v>260</v>
      </c>
      <c r="C1182">
        <v>300</v>
      </c>
    </row>
    <row r="1183" spans="1:3" x14ac:dyDescent="0.3">
      <c r="A1183" t="s">
        <v>42</v>
      </c>
      <c r="B1183">
        <v>260</v>
      </c>
      <c r="C1183">
        <v>7</v>
      </c>
    </row>
    <row r="1184" spans="1:3" x14ac:dyDescent="0.3">
      <c r="A1184" t="s">
        <v>44</v>
      </c>
      <c r="B1184">
        <v>260</v>
      </c>
      <c r="C1184">
        <v>7</v>
      </c>
    </row>
    <row r="1185" spans="1:3" x14ac:dyDescent="0.3">
      <c r="A1185" t="s">
        <v>44</v>
      </c>
      <c r="B1185">
        <v>260</v>
      </c>
      <c r="C1185">
        <v>7</v>
      </c>
    </row>
    <row r="1186" spans="1:3" x14ac:dyDescent="0.3">
      <c r="A1186" t="s">
        <v>44</v>
      </c>
      <c r="B1186">
        <v>3</v>
      </c>
      <c r="C1186">
        <v>20</v>
      </c>
    </row>
    <row r="1187" spans="1:3" x14ac:dyDescent="0.3">
      <c r="A1187" t="s">
        <v>44</v>
      </c>
      <c r="B1187">
        <v>5</v>
      </c>
      <c r="C1187">
        <v>7</v>
      </c>
    </row>
    <row r="1188" spans="1:3" x14ac:dyDescent="0.3">
      <c r="A1188" t="s">
        <v>44</v>
      </c>
      <c r="B1188">
        <v>10</v>
      </c>
      <c r="C1188">
        <v>7</v>
      </c>
    </row>
    <row r="1189" spans="1:3" x14ac:dyDescent="0.3">
      <c r="A1189" t="s">
        <v>44</v>
      </c>
      <c r="B1189">
        <v>250</v>
      </c>
      <c r="C1189">
        <v>7</v>
      </c>
    </row>
    <row r="1190" spans="1:3" x14ac:dyDescent="0.3">
      <c r="A1190" t="s">
        <v>44</v>
      </c>
      <c r="B1190">
        <v>250</v>
      </c>
      <c r="C1190">
        <v>7</v>
      </c>
    </row>
    <row r="1191" spans="1:3" x14ac:dyDescent="0.3">
      <c r="A1191" t="s">
        <v>44</v>
      </c>
      <c r="B1191">
        <v>260</v>
      </c>
      <c r="C1191">
        <v>15</v>
      </c>
    </row>
    <row r="1192" spans="1:3" x14ac:dyDescent="0.3">
      <c r="A1192" t="s">
        <v>19</v>
      </c>
      <c r="B1192">
        <v>3</v>
      </c>
      <c r="C1192">
        <v>20</v>
      </c>
    </row>
    <row r="1193" spans="1:3" x14ac:dyDescent="0.3">
      <c r="A1193" t="s">
        <v>19</v>
      </c>
      <c r="B1193">
        <v>250</v>
      </c>
      <c r="C1193">
        <v>15</v>
      </c>
    </row>
    <row r="1194" spans="1:3" x14ac:dyDescent="0.3">
      <c r="A1194" t="s">
        <v>19</v>
      </c>
      <c r="B1194">
        <v>3</v>
      </c>
      <c r="C1194">
        <v>12</v>
      </c>
    </row>
    <row r="1195" spans="1:3" x14ac:dyDescent="0.3">
      <c r="A1195" t="s">
        <v>28</v>
      </c>
      <c r="B1195">
        <v>3</v>
      </c>
      <c r="C1195">
        <v>7</v>
      </c>
    </row>
    <row r="1196" spans="1:3" x14ac:dyDescent="0.3">
      <c r="A1196" t="s">
        <v>41</v>
      </c>
      <c r="B1196">
        <v>250</v>
      </c>
      <c r="C1196">
        <v>12</v>
      </c>
    </row>
    <row r="1197" spans="1:3" x14ac:dyDescent="0.3">
      <c r="A1197" t="s">
        <v>41</v>
      </c>
      <c r="B1197">
        <v>250</v>
      </c>
      <c r="C1197">
        <v>12</v>
      </c>
    </row>
    <row r="1198" spans="1:3" x14ac:dyDescent="0.3">
      <c r="A1198" t="s">
        <v>41</v>
      </c>
      <c r="B1198">
        <v>250</v>
      </c>
      <c r="C1198">
        <v>300</v>
      </c>
    </row>
    <row r="1199" spans="1:3" x14ac:dyDescent="0.3">
      <c r="A1199" t="s">
        <v>41</v>
      </c>
      <c r="B1199">
        <v>260</v>
      </c>
      <c r="C1199">
        <v>125</v>
      </c>
    </row>
    <row r="1200" spans="1:3" x14ac:dyDescent="0.3">
      <c r="A1200" t="s">
        <v>42</v>
      </c>
      <c r="B1200">
        <v>260</v>
      </c>
      <c r="C1200">
        <v>300</v>
      </c>
    </row>
    <row r="1201" spans="1:3" x14ac:dyDescent="0.3">
      <c r="A1201" t="s">
        <v>42</v>
      </c>
      <c r="B1201">
        <v>260</v>
      </c>
      <c r="C1201">
        <v>300</v>
      </c>
    </row>
    <row r="1202" spans="1:3" x14ac:dyDescent="0.3">
      <c r="A1202" t="s">
        <v>42</v>
      </c>
      <c r="B1202">
        <v>260</v>
      </c>
      <c r="C1202">
        <v>15</v>
      </c>
    </row>
    <row r="1203" spans="1:3" x14ac:dyDescent="0.3">
      <c r="A1203" t="s">
        <v>42</v>
      </c>
      <c r="B1203">
        <v>260</v>
      </c>
      <c r="C1203">
        <v>15</v>
      </c>
    </row>
    <row r="1204" spans="1:3" x14ac:dyDescent="0.3">
      <c r="A1204" t="s">
        <v>42</v>
      </c>
      <c r="B1204">
        <v>10</v>
      </c>
      <c r="C1204">
        <v>125</v>
      </c>
    </row>
    <row r="1205" spans="1:3" x14ac:dyDescent="0.3">
      <c r="A1205" t="s">
        <v>42</v>
      </c>
      <c r="B1205">
        <v>10</v>
      </c>
      <c r="C1205">
        <v>350</v>
      </c>
    </row>
    <row r="1206" spans="1:3" x14ac:dyDescent="0.3">
      <c r="A1206" t="s">
        <v>44</v>
      </c>
      <c r="B1206">
        <v>10</v>
      </c>
      <c r="C1206">
        <v>350</v>
      </c>
    </row>
    <row r="1207" spans="1:3" x14ac:dyDescent="0.3">
      <c r="A1207" t="s">
        <v>19</v>
      </c>
      <c r="B1207">
        <v>120</v>
      </c>
      <c r="C1207">
        <v>350</v>
      </c>
    </row>
    <row r="1208" spans="1:3" x14ac:dyDescent="0.3">
      <c r="A1208" t="s">
        <v>19</v>
      </c>
      <c r="B1208">
        <v>120</v>
      </c>
      <c r="C1208">
        <v>7</v>
      </c>
    </row>
    <row r="1209" spans="1:3" x14ac:dyDescent="0.3">
      <c r="A1209" t="s">
        <v>19</v>
      </c>
      <c r="B1209">
        <v>250</v>
      </c>
      <c r="C1209">
        <v>7</v>
      </c>
    </row>
    <row r="1210" spans="1:3" x14ac:dyDescent="0.3">
      <c r="A1210" t="s">
        <v>19</v>
      </c>
      <c r="B1210">
        <v>250</v>
      </c>
      <c r="C1210">
        <v>15</v>
      </c>
    </row>
    <row r="1211" spans="1:3" x14ac:dyDescent="0.3">
      <c r="A1211" t="s">
        <v>28</v>
      </c>
      <c r="B1211">
        <v>250</v>
      </c>
      <c r="C1211">
        <v>20</v>
      </c>
    </row>
    <row r="1212" spans="1:3" x14ac:dyDescent="0.3">
      <c r="A1212" t="s">
        <v>28</v>
      </c>
      <c r="B1212">
        <v>10</v>
      </c>
      <c r="C1212">
        <v>15</v>
      </c>
    </row>
    <row r="1213" spans="1:3" x14ac:dyDescent="0.3">
      <c r="A1213" t="s">
        <v>28</v>
      </c>
      <c r="B1213">
        <v>10</v>
      </c>
      <c r="C1213">
        <v>15</v>
      </c>
    </row>
    <row r="1214" spans="1:3" x14ac:dyDescent="0.3">
      <c r="A1214" t="s">
        <v>28</v>
      </c>
      <c r="B1214">
        <v>10</v>
      </c>
      <c r="C1214">
        <v>12</v>
      </c>
    </row>
    <row r="1215" spans="1:3" x14ac:dyDescent="0.3">
      <c r="A1215" t="s">
        <v>28</v>
      </c>
      <c r="B1215">
        <v>10</v>
      </c>
      <c r="C1215">
        <v>7</v>
      </c>
    </row>
    <row r="1216" spans="1:3" x14ac:dyDescent="0.3">
      <c r="A1216" t="s">
        <v>28</v>
      </c>
      <c r="B1216">
        <v>10</v>
      </c>
      <c r="C1216">
        <v>350</v>
      </c>
    </row>
    <row r="1217" spans="1:3" x14ac:dyDescent="0.3">
      <c r="A1217" t="s">
        <v>28</v>
      </c>
      <c r="B1217">
        <v>10</v>
      </c>
      <c r="C1217">
        <v>12</v>
      </c>
    </row>
    <row r="1218" spans="1:3" x14ac:dyDescent="0.3">
      <c r="A1218" t="s">
        <v>28</v>
      </c>
      <c r="B1218">
        <v>10</v>
      </c>
      <c r="C1218">
        <v>350</v>
      </c>
    </row>
    <row r="1219" spans="1:3" x14ac:dyDescent="0.3">
      <c r="A1219" t="s">
        <v>28</v>
      </c>
      <c r="B1219">
        <v>120</v>
      </c>
      <c r="C1219">
        <v>350</v>
      </c>
    </row>
    <row r="1220" spans="1:3" x14ac:dyDescent="0.3">
      <c r="A1220" t="s">
        <v>28</v>
      </c>
      <c r="B1220">
        <v>10</v>
      </c>
      <c r="C1220">
        <v>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6C26C-F33D-46AB-94BD-2AACD061B5B2}">
  <dimension ref="A1:B1220"/>
  <sheetViews>
    <sheetView workbookViewId="0">
      <selection sqref="A1:B1048576"/>
    </sheetView>
  </sheetViews>
  <sheetFormatPr defaultRowHeight="14.4" x14ac:dyDescent="0.3"/>
  <cols>
    <col min="1" max="1" width="21.5546875" bestFit="1" customWidth="1"/>
    <col min="2" max="2" width="14.88671875" bestFit="1" customWidth="1"/>
  </cols>
  <sheetData>
    <row r="1" spans="1:2" x14ac:dyDescent="0.3">
      <c r="A1" t="s">
        <v>2</v>
      </c>
      <c r="B1" t="s">
        <v>1</v>
      </c>
    </row>
    <row r="2" spans="1:2" x14ac:dyDescent="0.3">
      <c r="A2" t="s">
        <v>18</v>
      </c>
      <c r="B2" t="s">
        <v>17</v>
      </c>
    </row>
    <row r="3" spans="1:2" x14ac:dyDescent="0.3">
      <c r="A3" t="s">
        <v>22</v>
      </c>
      <c r="B3" t="s">
        <v>17</v>
      </c>
    </row>
    <row r="4" spans="1:2" x14ac:dyDescent="0.3">
      <c r="A4" t="s">
        <v>24</v>
      </c>
      <c r="B4" t="s">
        <v>23</v>
      </c>
    </row>
    <row r="5" spans="1:2" x14ac:dyDescent="0.3">
      <c r="A5" t="s">
        <v>22</v>
      </c>
      <c r="B5" t="s">
        <v>23</v>
      </c>
    </row>
    <row r="6" spans="1:2" x14ac:dyDescent="0.3">
      <c r="A6" t="s">
        <v>26</v>
      </c>
      <c r="B6" t="s">
        <v>23</v>
      </c>
    </row>
    <row r="7" spans="1:2" x14ac:dyDescent="0.3">
      <c r="A7" t="s">
        <v>22</v>
      </c>
      <c r="B7" t="s">
        <v>17</v>
      </c>
    </row>
    <row r="8" spans="1:2" x14ac:dyDescent="0.3">
      <c r="A8" t="s">
        <v>22</v>
      </c>
      <c r="B8" t="s">
        <v>23</v>
      </c>
    </row>
    <row r="9" spans="1:2" x14ac:dyDescent="0.3">
      <c r="A9" t="s">
        <v>18</v>
      </c>
      <c r="B9" t="s">
        <v>30</v>
      </c>
    </row>
    <row r="10" spans="1:2" x14ac:dyDescent="0.3">
      <c r="A10" t="s">
        <v>24</v>
      </c>
      <c r="B10" t="s">
        <v>17</v>
      </c>
    </row>
    <row r="11" spans="1:2" x14ac:dyDescent="0.3">
      <c r="A11" t="s">
        <v>22</v>
      </c>
      <c r="B11" t="s">
        <v>30</v>
      </c>
    </row>
    <row r="12" spans="1:2" x14ac:dyDescent="0.3">
      <c r="A12" t="s">
        <v>26</v>
      </c>
      <c r="B12" t="s">
        <v>23</v>
      </c>
    </row>
    <row r="13" spans="1:2" x14ac:dyDescent="0.3">
      <c r="A13" t="s">
        <v>18</v>
      </c>
      <c r="B13" t="s">
        <v>31</v>
      </c>
    </row>
    <row r="14" spans="1:2" x14ac:dyDescent="0.3">
      <c r="A14" t="s">
        <v>26</v>
      </c>
      <c r="B14" t="s">
        <v>33</v>
      </c>
    </row>
    <row r="15" spans="1:2" x14ac:dyDescent="0.3">
      <c r="A15" t="s">
        <v>22</v>
      </c>
      <c r="B15" t="s">
        <v>17</v>
      </c>
    </row>
    <row r="16" spans="1:2" x14ac:dyDescent="0.3">
      <c r="A16" t="s">
        <v>18</v>
      </c>
      <c r="B16" t="s">
        <v>31</v>
      </c>
    </row>
    <row r="17" spans="1:2" x14ac:dyDescent="0.3">
      <c r="A17" t="s">
        <v>37</v>
      </c>
      <c r="B17" t="s">
        <v>23</v>
      </c>
    </row>
    <row r="18" spans="1:2" x14ac:dyDescent="0.3">
      <c r="A18" t="s">
        <v>18</v>
      </c>
      <c r="B18" t="s">
        <v>17</v>
      </c>
    </row>
    <row r="19" spans="1:2" x14ac:dyDescent="0.3">
      <c r="A19" t="s">
        <v>26</v>
      </c>
      <c r="B19" t="s">
        <v>23</v>
      </c>
    </row>
    <row r="20" spans="1:2" x14ac:dyDescent="0.3">
      <c r="A20" t="s">
        <v>18</v>
      </c>
      <c r="B20" t="s">
        <v>30</v>
      </c>
    </row>
    <row r="21" spans="1:2" x14ac:dyDescent="0.3">
      <c r="A21" t="s">
        <v>22</v>
      </c>
      <c r="B21" t="s">
        <v>17</v>
      </c>
    </row>
    <row r="22" spans="1:2" x14ac:dyDescent="0.3">
      <c r="A22" t="s">
        <v>22</v>
      </c>
      <c r="B22" t="s">
        <v>30</v>
      </c>
    </row>
    <row r="23" spans="1:2" x14ac:dyDescent="0.3">
      <c r="A23" t="s">
        <v>26</v>
      </c>
      <c r="B23" t="s">
        <v>17</v>
      </c>
    </row>
    <row r="24" spans="1:2" x14ac:dyDescent="0.3">
      <c r="A24" t="s">
        <v>24</v>
      </c>
      <c r="B24" t="s">
        <v>23</v>
      </c>
    </row>
    <row r="25" spans="1:2" x14ac:dyDescent="0.3">
      <c r="A25" t="s">
        <v>26</v>
      </c>
      <c r="B25" t="s">
        <v>33</v>
      </c>
    </row>
    <row r="26" spans="1:2" x14ac:dyDescent="0.3">
      <c r="A26" t="s">
        <v>26</v>
      </c>
      <c r="B26" t="s">
        <v>23</v>
      </c>
    </row>
    <row r="27" spans="1:2" x14ac:dyDescent="0.3">
      <c r="A27" t="s">
        <v>37</v>
      </c>
      <c r="B27" t="s">
        <v>17</v>
      </c>
    </row>
    <row r="28" spans="1:2" x14ac:dyDescent="0.3">
      <c r="A28" t="s">
        <v>18</v>
      </c>
      <c r="B28" t="s">
        <v>17</v>
      </c>
    </row>
    <row r="29" spans="1:2" x14ac:dyDescent="0.3">
      <c r="A29" t="s">
        <v>37</v>
      </c>
      <c r="B29" t="s">
        <v>30</v>
      </c>
    </row>
    <row r="30" spans="1:2" x14ac:dyDescent="0.3">
      <c r="A30" t="s">
        <v>18</v>
      </c>
      <c r="B30" t="s">
        <v>23</v>
      </c>
    </row>
    <row r="31" spans="1:2" x14ac:dyDescent="0.3">
      <c r="A31" t="s">
        <v>18</v>
      </c>
      <c r="B31" t="s">
        <v>17</v>
      </c>
    </row>
    <row r="32" spans="1:2" x14ac:dyDescent="0.3">
      <c r="A32" t="s">
        <v>22</v>
      </c>
      <c r="B32" t="s">
        <v>17</v>
      </c>
    </row>
    <row r="33" spans="1:2" x14ac:dyDescent="0.3">
      <c r="A33" t="s">
        <v>26</v>
      </c>
      <c r="B33" t="s">
        <v>17</v>
      </c>
    </row>
    <row r="34" spans="1:2" x14ac:dyDescent="0.3">
      <c r="A34" t="s">
        <v>24</v>
      </c>
      <c r="B34" t="s">
        <v>31</v>
      </c>
    </row>
    <row r="35" spans="1:2" x14ac:dyDescent="0.3">
      <c r="A35" t="s">
        <v>22</v>
      </c>
      <c r="B35" t="s">
        <v>30</v>
      </c>
    </row>
    <row r="36" spans="1:2" x14ac:dyDescent="0.3">
      <c r="A36" t="s">
        <v>22</v>
      </c>
      <c r="B36" t="s">
        <v>17</v>
      </c>
    </row>
    <row r="37" spans="1:2" x14ac:dyDescent="0.3">
      <c r="A37" t="s">
        <v>22</v>
      </c>
      <c r="B37" t="s">
        <v>30</v>
      </c>
    </row>
    <row r="38" spans="1:2" x14ac:dyDescent="0.3">
      <c r="A38" t="s">
        <v>37</v>
      </c>
      <c r="B38" t="s">
        <v>31</v>
      </c>
    </row>
    <row r="39" spans="1:2" x14ac:dyDescent="0.3">
      <c r="A39" t="s">
        <v>18</v>
      </c>
      <c r="B39" t="s">
        <v>31</v>
      </c>
    </row>
    <row r="40" spans="1:2" x14ac:dyDescent="0.3">
      <c r="A40" t="s">
        <v>18</v>
      </c>
      <c r="B40" t="s">
        <v>33</v>
      </c>
    </row>
    <row r="41" spans="1:2" x14ac:dyDescent="0.3">
      <c r="A41" t="s">
        <v>22</v>
      </c>
      <c r="B41" t="s">
        <v>30</v>
      </c>
    </row>
    <row r="42" spans="1:2" x14ac:dyDescent="0.3">
      <c r="A42" t="s">
        <v>24</v>
      </c>
      <c r="B42" t="s">
        <v>23</v>
      </c>
    </row>
    <row r="43" spans="1:2" x14ac:dyDescent="0.3">
      <c r="A43" t="s">
        <v>22</v>
      </c>
      <c r="B43" t="s">
        <v>23</v>
      </c>
    </row>
    <row r="44" spans="1:2" x14ac:dyDescent="0.3">
      <c r="A44" t="s">
        <v>24</v>
      </c>
      <c r="B44" t="s">
        <v>17</v>
      </c>
    </row>
    <row r="45" spans="1:2" x14ac:dyDescent="0.3">
      <c r="A45" t="s">
        <v>24</v>
      </c>
      <c r="B45" t="s">
        <v>33</v>
      </c>
    </row>
    <row r="46" spans="1:2" x14ac:dyDescent="0.3">
      <c r="A46" t="s">
        <v>18</v>
      </c>
      <c r="B46" t="s">
        <v>17</v>
      </c>
    </row>
    <row r="47" spans="1:2" x14ac:dyDescent="0.3">
      <c r="A47" t="s">
        <v>24</v>
      </c>
      <c r="B47" t="s">
        <v>17</v>
      </c>
    </row>
    <row r="48" spans="1:2" x14ac:dyDescent="0.3">
      <c r="A48" t="s">
        <v>37</v>
      </c>
      <c r="B48" t="s">
        <v>30</v>
      </c>
    </row>
    <row r="49" spans="1:2" x14ac:dyDescent="0.3">
      <c r="A49" t="s">
        <v>22</v>
      </c>
      <c r="B49" t="s">
        <v>31</v>
      </c>
    </row>
    <row r="50" spans="1:2" x14ac:dyDescent="0.3">
      <c r="A50" t="s">
        <v>24</v>
      </c>
      <c r="B50" t="s">
        <v>17</v>
      </c>
    </row>
    <row r="51" spans="1:2" x14ac:dyDescent="0.3">
      <c r="A51" t="s">
        <v>22</v>
      </c>
      <c r="B51" t="s">
        <v>17</v>
      </c>
    </row>
    <row r="52" spans="1:2" x14ac:dyDescent="0.3">
      <c r="A52" t="s">
        <v>37</v>
      </c>
      <c r="B52" t="s">
        <v>30</v>
      </c>
    </row>
    <row r="53" spans="1:2" x14ac:dyDescent="0.3">
      <c r="A53" t="s">
        <v>37</v>
      </c>
      <c r="B53" t="s">
        <v>17</v>
      </c>
    </row>
    <row r="54" spans="1:2" x14ac:dyDescent="0.3">
      <c r="A54" t="s">
        <v>37</v>
      </c>
      <c r="B54" t="s">
        <v>23</v>
      </c>
    </row>
    <row r="55" spans="1:2" x14ac:dyDescent="0.3">
      <c r="A55" t="s">
        <v>24</v>
      </c>
      <c r="B55" t="s">
        <v>17</v>
      </c>
    </row>
    <row r="56" spans="1:2" x14ac:dyDescent="0.3">
      <c r="A56" t="s">
        <v>24</v>
      </c>
      <c r="B56" t="s">
        <v>23</v>
      </c>
    </row>
    <row r="57" spans="1:2" x14ac:dyDescent="0.3">
      <c r="A57" t="s">
        <v>24</v>
      </c>
      <c r="B57" t="s">
        <v>17</v>
      </c>
    </row>
    <row r="58" spans="1:2" x14ac:dyDescent="0.3">
      <c r="A58" t="s">
        <v>24</v>
      </c>
      <c r="B58" t="s">
        <v>17</v>
      </c>
    </row>
    <row r="59" spans="1:2" x14ac:dyDescent="0.3">
      <c r="A59" t="s">
        <v>18</v>
      </c>
      <c r="B59" t="s">
        <v>17</v>
      </c>
    </row>
    <row r="60" spans="1:2" x14ac:dyDescent="0.3">
      <c r="A60" t="s">
        <v>37</v>
      </c>
      <c r="B60" t="s">
        <v>30</v>
      </c>
    </row>
    <row r="61" spans="1:2" x14ac:dyDescent="0.3">
      <c r="A61" t="s">
        <v>26</v>
      </c>
      <c r="B61" t="s">
        <v>17</v>
      </c>
    </row>
    <row r="62" spans="1:2" x14ac:dyDescent="0.3">
      <c r="A62" t="s">
        <v>37</v>
      </c>
      <c r="B62" t="s">
        <v>17</v>
      </c>
    </row>
    <row r="63" spans="1:2" x14ac:dyDescent="0.3">
      <c r="A63" t="s">
        <v>18</v>
      </c>
      <c r="B63" t="s">
        <v>30</v>
      </c>
    </row>
    <row r="64" spans="1:2" x14ac:dyDescent="0.3">
      <c r="A64" t="s">
        <v>37</v>
      </c>
      <c r="B64" t="s">
        <v>31</v>
      </c>
    </row>
    <row r="65" spans="1:2" x14ac:dyDescent="0.3">
      <c r="A65" t="s">
        <v>24</v>
      </c>
      <c r="B65" t="s">
        <v>30</v>
      </c>
    </row>
    <row r="66" spans="1:2" x14ac:dyDescent="0.3">
      <c r="A66" t="s">
        <v>22</v>
      </c>
      <c r="B66" t="s">
        <v>30</v>
      </c>
    </row>
    <row r="67" spans="1:2" x14ac:dyDescent="0.3">
      <c r="A67" t="s">
        <v>26</v>
      </c>
      <c r="B67" t="s">
        <v>33</v>
      </c>
    </row>
    <row r="68" spans="1:2" x14ac:dyDescent="0.3">
      <c r="A68" t="s">
        <v>26</v>
      </c>
      <c r="B68" t="s">
        <v>17</v>
      </c>
    </row>
    <row r="69" spans="1:2" x14ac:dyDescent="0.3">
      <c r="A69" t="s">
        <v>24</v>
      </c>
      <c r="B69" t="s">
        <v>17</v>
      </c>
    </row>
    <row r="70" spans="1:2" x14ac:dyDescent="0.3">
      <c r="A70" t="s">
        <v>26</v>
      </c>
      <c r="B70" t="s">
        <v>23</v>
      </c>
    </row>
    <row r="71" spans="1:2" x14ac:dyDescent="0.3">
      <c r="A71" t="s">
        <v>37</v>
      </c>
      <c r="B71" t="s">
        <v>33</v>
      </c>
    </row>
    <row r="72" spans="1:2" x14ac:dyDescent="0.3">
      <c r="A72" t="s">
        <v>24</v>
      </c>
      <c r="B72" t="s">
        <v>17</v>
      </c>
    </row>
    <row r="73" spans="1:2" x14ac:dyDescent="0.3">
      <c r="A73" t="s">
        <v>18</v>
      </c>
      <c r="B73" t="s">
        <v>17</v>
      </c>
    </row>
    <row r="74" spans="1:2" x14ac:dyDescent="0.3">
      <c r="A74" t="s">
        <v>37</v>
      </c>
      <c r="B74" t="s">
        <v>33</v>
      </c>
    </row>
    <row r="75" spans="1:2" x14ac:dyDescent="0.3">
      <c r="A75" t="s">
        <v>37</v>
      </c>
      <c r="B75" t="s">
        <v>31</v>
      </c>
    </row>
    <row r="76" spans="1:2" x14ac:dyDescent="0.3">
      <c r="A76" t="s">
        <v>37</v>
      </c>
      <c r="B76" t="s">
        <v>23</v>
      </c>
    </row>
    <row r="77" spans="1:2" x14ac:dyDescent="0.3">
      <c r="A77" t="s">
        <v>37</v>
      </c>
      <c r="B77" t="s">
        <v>17</v>
      </c>
    </row>
    <row r="78" spans="1:2" x14ac:dyDescent="0.3">
      <c r="A78" t="s">
        <v>37</v>
      </c>
      <c r="B78" t="s">
        <v>31</v>
      </c>
    </row>
    <row r="79" spans="1:2" x14ac:dyDescent="0.3">
      <c r="A79" t="s">
        <v>24</v>
      </c>
      <c r="B79" t="s">
        <v>31</v>
      </c>
    </row>
    <row r="80" spans="1:2" x14ac:dyDescent="0.3">
      <c r="A80" t="s">
        <v>26</v>
      </c>
      <c r="B80" t="s">
        <v>31</v>
      </c>
    </row>
    <row r="81" spans="1:2" x14ac:dyDescent="0.3">
      <c r="A81" t="s">
        <v>22</v>
      </c>
      <c r="B81" t="s">
        <v>23</v>
      </c>
    </row>
    <row r="82" spans="1:2" x14ac:dyDescent="0.3">
      <c r="A82" t="s">
        <v>22</v>
      </c>
      <c r="B82" t="s">
        <v>30</v>
      </c>
    </row>
    <row r="83" spans="1:2" x14ac:dyDescent="0.3">
      <c r="A83" t="s">
        <v>37</v>
      </c>
      <c r="B83" t="s">
        <v>33</v>
      </c>
    </row>
    <row r="84" spans="1:2" x14ac:dyDescent="0.3">
      <c r="A84" t="s">
        <v>24</v>
      </c>
      <c r="B84" t="s">
        <v>17</v>
      </c>
    </row>
    <row r="85" spans="1:2" x14ac:dyDescent="0.3">
      <c r="A85" t="s">
        <v>24</v>
      </c>
      <c r="B85" t="s">
        <v>17</v>
      </c>
    </row>
    <row r="86" spans="1:2" x14ac:dyDescent="0.3">
      <c r="A86" t="s">
        <v>26</v>
      </c>
      <c r="B86" t="s">
        <v>17</v>
      </c>
    </row>
    <row r="87" spans="1:2" x14ac:dyDescent="0.3">
      <c r="A87" t="s">
        <v>18</v>
      </c>
      <c r="B87" t="s">
        <v>31</v>
      </c>
    </row>
    <row r="88" spans="1:2" x14ac:dyDescent="0.3">
      <c r="A88" t="s">
        <v>37</v>
      </c>
      <c r="B88" t="s">
        <v>31</v>
      </c>
    </row>
    <row r="89" spans="1:2" x14ac:dyDescent="0.3">
      <c r="A89" t="s">
        <v>18</v>
      </c>
      <c r="B89" t="s">
        <v>17</v>
      </c>
    </row>
    <row r="90" spans="1:2" x14ac:dyDescent="0.3">
      <c r="A90" t="s">
        <v>22</v>
      </c>
      <c r="B90" t="s">
        <v>17</v>
      </c>
    </row>
    <row r="91" spans="1:2" x14ac:dyDescent="0.3">
      <c r="A91" t="s">
        <v>18</v>
      </c>
      <c r="B91" t="s">
        <v>17</v>
      </c>
    </row>
    <row r="92" spans="1:2" x14ac:dyDescent="0.3">
      <c r="A92" t="s">
        <v>37</v>
      </c>
      <c r="B92" t="s">
        <v>31</v>
      </c>
    </row>
    <row r="93" spans="1:2" x14ac:dyDescent="0.3">
      <c r="A93" t="s">
        <v>24</v>
      </c>
      <c r="B93" t="s">
        <v>31</v>
      </c>
    </row>
    <row r="94" spans="1:2" x14ac:dyDescent="0.3">
      <c r="A94" t="s">
        <v>22</v>
      </c>
      <c r="B94" t="s">
        <v>33</v>
      </c>
    </row>
    <row r="95" spans="1:2" x14ac:dyDescent="0.3">
      <c r="A95" t="s">
        <v>26</v>
      </c>
      <c r="B95" t="s">
        <v>33</v>
      </c>
    </row>
    <row r="96" spans="1:2" x14ac:dyDescent="0.3">
      <c r="A96" t="s">
        <v>26</v>
      </c>
      <c r="B96" t="s">
        <v>17</v>
      </c>
    </row>
    <row r="97" spans="1:2" x14ac:dyDescent="0.3">
      <c r="A97" t="s">
        <v>24</v>
      </c>
      <c r="B97" t="s">
        <v>31</v>
      </c>
    </row>
    <row r="98" spans="1:2" x14ac:dyDescent="0.3">
      <c r="A98" t="s">
        <v>37</v>
      </c>
      <c r="B98" t="s">
        <v>30</v>
      </c>
    </row>
    <row r="99" spans="1:2" x14ac:dyDescent="0.3">
      <c r="A99" t="s">
        <v>24</v>
      </c>
      <c r="B99" t="s">
        <v>23</v>
      </c>
    </row>
    <row r="100" spans="1:2" x14ac:dyDescent="0.3">
      <c r="A100" t="s">
        <v>18</v>
      </c>
      <c r="B100" t="s">
        <v>31</v>
      </c>
    </row>
    <row r="101" spans="1:2" x14ac:dyDescent="0.3">
      <c r="A101" t="s">
        <v>18</v>
      </c>
      <c r="B101" t="s">
        <v>30</v>
      </c>
    </row>
    <row r="102" spans="1:2" x14ac:dyDescent="0.3">
      <c r="A102" t="s">
        <v>22</v>
      </c>
      <c r="B102" t="s">
        <v>33</v>
      </c>
    </row>
    <row r="103" spans="1:2" x14ac:dyDescent="0.3">
      <c r="A103" t="s">
        <v>24</v>
      </c>
      <c r="B103" t="s">
        <v>17</v>
      </c>
    </row>
    <row r="104" spans="1:2" x14ac:dyDescent="0.3">
      <c r="A104" t="s">
        <v>18</v>
      </c>
      <c r="B104" t="s">
        <v>17</v>
      </c>
    </row>
    <row r="105" spans="1:2" x14ac:dyDescent="0.3">
      <c r="A105" t="s">
        <v>37</v>
      </c>
      <c r="B105" t="s">
        <v>30</v>
      </c>
    </row>
    <row r="106" spans="1:2" x14ac:dyDescent="0.3">
      <c r="A106" t="s">
        <v>37</v>
      </c>
      <c r="B106" t="s">
        <v>17</v>
      </c>
    </row>
    <row r="107" spans="1:2" x14ac:dyDescent="0.3">
      <c r="A107" t="s">
        <v>26</v>
      </c>
      <c r="B107" t="s">
        <v>30</v>
      </c>
    </row>
    <row r="108" spans="1:2" x14ac:dyDescent="0.3">
      <c r="A108" t="s">
        <v>26</v>
      </c>
      <c r="B108" t="s">
        <v>31</v>
      </c>
    </row>
    <row r="109" spans="1:2" x14ac:dyDescent="0.3">
      <c r="A109" t="s">
        <v>18</v>
      </c>
      <c r="B109" t="s">
        <v>23</v>
      </c>
    </row>
    <row r="110" spans="1:2" x14ac:dyDescent="0.3">
      <c r="A110" t="s">
        <v>24</v>
      </c>
      <c r="B110" t="s">
        <v>33</v>
      </c>
    </row>
    <row r="111" spans="1:2" x14ac:dyDescent="0.3">
      <c r="A111" t="s">
        <v>22</v>
      </c>
      <c r="B111" t="s">
        <v>33</v>
      </c>
    </row>
    <row r="112" spans="1:2" x14ac:dyDescent="0.3">
      <c r="A112" t="s">
        <v>37</v>
      </c>
      <c r="B112" t="s">
        <v>30</v>
      </c>
    </row>
    <row r="113" spans="1:2" x14ac:dyDescent="0.3">
      <c r="A113" t="s">
        <v>26</v>
      </c>
      <c r="B113" t="s">
        <v>31</v>
      </c>
    </row>
    <row r="114" spans="1:2" x14ac:dyDescent="0.3">
      <c r="A114" t="s">
        <v>18</v>
      </c>
      <c r="B114" t="s">
        <v>30</v>
      </c>
    </row>
    <row r="115" spans="1:2" x14ac:dyDescent="0.3">
      <c r="A115" t="s">
        <v>22</v>
      </c>
      <c r="B115" t="s">
        <v>31</v>
      </c>
    </row>
    <row r="116" spans="1:2" x14ac:dyDescent="0.3">
      <c r="A116" t="s">
        <v>26</v>
      </c>
      <c r="B116" t="s">
        <v>31</v>
      </c>
    </row>
    <row r="117" spans="1:2" x14ac:dyDescent="0.3">
      <c r="A117" t="s">
        <v>24</v>
      </c>
      <c r="B117" t="s">
        <v>30</v>
      </c>
    </row>
    <row r="118" spans="1:2" x14ac:dyDescent="0.3">
      <c r="A118" t="s">
        <v>18</v>
      </c>
      <c r="B118" t="s">
        <v>33</v>
      </c>
    </row>
    <row r="119" spans="1:2" x14ac:dyDescent="0.3">
      <c r="A119" t="s">
        <v>18</v>
      </c>
      <c r="B119" t="s">
        <v>17</v>
      </c>
    </row>
    <row r="120" spans="1:2" x14ac:dyDescent="0.3">
      <c r="A120" t="s">
        <v>18</v>
      </c>
      <c r="B120" t="s">
        <v>31</v>
      </c>
    </row>
    <row r="121" spans="1:2" x14ac:dyDescent="0.3">
      <c r="A121" t="s">
        <v>37</v>
      </c>
      <c r="B121" t="s">
        <v>23</v>
      </c>
    </row>
    <row r="122" spans="1:2" x14ac:dyDescent="0.3">
      <c r="A122" t="s">
        <v>37</v>
      </c>
      <c r="B122" t="s">
        <v>17</v>
      </c>
    </row>
    <row r="123" spans="1:2" x14ac:dyDescent="0.3">
      <c r="A123" t="s">
        <v>24</v>
      </c>
      <c r="B123" t="s">
        <v>30</v>
      </c>
    </row>
    <row r="124" spans="1:2" x14ac:dyDescent="0.3">
      <c r="A124" t="s">
        <v>26</v>
      </c>
      <c r="B124" t="s">
        <v>30</v>
      </c>
    </row>
    <row r="125" spans="1:2" x14ac:dyDescent="0.3">
      <c r="A125" t="s">
        <v>37</v>
      </c>
      <c r="B125" t="s">
        <v>17</v>
      </c>
    </row>
    <row r="126" spans="1:2" x14ac:dyDescent="0.3">
      <c r="A126" t="s">
        <v>22</v>
      </c>
      <c r="B126" t="s">
        <v>17</v>
      </c>
    </row>
    <row r="127" spans="1:2" x14ac:dyDescent="0.3">
      <c r="A127" t="s">
        <v>22</v>
      </c>
      <c r="B127" t="s">
        <v>17</v>
      </c>
    </row>
    <row r="128" spans="1:2" x14ac:dyDescent="0.3">
      <c r="A128" t="s">
        <v>22</v>
      </c>
      <c r="B128" t="s">
        <v>31</v>
      </c>
    </row>
    <row r="129" spans="1:2" x14ac:dyDescent="0.3">
      <c r="A129" t="s">
        <v>26</v>
      </c>
      <c r="B129" t="s">
        <v>31</v>
      </c>
    </row>
    <row r="130" spans="1:2" x14ac:dyDescent="0.3">
      <c r="A130" t="s">
        <v>24</v>
      </c>
      <c r="B130" t="s">
        <v>30</v>
      </c>
    </row>
    <row r="131" spans="1:2" x14ac:dyDescent="0.3">
      <c r="A131" t="s">
        <v>26</v>
      </c>
      <c r="B131" t="s">
        <v>17</v>
      </c>
    </row>
    <row r="132" spans="1:2" x14ac:dyDescent="0.3">
      <c r="A132" t="s">
        <v>26</v>
      </c>
      <c r="B132" t="s">
        <v>30</v>
      </c>
    </row>
    <row r="133" spans="1:2" x14ac:dyDescent="0.3">
      <c r="A133" t="s">
        <v>26</v>
      </c>
      <c r="B133" t="s">
        <v>31</v>
      </c>
    </row>
    <row r="134" spans="1:2" x14ac:dyDescent="0.3">
      <c r="A134" t="s">
        <v>22</v>
      </c>
      <c r="B134" t="s">
        <v>33</v>
      </c>
    </row>
    <row r="135" spans="1:2" x14ac:dyDescent="0.3">
      <c r="A135" t="s">
        <v>22</v>
      </c>
      <c r="B135" t="s">
        <v>17</v>
      </c>
    </row>
    <row r="136" spans="1:2" x14ac:dyDescent="0.3">
      <c r="A136" t="s">
        <v>18</v>
      </c>
      <c r="B136" t="s">
        <v>31</v>
      </c>
    </row>
    <row r="137" spans="1:2" x14ac:dyDescent="0.3">
      <c r="A137" t="s">
        <v>37</v>
      </c>
      <c r="B137" t="s">
        <v>17</v>
      </c>
    </row>
    <row r="138" spans="1:2" x14ac:dyDescent="0.3">
      <c r="A138" t="s">
        <v>26</v>
      </c>
      <c r="B138" t="s">
        <v>17</v>
      </c>
    </row>
    <row r="139" spans="1:2" x14ac:dyDescent="0.3">
      <c r="A139" t="s">
        <v>22</v>
      </c>
      <c r="B139" t="s">
        <v>33</v>
      </c>
    </row>
    <row r="140" spans="1:2" x14ac:dyDescent="0.3">
      <c r="A140" t="s">
        <v>26</v>
      </c>
      <c r="B140" t="s">
        <v>33</v>
      </c>
    </row>
    <row r="141" spans="1:2" x14ac:dyDescent="0.3">
      <c r="A141" t="s">
        <v>22</v>
      </c>
      <c r="B141" t="s">
        <v>31</v>
      </c>
    </row>
    <row r="142" spans="1:2" x14ac:dyDescent="0.3">
      <c r="A142" t="s">
        <v>22</v>
      </c>
      <c r="B142" t="s">
        <v>17</v>
      </c>
    </row>
    <row r="143" spans="1:2" x14ac:dyDescent="0.3">
      <c r="A143" t="s">
        <v>37</v>
      </c>
      <c r="B143" t="s">
        <v>17</v>
      </c>
    </row>
    <row r="144" spans="1:2" x14ac:dyDescent="0.3">
      <c r="A144" t="s">
        <v>24</v>
      </c>
      <c r="B144" t="s">
        <v>17</v>
      </c>
    </row>
    <row r="145" spans="1:2" x14ac:dyDescent="0.3">
      <c r="A145" t="s">
        <v>18</v>
      </c>
      <c r="B145" t="s">
        <v>33</v>
      </c>
    </row>
    <row r="146" spans="1:2" x14ac:dyDescent="0.3">
      <c r="A146" t="s">
        <v>24</v>
      </c>
      <c r="B146" t="s">
        <v>31</v>
      </c>
    </row>
    <row r="147" spans="1:2" x14ac:dyDescent="0.3">
      <c r="A147" t="s">
        <v>22</v>
      </c>
      <c r="B147" t="s">
        <v>17</v>
      </c>
    </row>
    <row r="148" spans="1:2" x14ac:dyDescent="0.3">
      <c r="A148" t="s">
        <v>22</v>
      </c>
      <c r="B148" t="s">
        <v>33</v>
      </c>
    </row>
    <row r="149" spans="1:2" x14ac:dyDescent="0.3">
      <c r="A149" t="s">
        <v>37</v>
      </c>
      <c r="B149" t="s">
        <v>30</v>
      </c>
    </row>
    <row r="150" spans="1:2" x14ac:dyDescent="0.3">
      <c r="A150" t="s">
        <v>18</v>
      </c>
      <c r="B150" t="s">
        <v>30</v>
      </c>
    </row>
    <row r="151" spans="1:2" x14ac:dyDescent="0.3">
      <c r="A151" t="s">
        <v>22</v>
      </c>
      <c r="B151" t="s">
        <v>17</v>
      </c>
    </row>
    <row r="152" spans="1:2" x14ac:dyDescent="0.3">
      <c r="A152" t="s">
        <v>24</v>
      </c>
      <c r="B152" t="s">
        <v>30</v>
      </c>
    </row>
    <row r="153" spans="1:2" x14ac:dyDescent="0.3">
      <c r="A153" t="s">
        <v>24</v>
      </c>
      <c r="B153" t="s">
        <v>17</v>
      </c>
    </row>
    <row r="154" spans="1:2" x14ac:dyDescent="0.3">
      <c r="A154" t="s">
        <v>22</v>
      </c>
      <c r="B154" t="s">
        <v>17</v>
      </c>
    </row>
    <row r="155" spans="1:2" x14ac:dyDescent="0.3">
      <c r="A155" t="s">
        <v>24</v>
      </c>
      <c r="B155" t="s">
        <v>31</v>
      </c>
    </row>
    <row r="156" spans="1:2" x14ac:dyDescent="0.3">
      <c r="A156" t="s">
        <v>22</v>
      </c>
      <c r="B156" t="s">
        <v>31</v>
      </c>
    </row>
    <row r="157" spans="1:2" x14ac:dyDescent="0.3">
      <c r="A157" t="s">
        <v>24</v>
      </c>
      <c r="B157" t="s">
        <v>33</v>
      </c>
    </row>
    <row r="158" spans="1:2" x14ac:dyDescent="0.3">
      <c r="A158" t="s">
        <v>18</v>
      </c>
      <c r="B158" t="s">
        <v>31</v>
      </c>
    </row>
    <row r="159" spans="1:2" x14ac:dyDescent="0.3">
      <c r="A159" t="s">
        <v>24</v>
      </c>
      <c r="B159" t="s">
        <v>30</v>
      </c>
    </row>
    <row r="160" spans="1:2" x14ac:dyDescent="0.3">
      <c r="A160" t="s">
        <v>22</v>
      </c>
      <c r="B160" t="s">
        <v>33</v>
      </c>
    </row>
    <row r="161" spans="1:2" x14ac:dyDescent="0.3">
      <c r="A161" t="s">
        <v>22</v>
      </c>
      <c r="B161" t="s">
        <v>31</v>
      </c>
    </row>
    <row r="162" spans="1:2" x14ac:dyDescent="0.3">
      <c r="A162" t="s">
        <v>37</v>
      </c>
      <c r="B162" t="s">
        <v>30</v>
      </c>
    </row>
    <row r="163" spans="1:2" x14ac:dyDescent="0.3">
      <c r="A163" t="s">
        <v>18</v>
      </c>
      <c r="B163" t="s">
        <v>31</v>
      </c>
    </row>
    <row r="164" spans="1:2" x14ac:dyDescent="0.3">
      <c r="A164" t="s">
        <v>22</v>
      </c>
      <c r="B164" t="s">
        <v>23</v>
      </c>
    </row>
    <row r="165" spans="1:2" x14ac:dyDescent="0.3">
      <c r="A165" t="s">
        <v>24</v>
      </c>
      <c r="B165" t="s">
        <v>31</v>
      </c>
    </row>
    <row r="166" spans="1:2" x14ac:dyDescent="0.3">
      <c r="A166" t="s">
        <v>22</v>
      </c>
      <c r="B166" t="s">
        <v>31</v>
      </c>
    </row>
    <row r="167" spans="1:2" x14ac:dyDescent="0.3">
      <c r="A167" t="s">
        <v>18</v>
      </c>
      <c r="B167" t="s">
        <v>31</v>
      </c>
    </row>
    <row r="168" spans="1:2" x14ac:dyDescent="0.3">
      <c r="A168" t="s">
        <v>37</v>
      </c>
      <c r="B168" t="s">
        <v>33</v>
      </c>
    </row>
    <row r="169" spans="1:2" x14ac:dyDescent="0.3">
      <c r="A169" t="s">
        <v>26</v>
      </c>
      <c r="B169" t="s">
        <v>30</v>
      </c>
    </row>
    <row r="170" spans="1:2" x14ac:dyDescent="0.3">
      <c r="A170" t="s">
        <v>22</v>
      </c>
      <c r="B170" t="s">
        <v>31</v>
      </c>
    </row>
    <row r="171" spans="1:2" x14ac:dyDescent="0.3">
      <c r="A171" t="s">
        <v>18</v>
      </c>
      <c r="B171" t="s">
        <v>33</v>
      </c>
    </row>
    <row r="172" spans="1:2" x14ac:dyDescent="0.3">
      <c r="A172" t="s">
        <v>26</v>
      </c>
      <c r="B172" t="s">
        <v>17</v>
      </c>
    </row>
    <row r="173" spans="1:2" x14ac:dyDescent="0.3">
      <c r="A173" t="s">
        <v>22</v>
      </c>
      <c r="B173" t="s">
        <v>23</v>
      </c>
    </row>
    <row r="174" spans="1:2" x14ac:dyDescent="0.3">
      <c r="A174" t="s">
        <v>18</v>
      </c>
      <c r="B174" t="s">
        <v>17</v>
      </c>
    </row>
    <row r="175" spans="1:2" x14ac:dyDescent="0.3">
      <c r="A175" t="s">
        <v>26</v>
      </c>
      <c r="B175" t="s">
        <v>17</v>
      </c>
    </row>
    <row r="176" spans="1:2" x14ac:dyDescent="0.3">
      <c r="A176" t="s">
        <v>18</v>
      </c>
      <c r="B176" t="s">
        <v>17</v>
      </c>
    </row>
    <row r="177" spans="1:2" x14ac:dyDescent="0.3">
      <c r="A177" t="s">
        <v>22</v>
      </c>
      <c r="B177" t="s">
        <v>30</v>
      </c>
    </row>
    <row r="178" spans="1:2" x14ac:dyDescent="0.3">
      <c r="A178" t="s">
        <v>26</v>
      </c>
      <c r="B178" t="s">
        <v>23</v>
      </c>
    </row>
    <row r="179" spans="1:2" x14ac:dyDescent="0.3">
      <c r="A179" t="s">
        <v>26</v>
      </c>
      <c r="B179" t="s">
        <v>23</v>
      </c>
    </row>
    <row r="180" spans="1:2" x14ac:dyDescent="0.3">
      <c r="A180" t="s">
        <v>24</v>
      </c>
      <c r="B180" t="s">
        <v>23</v>
      </c>
    </row>
    <row r="181" spans="1:2" x14ac:dyDescent="0.3">
      <c r="A181" t="s">
        <v>37</v>
      </c>
      <c r="B181" t="s">
        <v>17</v>
      </c>
    </row>
    <row r="182" spans="1:2" x14ac:dyDescent="0.3">
      <c r="A182" t="s">
        <v>18</v>
      </c>
      <c r="B182" t="s">
        <v>17</v>
      </c>
    </row>
    <row r="183" spans="1:2" x14ac:dyDescent="0.3">
      <c r="A183" t="s">
        <v>22</v>
      </c>
      <c r="B183" t="s">
        <v>33</v>
      </c>
    </row>
    <row r="184" spans="1:2" x14ac:dyDescent="0.3">
      <c r="A184" t="s">
        <v>37</v>
      </c>
      <c r="B184" t="s">
        <v>17</v>
      </c>
    </row>
    <row r="185" spans="1:2" x14ac:dyDescent="0.3">
      <c r="A185" t="s">
        <v>18</v>
      </c>
      <c r="B185" t="s">
        <v>23</v>
      </c>
    </row>
    <row r="186" spans="1:2" x14ac:dyDescent="0.3">
      <c r="A186" t="s">
        <v>22</v>
      </c>
      <c r="B186" t="s">
        <v>33</v>
      </c>
    </row>
    <row r="187" spans="1:2" x14ac:dyDescent="0.3">
      <c r="A187" t="s">
        <v>18</v>
      </c>
      <c r="B187" t="s">
        <v>17</v>
      </c>
    </row>
    <row r="188" spans="1:2" x14ac:dyDescent="0.3">
      <c r="A188" t="s">
        <v>22</v>
      </c>
      <c r="B188" t="s">
        <v>33</v>
      </c>
    </row>
    <row r="189" spans="1:2" x14ac:dyDescent="0.3">
      <c r="A189" t="s">
        <v>26</v>
      </c>
      <c r="B189" t="s">
        <v>31</v>
      </c>
    </row>
    <row r="190" spans="1:2" x14ac:dyDescent="0.3">
      <c r="A190" t="s">
        <v>18</v>
      </c>
      <c r="B190" t="s">
        <v>17</v>
      </c>
    </row>
    <row r="191" spans="1:2" x14ac:dyDescent="0.3">
      <c r="A191" t="s">
        <v>22</v>
      </c>
      <c r="B191" t="s">
        <v>31</v>
      </c>
    </row>
    <row r="192" spans="1:2" x14ac:dyDescent="0.3">
      <c r="A192" t="s">
        <v>22</v>
      </c>
      <c r="B192" t="s">
        <v>33</v>
      </c>
    </row>
    <row r="193" spans="1:2" x14ac:dyDescent="0.3">
      <c r="A193" t="s">
        <v>37</v>
      </c>
      <c r="B193" t="s">
        <v>33</v>
      </c>
    </row>
    <row r="194" spans="1:2" x14ac:dyDescent="0.3">
      <c r="A194" t="s">
        <v>37</v>
      </c>
      <c r="B194" t="s">
        <v>17</v>
      </c>
    </row>
    <row r="195" spans="1:2" x14ac:dyDescent="0.3">
      <c r="A195" t="s">
        <v>24</v>
      </c>
      <c r="B195" t="s">
        <v>31</v>
      </c>
    </row>
    <row r="196" spans="1:2" x14ac:dyDescent="0.3">
      <c r="A196" t="s">
        <v>18</v>
      </c>
      <c r="B196" t="s">
        <v>23</v>
      </c>
    </row>
    <row r="197" spans="1:2" x14ac:dyDescent="0.3">
      <c r="A197" t="s">
        <v>18</v>
      </c>
      <c r="B197" t="s">
        <v>17</v>
      </c>
    </row>
    <row r="198" spans="1:2" x14ac:dyDescent="0.3">
      <c r="A198" t="s">
        <v>37</v>
      </c>
      <c r="B198" t="s">
        <v>17</v>
      </c>
    </row>
    <row r="199" spans="1:2" x14ac:dyDescent="0.3">
      <c r="A199" t="s">
        <v>37</v>
      </c>
      <c r="B199" t="s">
        <v>23</v>
      </c>
    </row>
    <row r="200" spans="1:2" x14ac:dyDescent="0.3">
      <c r="A200" t="s">
        <v>26</v>
      </c>
      <c r="B200" t="s">
        <v>23</v>
      </c>
    </row>
    <row r="201" spans="1:2" x14ac:dyDescent="0.3">
      <c r="A201" t="s">
        <v>37</v>
      </c>
      <c r="B201" t="s">
        <v>17</v>
      </c>
    </row>
    <row r="202" spans="1:2" x14ac:dyDescent="0.3">
      <c r="A202" t="s">
        <v>26</v>
      </c>
      <c r="B202" t="s">
        <v>31</v>
      </c>
    </row>
    <row r="203" spans="1:2" x14ac:dyDescent="0.3">
      <c r="A203" t="s">
        <v>37</v>
      </c>
      <c r="B203" t="s">
        <v>30</v>
      </c>
    </row>
    <row r="204" spans="1:2" x14ac:dyDescent="0.3">
      <c r="A204" t="s">
        <v>18</v>
      </c>
      <c r="B204" t="s">
        <v>17</v>
      </c>
    </row>
    <row r="205" spans="1:2" x14ac:dyDescent="0.3">
      <c r="A205" t="s">
        <v>24</v>
      </c>
      <c r="B205" t="s">
        <v>17</v>
      </c>
    </row>
    <row r="206" spans="1:2" x14ac:dyDescent="0.3">
      <c r="A206" t="s">
        <v>24</v>
      </c>
      <c r="B206" t="s">
        <v>30</v>
      </c>
    </row>
    <row r="207" spans="1:2" x14ac:dyDescent="0.3">
      <c r="A207" t="s">
        <v>37</v>
      </c>
      <c r="B207" t="s">
        <v>17</v>
      </c>
    </row>
    <row r="208" spans="1:2" x14ac:dyDescent="0.3">
      <c r="A208" t="s">
        <v>24</v>
      </c>
      <c r="B208" t="s">
        <v>17</v>
      </c>
    </row>
    <row r="209" spans="1:2" x14ac:dyDescent="0.3">
      <c r="A209" t="s">
        <v>26</v>
      </c>
      <c r="B209" t="s">
        <v>23</v>
      </c>
    </row>
    <row r="210" spans="1:2" x14ac:dyDescent="0.3">
      <c r="A210" t="s">
        <v>26</v>
      </c>
      <c r="B210" t="s">
        <v>17</v>
      </c>
    </row>
    <row r="211" spans="1:2" x14ac:dyDescent="0.3">
      <c r="A211" t="s">
        <v>26</v>
      </c>
      <c r="B211" t="s">
        <v>31</v>
      </c>
    </row>
    <row r="212" spans="1:2" x14ac:dyDescent="0.3">
      <c r="A212" t="s">
        <v>22</v>
      </c>
      <c r="B212" t="s">
        <v>17</v>
      </c>
    </row>
    <row r="213" spans="1:2" x14ac:dyDescent="0.3">
      <c r="A213" t="s">
        <v>37</v>
      </c>
      <c r="B213" t="s">
        <v>23</v>
      </c>
    </row>
    <row r="214" spans="1:2" x14ac:dyDescent="0.3">
      <c r="A214" t="s">
        <v>18</v>
      </c>
      <c r="B214" t="s">
        <v>17</v>
      </c>
    </row>
    <row r="215" spans="1:2" x14ac:dyDescent="0.3">
      <c r="A215" t="s">
        <v>22</v>
      </c>
      <c r="B215" t="s">
        <v>17</v>
      </c>
    </row>
    <row r="216" spans="1:2" x14ac:dyDescent="0.3">
      <c r="A216" t="s">
        <v>22</v>
      </c>
      <c r="B216" t="s">
        <v>17</v>
      </c>
    </row>
    <row r="217" spans="1:2" x14ac:dyDescent="0.3">
      <c r="A217" t="s">
        <v>18</v>
      </c>
      <c r="B217" t="s">
        <v>17</v>
      </c>
    </row>
    <row r="218" spans="1:2" x14ac:dyDescent="0.3">
      <c r="A218" t="s">
        <v>26</v>
      </c>
      <c r="B218" t="s">
        <v>17</v>
      </c>
    </row>
    <row r="219" spans="1:2" x14ac:dyDescent="0.3">
      <c r="A219" t="s">
        <v>18</v>
      </c>
      <c r="B219" t="s">
        <v>30</v>
      </c>
    </row>
    <row r="220" spans="1:2" x14ac:dyDescent="0.3">
      <c r="A220" t="s">
        <v>18</v>
      </c>
      <c r="B220" t="s">
        <v>30</v>
      </c>
    </row>
    <row r="221" spans="1:2" x14ac:dyDescent="0.3">
      <c r="A221" t="s">
        <v>26</v>
      </c>
      <c r="B221" t="s">
        <v>17</v>
      </c>
    </row>
    <row r="222" spans="1:2" x14ac:dyDescent="0.3">
      <c r="A222" t="s">
        <v>26</v>
      </c>
      <c r="B222" t="s">
        <v>17</v>
      </c>
    </row>
    <row r="223" spans="1:2" x14ac:dyDescent="0.3">
      <c r="A223" t="s">
        <v>26</v>
      </c>
      <c r="B223" t="s">
        <v>30</v>
      </c>
    </row>
    <row r="224" spans="1:2" x14ac:dyDescent="0.3">
      <c r="A224" t="s">
        <v>22</v>
      </c>
      <c r="B224" t="s">
        <v>17</v>
      </c>
    </row>
    <row r="225" spans="1:2" x14ac:dyDescent="0.3">
      <c r="A225" t="s">
        <v>24</v>
      </c>
      <c r="B225" t="s">
        <v>30</v>
      </c>
    </row>
    <row r="226" spans="1:2" x14ac:dyDescent="0.3">
      <c r="A226" t="s">
        <v>22</v>
      </c>
      <c r="B226" t="s">
        <v>30</v>
      </c>
    </row>
    <row r="227" spans="1:2" x14ac:dyDescent="0.3">
      <c r="A227" t="s">
        <v>24</v>
      </c>
      <c r="B227" t="s">
        <v>17</v>
      </c>
    </row>
    <row r="228" spans="1:2" x14ac:dyDescent="0.3">
      <c r="A228" t="s">
        <v>37</v>
      </c>
      <c r="B228" t="s">
        <v>33</v>
      </c>
    </row>
    <row r="229" spans="1:2" x14ac:dyDescent="0.3">
      <c r="A229" t="s">
        <v>22</v>
      </c>
      <c r="B229" t="s">
        <v>17</v>
      </c>
    </row>
    <row r="230" spans="1:2" x14ac:dyDescent="0.3">
      <c r="A230" t="s">
        <v>26</v>
      </c>
      <c r="B230" t="s">
        <v>23</v>
      </c>
    </row>
    <row r="231" spans="1:2" x14ac:dyDescent="0.3">
      <c r="A231" t="s">
        <v>37</v>
      </c>
      <c r="B231" t="s">
        <v>17</v>
      </c>
    </row>
    <row r="232" spans="1:2" x14ac:dyDescent="0.3">
      <c r="A232" t="s">
        <v>24</v>
      </c>
      <c r="B232" t="s">
        <v>17</v>
      </c>
    </row>
    <row r="233" spans="1:2" x14ac:dyDescent="0.3">
      <c r="A233" t="s">
        <v>24</v>
      </c>
      <c r="B233" t="s">
        <v>17</v>
      </c>
    </row>
    <row r="234" spans="1:2" x14ac:dyDescent="0.3">
      <c r="A234" t="s">
        <v>37</v>
      </c>
      <c r="B234" t="s">
        <v>31</v>
      </c>
    </row>
    <row r="235" spans="1:2" x14ac:dyDescent="0.3">
      <c r="A235" t="s">
        <v>26</v>
      </c>
      <c r="B235" t="s">
        <v>17</v>
      </c>
    </row>
    <row r="236" spans="1:2" x14ac:dyDescent="0.3">
      <c r="A236" t="s">
        <v>22</v>
      </c>
      <c r="B236" t="s">
        <v>30</v>
      </c>
    </row>
    <row r="237" spans="1:2" x14ac:dyDescent="0.3">
      <c r="A237" t="s">
        <v>26</v>
      </c>
      <c r="B237" t="s">
        <v>33</v>
      </c>
    </row>
    <row r="238" spans="1:2" x14ac:dyDescent="0.3">
      <c r="A238" t="s">
        <v>24</v>
      </c>
      <c r="B238" t="s">
        <v>17</v>
      </c>
    </row>
    <row r="239" spans="1:2" x14ac:dyDescent="0.3">
      <c r="A239" t="s">
        <v>37</v>
      </c>
      <c r="B239" t="s">
        <v>31</v>
      </c>
    </row>
    <row r="240" spans="1:2" x14ac:dyDescent="0.3">
      <c r="A240" t="s">
        <v>24</v>
      </c>
      <c r="B240" t="s">
        <v>31</v>
      </c>
    </row>
    <row r="241" spans="1:2" x14ac:dyDescent="0.3">
      <c r="A241" t="s">
        <v>26</v>
      </c>
      <c r="B241" t="s">
        <v>33</v>
      </c>
    </row>
    <row r="242" spans="1:2" x14ac:dyDescent="0.3">
      <c r="A242" t="s">
        <v>37</v>
      </c>
      <c r="B242" t="s">
        <v>17</v>
      </c>
    </row>
    <row r="243" spans="1:2" x14ac:dyDescent="0.3">
      <c r="A243" t="s">
        <v>37</v>
      </c>
      <c r="B243" t="s">
        <v>33</v>
      </c>
    </row>
    <row r="244" spans="1:2" x14ac:dyDescent="0.3">
      <c r="A244" t="s">
        <v>37</v>
      </c>
      <c r="B244" t="s">
        <v>17</v>
      </c>
    </row>
    <row r="245" spans="1:2" x14ac:dyDescent="0.3">
      <c r="A245" t="s">
        <v>24</v>
      </c>
      <c r="B245" t="s">
        <v>23</v>
      </c>
    </row>
    <row r="246" spans="1:2" x14ac:dyDescent="0.3">
      <c r="A246" t="s">
        <v>18</v>
      </c>
      <c r="B246" t="s">
        <v>17</v>
      </c>
    </row>
    <row r="247" spans="1:2" x14ac:dyDescent="0.3">
      <c r="A247" t="s">
        <v>18</v>
      </c>
      <c r="B247" t="s">
        <v>17</v>
      </c>
    </row>
    <row r="248" spans="1:2" x14ac:dyDescent="0.3">
      <c r="A248" t="s">
        <v>37</v>
      </c>
      <c r="B248" t="s">
        <v>31</v>
      </c>
    </row>
    <row r="249" spans="1:2" x14ac:dyDescent="0.3">
      <c r="A249" t="s">
        <v>24</v>
      </c>
      <c r="B249" t="s">
        <v>31</v>
      </c>
    </row>
    <row r="250" spans="1:2" x14ac:dyDescent="0.3">
      <c r="A250" t="s">
        <v>18</v>
      </c>
      <c r="B250" t="s">
        <v>17</v>
      </c>
    </row>
    <row r="251" spans="1:2" x14ac:dyDescent="0.3">
      <c r="A251" t="s">
        <v>37</v>
      </c>
      <c r="B251" t="s">
        <v>17</v>
      </c>
    </row>
    <row r="252" spans="1:2" x14ac:dyDescent="0.3">
      <c r="A252" t="s">
        <v>24</v>
      </c>
      <c r="B252" t="s">
        <v>17</v>
      </c>
    </row>
    <row r="253" spans="1:2" x14ac:dyDescent="0.3">
      <c r="A253" t="s">
        <v>22</v>
      </c>
      <c r="B253" t="s">
        <v>23</v>
      </c>
    </row>
    <row r="254" spans="1:2" x14ac:dyDescent="0.3">
      <c r="A254" t="s">
        <v>37</v>
      </c>
      <c r="B254" t="s">
        <v>23</v>
      </c>
    </row>
    <row r="255" spans="1:2" x14ac:dyDescent="0.3">
      <c r="A255" t="s">
        <v>26</v>
      </c>
      <c r="B255" t="s">
        <v>23</v>
      </c>
    </row>
    <row r="256" spans="1:2" x14ac:dyDescent="0.3">
      <c r="A256" t="s">
        <v>22</v>
      </c>
      <c r="B256" t="s">
        <v>31</v>
      </c>
    </row>
    <row r="257" spans="1:2" x14ac:dyDescent="0.3">
      <c r="A257" t="s">
        <v>37</v>
      </c>
      <c r="B257" t="s">
        <v>17</v>
      </c>
    </row>
    <row r="258" spans="1:2" x14ac:dyDescent="0.3">
      <c r="A258" t="s">
        <v>37</v>
      </c>
      <c r="B258" t="s">
        <v>17</v>
      </c>
    </row>
    <row r="259" spans="1:2" x14ac:dyDescent="0.3">
      <c r="A259" t="s">
        <v>24</v>
      </c>
      <c r="B259" t="s">
        <v>17</v>
      </c>
    </row>
    <row r="260" spans="1:2" x14ac:dyDescent="0.3">
      <c r="A260" t="s">
        <v>37</v>
      </c>
      <c r="B260" t="s">
        <v>31</v>
      </c>
    </row>
    <row r="261" spans="1:2" x14ac:dyDescent="0.3">
      <c r="A261" t="s">
        <v>24</v>
      </c>
      <c r="B261" t="s">
        <v>31</v>
      </c>
    </row>
    <row r="262" spans="1:2" x14ac:dyDescent="0.3">
      <c r="A262" t="s">
        <v>24</v>
      </c>
      <c r="B262" t="s">
        <v>17</v>
      </c>
    </row>
    <row r="263" spans="1:2" x14ac:dyDescent="0.3">
      <c r="A263" t="s">
        <v>22</v>
      </c>
      <c r="B263" t="s">
        <v>33</v>
      </c>
    </row>
    <row r="264" spans="1:2" x14ac:dyDescent="0.3">
      <c r="A264" t="s">
        <v>18</v>
      </c>
      <c r="B264" t="s">
        <v>17</v>
      </c>
    </row>
    <row r="265" spans="1:2" x14ac:dyDescent="0.3">
      <c r="A265" t="s">
        <v>37</v>
      </c>
      <c r="B265" t="s">
        <v>17</v>
      </c>
    </row>
    <row r="266" spans="1:2" x14ac:dyDescent="0.3">
      <c r="A266" t="s">
        <v>22</v>
      </c>
      <c r="B266" t="s">
        <v>17</v>
      </c>
    </row>
    <row r="267" spans="1:2" x14ac:dyDescent="0.3">
      <c r="A267" t="s">
        <v>37</v>
      </c>
      <c r="B267" t="s">
        <v>17</v>
      </c>
    </row>
    <row r="268" spans="1:2" x14ac:dyDescent="0.3">
      <c r="A268" t="s">
        <v>37</v>
      </c>
      <c r="B268" t="s">
        <v>17</v>
      </c>
    </row>
    <row r="269" spans="1:2" x14ac:dyDescent="0.3">
      <c r="A269" t="s">
        <v>24</v>
      </c>
      <c r="B269" t="s">
        <v>17</v>
      </c>
    </row>
    <row r="270" spans="1:2" x14ac:dyDescent="0.3">
      <c r="A270" t="s">
        <v>22</v>
      </c>
      <c r="B270" t="s">
        <v>17</v>
      </c>
    </row>
    <row r="271" spans="1:2" x14ac:dyDescent="0.3">
      <c r="A271" t="s">
        <v>18</v>
      </c>
      <c r="B271" t="s">
        <v>17</v>
      </c>
    </row>
    <row r="272" spans="1:2" x14ac:dyDescent="0.3">
      <c r="A272" t="s">
        <v>18</v>
      </c>
      <c r="B272" t="s">
        <v>17</v>
      </c>
    </row>
    <row r="273" spans="1:2" x14ac:dyDescent="0.3">
      <c r="A273" t="s">
        <v>22</v>
      </c>
      <c r="B273" t="s">
        <v>33</v>
      </c>
    </row>
    <row r="274" spans="1:2" x14ac:dyDescent="0.3">
      <c r="A274" t="s">
        <v>24</v>
      </c>
      <c r="B274" t="s">
        <v>23</v>
      </c>
    </row>
    <row r="275" spans="1:2" x14ac:dyDescent="0.3">
      <c r="A275" t="s">
        <v>37</v>
      </c>
      <c r="B275" t="s">
        <v>17</v>
      </c>
    </row>
    <row r="276" spans="1:2" x14ac:dyDescent="0.3">
      <c r="A276" t="s">
        <v>18</v>
      </c>
      <c r="B276" t="s">
        <v>23</v>
      </c>
    </row>
    <row r="277" spans="1:2" x14ac:dyDescent="0.3">
      <c r="A277" t="s">
        <v>26</v>
      </c>
      <c r="B277" t="s">
        <v>30</v>
      </c>
    </row>
    <row r="278" spans="1:2" x14ac:dyDescent="0.3">
      <c r="A278" t="s">
        <v>18</v>
      </c>
      <c r="B278" t="s">
        <v>30</v>
      </c>
    </row>
    <row r="279" spans="1:2" x14ac:dyDescent="0.3">
      <c r="A279" t="s">
        <v>37</v>
      </c>
      <c r="B279" t="s">
        <v>23</v>
      </c>
    </row>
    <row r="280" spans="1:2" x14ac:dyDescent="0.3">
      <c r="A280" t="s">
        <v>37</v>
      </c>
      <c r="B280" t="s">
        <v>17</v>
      </c>
    </row>
    <row r="281" spans="1:2" x14ac:dyDescent="0.3">
      <c r="A281" t="s">
        <v>22</v>
      </c>
      <c r="B281" t="s">
        <v>31</v>
      </c>
    </row>
    <row r="282" spans="1:2" x14ac:dyDescent="0.3">
      <c r="A282" t="s">
        <v>26</v>
      </c>
      <c r="B282" t="s">
        <v>17</v>
      </c>
    </row>
    <row r="283" spans="1:2" x14ac:dyDescent="0.3">
      <c r="A283" t="s">
        <v>22</v>
      </c>
      <c r="B283" t="s">
        <v>17</v>
      </c>
    </row>
    <row r="284" spans="1:2" x14ac:dyDescent="0.3">
      <c r="A284" t="s">
        <v>24</v>
      </c>
      <c r="B284" t="s">
        <v>17</v>
      </c>
    </row>
    <row r="285" spans="1:2" x14ac:dyDescent="0.3">
      <c r="A285" t="s">
        <v>37</v>
      </c>
      <c r="B285" t="s">
        <v>30</v>
      </c>
    </row>
    <row r="286" spans="1:2" x14ac:dyDescent="0.3">
      <c r="A286" t="s">
        <v>24</v>
      </c>
      <c r="B286" t="s">
        <v>17</v>
      </c>
    </row>
    <row r="287" spans="1:2" x14ac:dyDescent="0.3">
      <c r="A287" t="s">
        <v>18</v>
      </c>
      <c r="B287" t="s">
        <v>30</v>
      </c>
    </row>
    <row r="288" spans="1:2" x14ac:dyDescent="0.3">
      <c r="A288" t="s">
        <v>37</v>
      </c>
      <c r="B288" t="s">
        <v>17</v>
      </c>
    </row>
    <row r="289" spans="1:2" x14ac:dyDescent="0.3">
      <c r="A289" t="s">
        <v>18</v>
      </c>
      <c r="B289" t="s">
        <v>31</v>
      </c>
    </row>
    <row r="290" spans="1:2" x14ac:dyDescent="0.3">
      <c r="A290" t="s">
        <v>37</v>
      </c>
      <c r="B290" t="s">
        <v>31</v>
      </c>
    </row>
    <row r="291" spans="1:2" x14ac:dyDescent="0.3">
      <c r="A291" t="s">
        <v>22</v>
      </c>
      <c r="B291" t="s">
        <v>23</v>
      </c>
    </row>
    <row r="292" spans="1:2" x14ac:dyDescent="0.3">
      <c r="A292" t="s">
        <v>24</v>
      </c>
      <c r="B292" t="s">
        <v>17</v>
      </c>
    </row>
    <row r="293" spans="1:2" x14ac:dyDescent="0.3">
      <c r="A293" t="s">
        <v>26</v>
      </c>
      <c r="B293" t="s">
        <v>17</v>
      </c>
    </row>
    <row r="294" spans="1:2" x14ac:dyDescent="0.3">
      <c r="A294" t="s">
        <v>24</v>
      </c>
      <c r="B294" t="s">
        <v>33</v>
      </c>
    </row>
    <row r="295" spans="1:2" x14ac:dyDescent="0.3">
      <c r="A295" t="s">
        <v>24</v>
      </c>
      <c r="B295" t="s">
        <v>17</v>
      </c>
    </row>
    <row r="296" spans="1:2" x14ac:dyDescent="0.3">
      <c r="A296" t="s">
        <v>18</v>
      </c>
      <c r="B296" t="s">
        <v>23</v>
      </c>
    </row>
    <row r="297" spans="1:2" x14ac:dyDescent="0.3">
      <c r="A297" t="s">
        <v>26</v>
      </c>
      <c r="B297" t="s">
        <v>17</v>
      </c>
    </row>
    <row r="298" spans="1:2" x14ac:dyDescent="0.3">
      <c r="A298" t="s">
        <v>24</v>
      </c>
      <c r="B298" t="s">
        <v>33</v>
      </c>
    </row>
    <row r="299" spans="1:2" x14ac:dyDescent="0.3">
      <c r="A299" t="s">
        <v>26</v>
      </c>
      <c r="B299" t="s">
        <v>17</v>
      </c>
    </row>
    <row r="300" spans="1:2" x14ac:dyDescent="0.3">
      <c r="A300" t="s">
        <v>18</v>
      </c>
      <c r="B300" t="s">
        <v>33</v>
      </c>
    </row>
    <row r="301" spans="1:2" x14ac:dyDescent="0.3">
      <c r="A301" t="s">
        <v>24</v>
      </c>
      <c r="B301" t="s">
        <v>31</v>
      </c>
    </row>
    <row r="302" spans="1:2" x14ac:dyDescent="0.3">
      <c r="A302" t="s">
        <v>26</v>
      </c>
      <c r="B302" t="s">
        <v>17</v>
      </c>
    </row>
    <row r="303" spans="1:2" x14ac:dyDescent="0.3">
      <c r="A303" t="s">
        <v>37</v>
      </c>
      <c r="B303" t="s">
        <v>17</v>
      </c>
    </row>
    <row r="304" spans="1:2" x14ac:dyDescent="0.3">
      <c r="A304" t="s">
        <v>24</v>
      </c>
      <c r="B304" t="s">
        <v>17</v>
      </c>
    </row>
    <row r="305" spans="1:2" x14ac:dyDescent="0.3">
      <c r="A305" t="s">
        <v>24</v>
      </c>
      <c r="B305" t="s">
        <v>17</v>
      </c>
    </row>
    <row r="306" spans="1:2" x14ac:dyDescent="0.3">
      <c r="A306" t="s">
        <v>24</v>
      </c>
      <c r="B306" t="s">
        <v>17</v>
      </c>
    </row>
    <row r="307" spans="1:2" x14ac:dyDescent="0.3">
      <c r="A307" t="s">
        <v>37</v>
      </c>
      <c r="B307" t="s">
        <v>23</v>
      </c>
    </row>
    <row r="308" spans="1:2" x14ac:dyDescent="0.3">
      <c r="A308" t="s">
        <v>22</v>
      </c>
      <c r="B308" t="s">
        <v>23</v>
      </c>
    </row>
    <row r="309" spans="1:2" x14ac:dyDescent="0.3">
      <c r="A309" t="s">
        <v>37</v>
      </c>
      <c r="B309" t="s">
        <v>23</v>
      </c>
    </row>
    <row r="310" spans="1:2" x14ac:dyDescent="0.3">
      <c r="A310" t="s">
        <v>24</v>
      </c>
      <c r="B310" t="s">
        <v>17</v>
      </c>
    </row>
    <row r="311" spans="1:2" x14ac:dyDescent="0.3">
      <c r="A311" t="s">
        <v>22</v>
      </c>
      <c r="B311" t="s">
        <v>17</v>
      </c>
    </row>
    <row r="312" spans="1:2" x14ac:dyDescent="0.3">
      <c r="A312" t="s">
        <v>26</v>
      </c>
      <c r="B312" t="s">
        <v>17</v>
      </c>
    </row>
    <row r="313" spans="1:2" x14ac:dyDescent="0.3">
      <c r="A313" t="s">
        <v>37</v>
      </c>
      <c r="B313" t="s">
        <v>23</v>
      </c>
    </row>
    <row r="314" spans="1:2" x14ac:dyDescent="0.3">
      <c r="A314" t="s">
        <v>26</v>
      </c>
      <c r="B314" t="s">
        <v>30</v>
      </c>
    </row>
    <row r="315" spans="1:2" x14ac:dyDescent="0.3">
      <c r="A315" t="s">
        <v>18</v>
      </c>
      <c r="B315" t="s">
        <v>30</v>
      </c>
    </row>
    <row r="316" spans="1:2" x14ac:dyDescent="0.3">
      <c r="A316" t="s">
        <v>26</v>
      </c>
      <c r="B316" t="s">
        <v>17</v>
      </c>
    </row>
    <row r="317" spans="1:2" x14ac:dyDescent="0.3">
      <c r="A317" t="s">
        <v>26</v>
      </c>
      <c r="B317" t="s">
        <v>30</v>
      </c>
    </row>
    <row r="318" spans="1:2" x14ac:dyDescent="0.3">
      <c r="A318" t="s">
        <v>24</v>
      </c>
      <c r="B318" t="s">
        <v>30</v>
      </c>
    </row>
    <row r="319" spans="1:2" x14ac:dyDescent="0.3">
      <c r="A319" t="s">
        <v>24</v>
      </c>
      <c r="B319" t="s">
        <v>17</v>
      </c>
    </row>
    <row r="320" spans="1:2" x14ac:dyDescent="0.3">
      <c r="A320" t="s">
        <v>18</v>
      </c>
      <c r="B320" t="s">
        <v>23</v>
      </c>
    </row>
    <row r="321" spans="1:2" x14ac:dyDescent="0.3">
      <c r="A321" t="s">
        <v>18</v>
      </c>
      <c r="B321" t="s">
        <v>17</v>
      </c>
    </row>
    <row r="322" spans="1:2" x14ac:dyDescent="0.3">
      <c r="A322" t="s">
        <v>37</v>
      </c>
      <c r="B322" t="s">
        <v>17</v>
      </c>
    </row>
    <row r="323" spans="1:2" x14ac:dyDescent="0.3">
      <c r="A323" t="s">
        <v>18</v>
      </c>
      <c r="B323" t="s">
        <v>17</v>
      </c>
    </row>
    <row r="324" spans="1:2" x14ac:dyDescent="0.3">
      <c r="A324" t="s">
        <v>24</v>
      </c>
      <c r="B324" t="s">
        <v>30</v>
      </c>
    </row>
    <row r="325" spans="1:2" x14ac:dyDescent="0.3">
      <c r="A325" t="s">
        <v>22</v>
      </c>
      <c r="B325" t="s">
        <v>30</v>
      </c>
    </row>
    <row r="326" spans="1:2" x14ac:dyDescent="0.3">
      <c r="A326" t="s">
        <v>18</v>
      </c>
      <c r="B326" t="s">
        <v>17</v>
      </c>
    </row>
    <row r="327" spans="1:2" x14ac:dyDescent="0.3">
      <c r="A327" t="s">
        <v>18</v>
      </c>
      <c r="B327" t="s">
        <v>17</v>
      </c>
    </row>
    <row r="328" spans="1:2" x14ac:dyDescent="0.3">
      <c r="A328" t="s">
        <v>37</v>
      </c>
      <c r="B328" t="s">
        <v>17</v>
      </c>
    </row>
    <row r="329" spans="1:2" x14ac:dyDescent="0.3">
      <c r="A329" t="s">
        <v>24</v>
      </c>
      <c r="B329" t="s">
        <v>33</v>
      </c>
    </row>
    <row r="330" spans="1:2" x14ac:dyDescent="0.3">
      <c r="A330" t="s">
        <v>24</v>
      </c>
      <c r="B330" t="s">
        <v>33</v>
      </c>
    </row>
    <row r="331" spans="1:2" x14ac:dyDescent="0.3">
      <c r="A331" t="s">
        <v>24</v>
      </c>
      <c r="B331" t="s">
        <v>17</v>
      </c>
    </row>
    <row r="332" spans="1:2" x14ac:dyDescent="0.3">
      <c r="A332" t="s">
        <v>24</v>
      </c>
      <c r="B332" t="s">
        <v>33</v>
      </c>
    </row>
    <row r="333" spans="1:2" x14ac:dyDescent="0.3">
      <c r="A333" t="s">
        <v>22</v>
      </c>
      <c r="B333" t="s">
        <v>31</v>
      </c>
    </row>
    <row r="334" spans="1:2" x14ac:dyDescent="0.3">
      <c r="A334" t="s">
        <v>18</v>
      </c>
      <c r="B334" t="s">
        <v>33</v>
      </c>
    </row>
    <row r="335" spans="1:2" x14ac:dyDescent="0.3">
      <c r="A335" t="s">
        <v>24</v>
      </c>
      <c r="B335" t="s">
        <v>33</v>
      </c>
    </row>
    <row r="336" spans="1:2" x14ac:dyDescent="0.3">
      <c r="A336" t="s">
        <v>22</v>
      </c>
      <c r="B336" t="s">
        <v>31</v>
      </c>
    </row>
    <row r="337" spans="1:2" x14ac:dyDescent="0.3">
      <c r="A337" t="s">
        <v>24</v>
      </c>
      <c r="B337" t="s">
        <v>23</v>
      </c>
    </row>
    <row r="338" spans="1:2" x14ac:dyDescent="0.3">
      <c r="A338" t="s">
        <v>37</v>
      </c>
      <c r="B338" t="s">
        <v>23</v>
      </c>
    </row>
    <row r="339" spans="1:2" x14ac:dyDescent="0.3">
      <c r="A339" t="s">
        <v>24</v>
      </c>
      <c r="B339" t="s">
        <v>17</v>
      </c>
    </row>
    <row r="340" spans="1:2" x14ac:dyDescent="0.3">
      <c r="A340" t="s">
        <v>22</v>
      </c>
      <c r="B340" t="s">
        <v>33</v>
      </c>
    </row>
    <row r="341" spans="1:2" x14ac:dyDescent="0.3">
      <c r="A341" t="s">
        <v>18</v>
      </c>
      <c r="B341" t="s">
        <v>33</v>
      </c>
    </row>
    <row r="342" spans="1:2" x14ac:dyDescent="0.3">
      <c r="A342" t="s">
        <v>26</v>
      </c>
      <c r="B342" t="s">
        <v>30</v>
      </c>
    </row>
    <row r="343" spans="1:2" x14ac:dyDescent="0.3">
      <c r="A343" t="s">
        <v>22</v>
      </c>
      <c r="B343" t="s">
        <v>17</v>
      </c>
    </row>
    <row r="344" spans="1:2" x14ac:dyDescent="0.3">
      <c r="A344" t="s">
        <v>24</v>
      </c>
      <c r="B344" t="s">
        <v>33</v>
      </c>
    </row>
    <row r="345" spans="1:2" x14ac:dyDescent="0.3">
      <c r="A345" t="s">
        <v>26</v>
      </c>
      <c r="B345" t="s">
        <v>17</v>
      </c>
    </row>
    <row r="346" spans="1:2" x14ac:dyDescent="0.3">
      <c r="A346" t="s">
        <v>22</v>
      </c>
      <c r="B346" t="s">
        <v>31</v>
      </c>
    </row>
    <row r="347" spans="1:2" x14ac:dyDescent="0.3">
      <c r="A347" t="s">
        <v>24</v>
      </c>
      <c r="B347" t="s">
        <v>17</v>
      </c>
    </row>
    <row r="348" spans="1:2" x14ac:dyDescent="0.3">
      <c r="A348" t="s">
        <v>37</v>
      </c>
      <c r="B348" t="s">
        <v>17</v>
      </c>
    </row>
    <row r="349" spans="1:2" x14ac:dyDescent="0.3">
      <c r="A349" t="s">
        <v>37</v>
      </c>
      <c r="B349" t="s">
        <v>33</v>
      </c>
    </row>
    <row r="350" spans="1:2" x14ac:dyDescent="0.3">
      <c r="A350" t="s">
        <v>22</v>
      </c>
      <c r="B350" t="s">
        <v>17</v>
      </c>
    </row>
    <row r="351" spans="1:2" x14ac:dyDescent="0.3">
      <c r="A351" t="s">
        <v>18</v>
      </c>
      <c r="B351" t="s">
        <v>30</v>
      </c>
    </row>
    <row r="352" spans="1:2" x14ac:dyDescent="0.3">
      <c r="A352" t="s">
        <v>24</v>
      </c>
      <c r="B352" t="s">
        <v>33</v>
      </c>
    </row>
    <row r="353" spans="1:2" x14ac:dyDescent="0.3">
      <c r="A353" t="s">
        <v>26</v>
      </c>
      <c r="B353" t="s">
        <v>33</v>
      </c>
    </row>
    <row r="354" spans="1:2" x14ac:dyDescent="0.3">
      <c r="A354" t="s">
        <v>18</v>
      </c>
      <c r="B354" t="s">
        <v>31</v>
      </c>
    </row>
    <row r="355" spans="1:2" x14ac:dyDescent="0.3">
      <c r="A355" t="s">
        <v>24</v>
      </c>
      <c r="B355" t="s">
        <v>17</v>
      </c>
    </row>
    <row r="356" spans="1:2" x14ac:dyDescent="0.3">
      <c r="A356" t="s">
        <v>22</v>
      </c>
      <c r="B356" t="s">
        <v>31</v>
      </c>
    </row>
    <row r="357" spans="1:2" x14ac:dyDescent="0.3">
      <c r="A357" t="s">
        <v>18</v>
      </c>
      <c r="B357" t="s">
        <v>17</v>
      </c>
    </row>
    <row r="358" spans="1:2" x14ac:dyDescent="0.3">
      <c r="A358" t="s">
        <v>37</v>
      </c>
      <c r="B358" t="s">
        <v>33</v>
      </c>
    </row>
    <row r="359" spans="1:2" x14ac:dyDescent="0.3">
      <c r="A359" t="s">
        <v>18</v>
      </c>
      <c r="B359" t="s">
        <v>17</v>
      </c>
    </row>
    <row r="360" spans="1:2" x14ac:dyDescent="0.3">
      <c r="A360" t="s">
        <v>37</v>
      </c>
      <c r="B360" t="s">
        <v>17</v>
      </c>
    </row>
    <row r="361" spans="1:2" x14ac:dyDescent="0.3">
      <c r="A361" t="s">
        <v>18</v>
      </c>
      <c r="B361" t="s">
        <v>17</v>
      </c>
    </row>
    <row r="362" spans="1:2" x14ac:dyDescent="0.3">
      <c r="A362" t="s">
        <v>37</v>
      </c>
      <c r="B362" t="s">
        <v>17</v>
      </c>
    </row>
    <row r="363" spans="1:2" x14ac:dyDescent="0.3">
      <c r="A363" t="s">
        <v>26</v>
      </c>
      <c r="B363" t="s">
        <v>31</v>
      </c>
    </row>
    <row r="364" spans="1:2" x14ac:dyDescent="0.3">
      <c r="A364" t="s">
        <v>24</v>
      </c>
      <c r="B364" t="s">
        <v>23</v>
      </c>
    </row>
    <row r="365" spans="1:2" x14ac:dyDescent="0.3">
      <c r="A365" t="s">
        <v>26</v>
      </c>
      <c r="B365" t="s">
        <v>17</v>
      </c>
    </row>
    <row r="366" spans="1:2" x14ac:dyDescent="0.3">
      <c r="A366" t="s">
        <v>24</v>
      </c>
      <c r="B366" t="s">
        <v>23</v>
      </c>
    </row>
    <row r="367" spans="1:2" x14ac:dyDescent="0.3">
      <c r="A367" t="s">
        <v>18</v>
      </c>
      <c r="B367" t="s">
        <v>17</v>
      </c>
    </row>
    <row r="368" spans="1:2" x14ac:dyDescent="0.3">
      <c r="A368" t="s">
        <v>22</v>
      </c>
      <c r="B368" t="s">
        <v>17</v>
      </c>
    </row>
    <row r="369" spans="1:2" x14ac:dyDescent="0.3">
      <c r="A369" t="s">
        <v>24</v>
      </c>
      <c r="B369" t="s">
        <v>33</v>
      </c>
    </row>
    <row r="370" spans="1:2" x14ac:dyDescent="0.3">
      <c r="A370" t="s">
        <v>18</v>
      </c>
      <c r="B370" t="s">
        <v>33</v>
      </c>
    </row>
    <row r="371" spans="1:2" x14ac:dyDescent="0.3">
      <c r="A371" t="s">
        <v>22</v>
      </c>
      <c r="B371" t="s">
        <v>23</v>
      </c>
    </row>
    <row r="372" spans="1:2" x14ac:dyDescent="0.3">
      <c r="A372" t="s">
        <v>26</v>
      </c>
      <c r="B372" t="s">
        <v>31</v>
      </c>
    </row>
    <row r="373" spans="1:2" x14ac:dyDescent="0.3">
      <c r="A373" t="s">
        <v>22</v>
      </c>
      <c r="B373" t="s">
        <v>17</v>
      </c>
    </row>
    <row r="374" spans="1:2" x14ac:dyDescent="0.3">
      <c r="A374" t="s">
        <v>22</v>
      </c>
      <c r="B374" t="s">
        <v>17</v>
      </c>
    </row>
    <row r="375" spans="1:2" x14ac:dyDescent="0.3">
      <c r="A375" t="s">
        <v>22</v>
      </c>
      <c r="B375" t="s">
        <v>17</v>
      </c>
    </row>
    <row r="376" spans="1:2" x14ac:dyDescent="0.3">
      <c r="A376" t="s">
        <v>26</v>
      </c>
      <c r="B376" t="s">
        <v>33</v>
      </c>
    </row>
    <row r="377" spans="1:2" x14ac:dyDescent="0.3">
      <c r="A377" t="s">
        <v>37</v>
      </c>
      <c r="B377" t="s">
        <v>17</v>
      </c>
    </row>
    <row r="378" spans="1:2" x14ac:dyDescent="0.3">
      <c r="A378" t="s">
        <v>22</v>
      </c>
      <c r="B378" t="s">
        <v>17</v>
      </c>
    </row>
    <row r="379" spans="1:2" x14ac:dyDescent="0.3">
      <c r="A379" t="s">
        <v>22</v>
      </c>
      <c r="B379" t="s">
        <v>17</v>
      </c>
    </row>
    <row r="380" spans="1:2" x14ac:dyDescent="0.3">
      <c r="A380" t="s">
        <v>22</v>
      </c>
      <c r="B380" t="s">
        <v>17</v>
      </c>
    </row>
    <row r="381" spans="1:2" x14ac:dyDescent="0.3">
      <c r="A381" t="s">
        <v>26</v>
      </c>
      <c r="B381" t="s">
        <v>17</v>
      </c>
    </row>
    <row r="382" spans="1:2" x14ac:dyDescent="0.3">
      <c r="A382" t="s">
        <v>22</v>
      </c>
      <c r="B382" t="s">
        <v>17</v>
      </c>
    </row>
    <row r="383" spans="1:2" x14ac:dyDescent="0.3">
      <c r="A383" t="s">
        <v>26</v>
      </c>
      <c r="B383" t="s">
        <v>17</v>
      </c>
    </row>
    <row r="384" spans="1:2" x14ac:dyDescent="0.3">
      <c r="A384" t="s">
        <v>26</v>
      </c>
      <c r="B384" t="s">
        <v>17</v>
      </c>
    </row>
    <row r="385" spans="1:2" x14ac:dyDescent="0.3">
      <c r="A385" t="s">
        <v>18</v>
      </c>
      <c r="B385" t="s">
        <v>30</v>
      </c>
    </row>
    <row r="386" spans="1:2" x14ac:dyDescent="0.3">
      <c r="A386" t="s">
        <v>37</v>
      </c>
      <c r="B386" t="s">
        <v>17</v>
      </c>
    </row>
    <row r="387" spans="1:2" x14ac:dyDescent="0.3">
      <c r="A387" t="s">
        <v>22</v>
      </c>
      <c r="B387" t="s">
        <v>17</v>
      </c>
    </row>
    <row r="388" spans="1:2" x14ac:dyDescent="0.3">
      <c r="A388" t="s">
        <v>24</v>
      </c>
      <c r="B388" t="s">
        <v>33</v>
      </c>
    </row>
    <row r="389" spans="1:2" x14ac:dyDescent="0.3">
      <c r="A389" t="s">
        <v>26</v>
      </c>
      <c r="B389" t="s">
        <v>33</v>
      </c>
    </row>
    <row r="390" spans="1:2" x14ac:dyDescent="0.3">
      <c r="A390" t="s">
        <v>24</v>
      </c>
      <c r="B390" t="s">
        <v>17</v>
      </c>
    </row>
    <row r="391" spans="1:2" x14ac:dyDescent="0.3">
      <c r="A391" t="s">
        <v>22</v>
      </c>
      <c r="B391" t="s">
        <v>17</v>
      </c>
    </row>
    <row r="392" spans="1:2" x14ac:dyDescent="0.3">
      <c r="A392" t="s">
        <v>24</v>
      </c>
      <c r="B392" t="s">
        <v>17</v>
      </c>
    </row>
    <row r="393" spans="1:2" x14ac:dyDescent="0.3">
      <c r="A393" t="s">
        <v>22</v>
      </c>
      <c r="B393" t="s">
        <v>17</v>
      </c>
    </row>
    <row r="394" spans="1:2" x14ac:dyDescent="0.3">
      <c r="A394" t="s">
        <v>18</v>
      </c>
      <c r="B394" t="s">
        <v>33</v>
      </c>
    </row>
    <row r="395" spans="1:2" x14ac:dyDescent="0.3">
      <c r="A395" t="s">
        <v>37</v>
      </c>
      <c r="B395" t="s">
        <v>33</v>
      </c>
    </row>
    <row r="396" spans="1:2" x14ac:dyDescent="0.3">
      <c r="A396" t="s">
        <v>18</v>
      </c>
      <c r="B396" t="s">
        <v>17</v>
      </c>
    </row>
    <row r="397" spans="1:2" x14ac:dyDescent="0.3">
      <c r="A397" t="s">
        <v>37</v>
      </c>
      <c r="B397" t="s">
        <v>17</v>
      </c>
    </row>
    <row r="398" spans="1:2" x14ac:dyDescent="0.3">
      <c r="A398" t="s">
        <v>22</v>
      </c>
      <c r="B398" t="s">
        <v>17</v>
      </c>
    </row>
    <row r="399" spans="1:2" x14ac:dyDescent="0.3">
      <c r="A399" t="s">
        <v>26</v>
      </c>
      <c r="B399" t="s">
        <v>33</v>
      </c>
    </row>
    <row r="400" spans="1:2" x14ac:dyDescent="0.3">
      <c r="A400" t="s">
        <v>22</v>
      </c>
      <c r="B400" t="s">
        <v>17</v>
      </c>
    </row>
    <row r="401" spans="1:2" x14ac:dyDescent="0.3">
      <c r="A401" t="s">
        <v>22</v>
      </c>
      <c r="B401" t="s">
        <v>23</v>
      </c>
    </row>
    <row r="402" spans="1:2" x14ac:dyDescent="0.3">
      <c r="A402" t="s">
        <v>26</v>
      </c>
      <c r="B402" t="s">
        <v>30</v>
      </c>
    </row>
    <row r="403" spans="1:2" x14ac:dyDescent="0.3">
      <c r="A403" t="s">
        <v>26</v>
      </c>
      <c r="B403" t="s">
        <v>33</v>
      </c>
    </row>
    <row r="404" spans="1:2" x14ac:dyDescent="0.3">
      <c r="A404" t="s">
        <v>37</v>
      </c>
      <c r="B404" t="s">
        <v>17</v>
      </c>
    </row>
    <row r="405" spans="1:2" x14ac:dyDescent="0.3">
      <c r="A405" t="s">
        <v>18</v>
      </c>
      <c r="B405" t="s">
        <v>33</v>
      </c>
    </row>
    <row r="406" spans="1:2" x14ac:dyDescent="0.3">
      <c r="A406" t="s">
        <v>26</v>
      </c>
      <c r="B406" t="s">
        <v>30</v>
      </c>
    </row>
    <row r="407" spans="1:2" x14ac:dyDescent="0.3">
      <c r="A407" t="s">
        <v>18</v>
      </c>
      <c r="B407" t="s">
        <v>33</v>
      </c>
    </row>
    <row r="408" spans="1:2" x14ac:dyDescent="0.3">
      <c r="A408" t="s">
        <v>24</v>
      </c>
      <c r="B408" t="s">
        <v>17</v>
      </c>
    </row>
    <row r="409" spans="1:2" x14ac:dyDescent="0.3">
      <c r="A409" t="s">
        <v>24</v>
      </c>
      <c r="B409" t="s">
        <v>33</v>
      </c>
    </row>
    <row r="410" spans="1:2" x14ac:dyDescent="0.3">
      <c r="A410" t="s">
        <v>18</v>
      </c>
      <c r="B410" t="s">
        <v>30</v>
      </c>
    </row>
    <row r="411" spans="1:2" x14ac:dyDescent="0.3">
      <c r="A411" t="s">
        <v>24</v>
      </c>
      <c r="B411" t="s">
        <v>31</v>
      </c>
    </row>
    <row r="412" spans="1:2" x14ac:dyDescent="0.3">
      <c r="A412" t="s">
        <v>18</v>
      </c>
      <c r="B412" t="s">
        <v>17</v>
      </c>
    </row>
    <row r="413" spans="1:2" x14ac:dyDescent="0.3">
      <c r="A413" t="s">
        <v>37</v>
      </c>
      <c r="B413" t="s">
        <v>31</v>
      </c>
    </row>
    <row r="414" spans="1:2" x14ac:dyDescent="0.3">
      <c r="A414" t="s">
        <v>22</v>
      </c>
      <c r="B414" t="s">
        <v>33</v>
      </c>
    </row>
    <row r="415" spans="1:2" x14ac:dyDescent="0.3">
      <c r="A415" t="s">
        <v>26</v>
      </c>
      <c r="B415" t="s">
        <v>33</v>
      </c>
    </row>
    <row r="416" spans="1:2" x14ac:dyDescent="0.3">
      <c r="A416" t="s">
        <v>26</v>
      </c>
      <c r="B416" t="s">
        <v>17</v>
      </c>
    </row>
    <row r="417" spans="1:2" x14ac:dyDescent="0.3">
      <c r="A417" t="s">
        <v>37</v>
      </c>
      <c r="B417" t="s">
        <v>23</v>
      </c>
    </row>
    <row r="418" spans="1:2" x14ac:dyDescent="0.3">
      <c r="A418" t="s">
        <v>18</v>
      </c>
      <c r="B418" t="s">
        <v>33</v>
      </c>
    </row>
    <row r="419" spans="1:2" x14ac:dyDescent="0.3">
      <c r="A419" t="s">
        <v>24</v>
      </c>
      <c r="B419" t="s">
        <v>23</v>
      </c>
    </row>
    <row r="420" spans="1:2" x14ac:dyDescent="0.3">
      <c r="A420" t="s">
        <v>26</v>
      </c>
      <c r="B420" t="s">
        <v>30</v>
      </c>
    </row>
    <row r="421" spans="1:2" x14ac:dyDescent="0.3">
      <c r="A421" t="s">
        <v>24</v>
      </c>
      <c r="B421" t="s">
        <v>33</v>
      </c>
    </row>
    <row r="422" spans="1:2" x14ac:dyDescent="0.3">
      <c r="A422" t="s">
        <v>22</v>
      </c>
      <c r="B422" t="s">
        <v>30</v>
      </c>
    </row>
    <row r="423" spans="1:2" x14ac:dyDescent="0.3">
      <c r="A423" t="s">
        <v>37</v>
      </c>
      <c r="B423" t="s">
        <v>31</v>
      </c>
    </row>
    <row r="424" spans="1:2" x14ac:dyDescent="0.3">
      <c r="A424" t="s">
        <v>26</v>
      </c>
      <c r="B424" t="s">
        <v>23</v>
      </c>
    </row>
    <row r="425" spans="1:2" x14ac:dyDescent="0.3">
      <c r="A425" t="s">
        <v>18</v>
      </c>
      <c r="B425" t="s">
        <v>33</v>
      </c>
    </row>
    <row r="426" spans="1:2" x14ac:dyDescent="0.3">
      <c r="A426" t="s">
        <v>22</v>
      </c>
      <c r="B426" t="s">
        <v>17</v>
      </c>
    </row>
    <row r="427" spans="1:2" x14ac:dyDescent="0.3">
      <c r="A427" t="s">
        <v>18</v>
      </c>
      <c r="B427" t="s">
        <v>31</v>
      </c>
    </row>
    <row r="428" spans="1:2" x14ac:dyDescent="0.3">
      <c r="A428" t="s">
        <v>26</v>
      </c>
      <c r="B428" t="s">
        <v>31</v>
      </c>
    </row>
    <row r="429" spans="1:2" x14ac:dyDescent="0.3">
      <c r="A429" t="s">
        <v>18</v>
      </c>
      <c r="B429" t="s">
        <v>17</v>
      </c>
    </row>
    <row r="430" spans="1:2" x14ac:dyDescent="0.3">
      <c r="A430" t="s">
        <v>37</v>
      </c>
      <c r="B430" t="s">
        <v>30</v>
      </c>
    </row>
    <row r="431" spans="1:2" x14ac:dyDescent="0.3">
      <c r="A431" t="s">
        <v>22</v>
      </c>
      <c r="B431" t="s">
        <v>33</v>
      </c>
    </row>
    <row r="432" spans="1:2" x14ac:dyDescent="0.3">
      <c r="A432" t="s">
        <v>37</v>
      </c>
      <c r="B432" t="s">
        <v>17</v>
      </c>
    </row>
    <row r="433" spans="1:2" x14ac:dyDescent="0.3">
      <c r="A433" t="s">
        <v>22</v>
      </c>
      <c r="B433" t="s">
        <v>30</v>
      </c>
    </row>
    <row r="434" spans="1:2" x14ac:dyDescent="0.3">
      <c r="A434" t="s">
        <v>37</v>
      </c>
      <c r="B434" t="s">
        <v>33</v>
      </c>
    </row>
    <row r="435" spans="1:2" x14ac:dyDescent="0.3">
      <c r="A435" t="s">
        <v>24</v>
      </c>
      <c r="B435" t="s">
        <v>30</v>
      </c>
    </row>
    <row r="436" spans="1:2" x14ac:dyDescent="0.3">
      <c r="A436" t="s">
        <v>24</v>
      </c>
      <c r="B436" t="s">
        <v>23</v>
      </c>
    </row>
    <row r="437" spans="1:2" x14ac:dyDescent="0.3">
      <c r="A437" t="s">
        <v>26</v>
      </c>
      <c r="B437" t="s">
        <v>31</v>
      </c>
    </row>
    <row r="438" spans="1:2" x14ac:dyDescent="0.3">
      <c r="A438" t="s">
        <v>37</v>
      </c>
      <c r="B438" t="s">
        <v>17</v>
      </c>
    </row>
    <row r="439" spans="1:2" x14ac:dyDescent="0.3">
      <c r="A439" t="s">
        <v>18</v>
      </c>
      <c r="B439" t="s">
        <v>17</v>
      </c>
    </row>
    <row r="440" spans="1:2" x14ac:dyDescent="0.3">
      <c r="A440" t="s">
        <v>22</v>
      </c>
      <c r="B440" t="s">
        <v>23</v>
      </c>
    </row>
    <row r="441" spans="1:2" x14ac:dyDescent="0.3">
      <c r="A441" t="s">
        <v>26</v>
      </c>
      <c r="B441" t="s">
        <v>17</v>
      </c>
    </row>
    <row r="442" spans="1:2" x14ac:dyDescent="0.3">
      <c r="A442" t="s">
        <v>22</v>
      </c>
      <c r="B442" t="s">
        <v>17</v>
      </c>
    </row>
    <row r="443" spans="1:2" x14ac:dyDescent="0.3">
      <c r="A443" t="s">
        <v>18</v>
      </c>
      <c r="B443" t="s">
        <v>17</v>
      </c>
    </row>
    <row r="444" spans="1:2" x14ac:dyDescent="0.3">
      <c r="A444" t="s">
        <v>22</v>
      </c>
      <c r="B444" t="s">
        <v>30</v>
      </c>
    </row>
    <row r="445" spans="1:2" x14ac:dyDescent="0.3">
      <c r="A445" t="s">
        <v>26</v>
      </c>
      <c r="B445" t="s">
        <v>17</v>
      </c>
    </row>
    <row r="446" spans="1:2" x14ac:dyDescent="0.3">
      <c r="A446" t="s">
        <v>37</v>
      </c>
      <c r="B446" t="s">
        <v>17</v>
      </c>
    </row>
    <row r="447" spans="1:2" x14ac:dyDescent="0.3">
      <c r="A447" t="s">
        <v>26</v>
      </c>
      <c r="B447" t="s">
        <v>17</v>
      </c>
    </row>
    <row r="448" spans="1:2" x14ac:dyDescent="0.3">
      <c r="A448" t="s">
        <v>22</v>
      </c>
      <c r="B448" t="s">
        <v>17</v>
      </c>
    </row>
    <row r="449" spans="1:2" x14ac:dyDescent="0.3">
      <c r="A449" t="s">
        <v>24</v>
      </c>
      <c r="B449" t="s">
        <v>30</v>
      </c>
    </row>
    <row r="450" spans="1:2" x14ac:dyDescent="0.3">
      <c r="A450" t="s">
        <v>26</v>
      </c>
      <c r="B450" t="s">
        <v>23</v>
      </c>
    </row>
    <row r="451" spans="1:2" x14ac:dyDescent="0.3">
      <c r="A451" t="s">
        <v>22</v>
      </c>
      <c r="B451" t="s">
        <v>17</v>
      </c>
    </row>
    <row r="452" spans="1:2" x14ac:dyDescent="0.3">
      <c r="A452" t="s">
        <v>24</v>
      </c>
      <c r="B452" t="s">
        <v>17</v>
      </c>
    </row>
    <row r="453" spans="1:2" x14ac:dyDescent="0.3">
      <c r="A453" t="s">
        <v>26</v>
      </c>
      <c r="B453" t="s">
        <v>17</v>
      </c>
    </row>
    <row r="454" spans="1:2" x14ac:dyDescent="0.3">
      <c r="A454" t="s">
        <v>26</v>
      </c>
      <c r="B454" t="s">
        <v>17</v>
      </c>
    </row>
    <row r="455" spans="1:2" x14ac:dyDescent="0.3">
      <c r="A455" t="s">
        <v>18</v>
      </c>
      <c r="B455" t="s">
        <v>23</v>
      </c>
    </row>
    <row r="456" spans="1:2" x14ac:dyDescent="0.3">
      <c r="A456" t="s">
        <v>24</v>
      </c>
      <c r="B456" t="s">
        <v>30</v>
      </c>
    </row>
    <row r="457" spans="1:2" x14ac:dyDescent="0.3">
      <c r="A457" t="s">
        <v>37</v>
      </c>
      <c r="B457" t="s">
        <v>30</v>
      </c>
    </row>
    <row r="458" spans="1:2" x14ac:dyDescent="0.3">
      <c r="A458" t="s">
        <v>37</v>
      </c>
      <c r="B458" t="s">
        <v>17</v>
      </c>
    </row>
    <row r="459" spans="1:2" x14ac:dyDescent="0.3">
      <c r="A459" t="s">
        <v>37</v>
      </c>
      <c r="B459" t="s">
        <v>30</v>
      </c>
    </row>
    <row r="460" spans="1:2" x14ac:dyDescent="0.3">
      <c r="A460" t="s">
        <v>37</v>
      </c>
      <c r="B460" t="s">
        <v>31</v>
      </c>
    </row>
    <row r="461" spans="1:2" x14ac:dyDescent="0.3">
      <c r="A461" t="s">
        <v>24</v>
      </c>
      <c r="B461" t="s">
        <v>31</v>
      </c>
    </row>
    <row r="462" spans="1:2" x14ac:dyDescent="0.3">
      <c r="A462" t="s">
        <v>37</v>
      </c>
      <c r="B462" t="s">
        <v>17</v>
      </c>
    </row>
    <row r="463" spans="1:2" x14ac:dyDescent="0.3">
      <c r="A463" t="s">
        <v>37</v>
      </c>
      <c r="B463" t="s">
        <v>31</v>
      </c>
    </row>
    <row r="464" spans="1:2" x14ac:dyDescent="0.3">
      <c r="A464" t="s">
        <v>24</v>
      </c>
      <c r="B464" t="s">
        <v>23</v>
      </c>
    </row>
    <row r="465" spans="1:2" x14ac:dyDescent="0.3">
      <c r="A465" t="s">
        <v>24</v>
      </c>
      <c r="B465" t="s">
        <v>17</v>
      </c>
    </row>
    <row r="466" spans="1:2" x14ac:dyDescent="0.3">
      <c r="A466" t="s">
        <v>26</v>
      </c>
      <c r="B466" t="s">
        <v>33</v>
      </c>
    </row>
    <row r="467" spans="1:2" x14ac:dyDescent="0.3">
      <c r="A467" t="s">
        <v>24</v>
      </c>
      <c r="B467" t="s">
        <v>23</v>
      </c>
    </row>
    <row r="468" spans="1:2" x14ac:dyDescent="0.3">
      <c r="A468" t="s">
        <v>22</v>
      </c>
      <c r="B468" t="s">
        <v>17</v>
      </c>
    </row>
    <row r="469" spans="1:2" x14ac:dyDescent="0.3">
      <c r="A469" t="s">
        <v>22</v>
      </c>
      <c r="B469" t="s">
        <v>23</v>
      </c>
    </row>
    <row r="470" spans="1:2" x14ac:dyDescent="0.3">
      <c r="A470" t="s">
        <v>22</v>
      </c>
      <c r="B470" t="s">
        <v>23</v>
      </c>
    </row>
    <row r="471" spans="1:2" x14ac:dyDescent="0.3">
      <c r="A471" t="s">
        <v>37</v>
      </c>
      <c r="B471" t="s">
        <v>23</v>
      </c>
    </row>
    <row r="472" spans="1:2" x14ac:dyDescent="0.3">
      <c r="A472" t="s">
        <v>24</v>
      </c>
      <c r="B472" t="s">
        <v>17</v>
      </c>
    </row>
    <row r="473" spans="1:2" x14ac:dyDescent="0.3">
      <c r="A473" t="s">
        <v>37</v>
      </c>
      <c r="B473" t="s">
        <v>31</v>
      </c>
    </row>
    <row r="474" spans="1:2" x14ac:dyDescent="0.3">
      <c r="A474" t="s">
        <v>37</v>
      </c>
      <c r="B474" t="s">
        <v>33</v>
      </c>
    </row>
    <row r="475" spans="1:2" x14ac:dyDescent="0.3">
      <c r="A475" t="s">
        <v>22</v>
      </c>
      <c r="B475" t="s">
        <v>17</v>
      </c>
    </row>
    <row r="476" spans="1:2" x14ac:dyDescent="0.3">
      <c r="A476" t="s">
        <v>22</v>
      </c>
      <c r="B476" t="s">
        <v>17</v>
      </c>
    </row>
    <row r="477" spans="1:2" x14ac:dyDescent="0.3">
      <c r="A477" t="s">
        <v>18</v>
      </c>
      <c r="B477" t="s">
        <v>31</v>
      </c>
    </row>
    <row r="478" spans="1:2" x14ac:dyDescent="0.3">
      <c r="A478" t="s">
        <v>24</v>
      </c>
      <c r="B478" t="s">
        <v>33</v>
      </c>
    </row>
    <row r="479" spans="1:2" x14ac:dyDescent="0.3">
      <c r="A479" t="s">
        <v>26</v>
      </c>
      <c r="B479" t="s">
        <v>31</v>
      </c>
    </row>
    <row r="480" spans="1:2" x14ac:dyDescent="0.3">
      <c r="A480" t="s">
        <v>26</v>
      </c>
      <c r="B480" t="s">
        <v>23</v>
      </c>
    </row>
    <row r="481" spans="1:2" x14ac:dyDescent="0.3">
      <c r="A481" t="s">
        <v>37</v>
      </c>
      <c r="B481" t="s">
        <v>17</v>
      </c>
    </row>
    <row r="482" spans="1:2" x14ac:dyDescent="0.3">
      <c r="A482" t="s">
        <v>26</v>
      </c>
      <c r="B482" t="s">
        <v>33</v>
      </c>
    </row>
    <row r="483" spans="1:2" x14ac:dyDescent="0.3">
      <c r="A483" t="s">
        <v>37</v>
      </c>
      <c r="B483" t="s">
        <v>33</v>
      </c>
    </row>
    <row r="484" spans="1:2" x14ac:dyDescent="0.3">
      <c r="A484" t="s">
        <v>24</v>
      </c>
      <c r="B484" t="s">
        <v>23</v>
      </c>
    </row>
    <row r="485" spans="1:2" x14ac:dyDescent="0.3">
      <c r="A485" t="s">
        <v>18</v>
      </c>
      <c r="B485" t="s">
        <v>31</v>
      </c>
    </row>
    <row r="486" spans="1:2" x14ac:dyDescent="0.3">
      <c r="A486" t="s">
        <v>22</v>
      </c>
      <c r="B486" t="s">
        <v>17</v>
      </c>
    </row>
    <row r="487" spans="1:2" x14ac:dyDescent="0.3">
      <c r="A487" t="s">
        <v>37</v>
      </c>
      <c r="B487" t="s">
        <v>31</v>
      </c>
    </row>
    <row r="488" spans="1:2" x14ac:dyDescent="0.3">
      <c r="A488" t="s">
        <v>18</v>
      </c>
      <c r="B488" t="s">
        <v>17</v>
      </c>
    </row>
    <row r="489" spans="1:2" x14ac:dyDescent="0.3">
      <c r="A489" t="s">
        <v>37</v>
      </c>
      <c r="B489" t="s">
        <v>33</v>
      </c>
    </row>
    <row r="490" spans="1:2" x14ac:dyDescent="0.3">
      <c r="A490" t="s">
        <v>18</v>
      </c>
      <c r="B490" t="s">
        <v>30</v>
      </c>
    </row>
    <row r="491" spans="1:2" x14ac:dyDescent="0.3">
      <c r="A491" t="s">
        <v>26</v>
      </c>
      <c r="B491" t="s">
        <v>17</v>
      </c>
    </row>
    <row r="492" spans="1:2" x14ac:dyDescent="0.3">
      <c r="A492" t="s">
        <v>22</v>
      </c>
      <c r="B492" t="s">
        <v>30</v>
      </c>
    </row>
    <row r="493" spans="1:2" x14ac:dyDescent="0.3">
      <c r="A493" t="s">
        <v>18</v>
      </c>
      <c r="B493" t="s">
        <v>17</v>
      </c>
    </row>
    <row r="494" spans="1:2" x14ac:dyDescent="0.3">
      <c r="A494" t="s">
        <v>24</v>
      </c>
      <c r="B494" t="s">
        <v>23</v>
      </c>
    </row>
    <row r="495" spans="1:2" x14ac:dyDescent="0.3">
      <c r="A495" t="s">
        <v>24</v>
      </c>
      <c r="B495" t="s">
        <v>33</v>
      </c>
    </row>
    <row r="496" spans="1:2" x14ac:dyDescent="0.3">
      <c r="A496" t="s">
        <v>24</v>
      </c>
      <c r="B496" t="s">
        <v>30</v>
      </c>
    </row>
    <row r="497" spans="1:2" x14ac:dyDescent="0.3">
      <c r="A497" t="s">
        <v>24</v>
      </c>
      <c r="B497" t="s">
        <v>17</v>
      </c>
    </row>
    <row r="498" spans="1:2" x14ac:dyDescent="0.3">
      <c r="A498" t="s">
        <v>24</v>
      </c>
      <c r="B498" t="s">
        <v>30</v>
      </c>
    </row>
    <row r="499" spans="1:2" x14ac:dyDescent="0.3">
      <c r="A499" t="s">
        <v>18</v>
      </c>
      <c r="B499" t="s">
        <v>23</v>
      </c>
    </row>
    <row r="500" spans="1:2" x14ac:dyDescent="0.3">
      <c r="A500" t="s">
        <v>22</v>
      </c>
      <c r="B500" t="s">
        <v>30</v>
      </c>
    </row>
    <row r="501" spans="1:2" x14ac:dyDescent="0.3">
      <c r="A501" t="s">
        <v>37</v>
      </c>
      <c r="B501" t="s">
        <v>17</v>
      </c>
    </row>
    <row r="502" spans="1:2" x14ac:dyDescent="0.3">
      <c r="A502" t="s">
        <v>26</v>
      </c>
      <c r="B502" t="s">
        <v>30</v>
      </c>
    </row>
    <row r="503" spans="1:2" x14ac:dyDescent="0.3">
      <c r="A503" t="s">
        <v>37</v>
      </c>
      <c r="B503" t="s">
        <v>23</v>
      </c>
    </row>
    <row r="504" spans="1:2" x14ac:dyDescent="0.3">
      <c r="A504" t="s">
        <v>22</v>
      </c>
      <c r="B504" t="s">
        <v>30</v>
      </c>
    </row>
    <row r="505" spans="1:2" x14ac:dyDescent="0.3">
      <c r="A505" t="s">
        <v>18</v>
      </c>
      <c r="B505" t="s">
        <v>30</v>
      </c>
    </row>
    <row r="506" spans="1:2" x14ac:dyDescent="0.3">
      <c r="A506" t="s">
        <v>22</v>
      </c>
      <c r="B506" t="s">
        <v>17</v>
      </c>
    </row>
    <row r="507" spans="1:2" x14ac:dyDescent="0.3">
      <c r="A507" t="s">
        <v>22</v>
      </c>
      <c r="B507" t="s">
        <v>33</v>
      </c>
    </row>
    <row r="508" spans="1:2" x14ac:dyDescent="0.3">
      <c r="A508" t="s">
        <v>24</v>
      </c>
      <c r="B508" t="s">
        <v>31</v>
      </c>
    </row>
    <row r="509" spans="1:2" x14ac:dyDescent="0.3">
      <c r="A509" t="s">
        <v>18</v>
      </c>
      <c r="B509" t="s">
        <v>23</v>
      </c>
    </row>
    <row r="510" spans="1:2" x14ac:dyDescent="0.3">
      <c r="A510" t="s">
        <v>26</v>
      </c>
      <c r="B510" t="s">
        <v>17</v>
      </c>
    </row>
    <row r="511" spans="1:2" x14ac:dyDescent="0.3">
      <c r="A511" t="s">
        <v>22</v>
      </c>
      <c r="B511" t="s">
        <v>17</v>
      </c>
    </row>
    <row r="512" spans="1:2" x14ac:dyDescent="0.3">
      <c r="A512" t="s">
        <v>22</v>
      </c>
      <c r="B512" t="s">
        <v>17</v>
      </c>
    </row>
    <row r="513" spans="1:2" x14ac:dyDescent="0.3">
      <c r="A513" t="s">
        <v>26</v>
      </c>
      <c r="B513" t="s">
        <v>23</v>
      </c>
    </row>
    <row r="514" spans="1:2" x14ac:dyDescent="0.3">
      <c r="A514" t="s">
        <v>18</v>
      </c>
      <c r="B514" t="s">
        <v>33</v>
      </c>
    </row>
    <row r="515" spans="1:2" x14ac:dyDescent="0.3">
      <c r="A515" t="s">
        <v>26</v>
      </c>
      <c r="B515" t="s">
        <v>17</v>
      </c>
    </row>
    <row r="516" spans="1:2" x14ac:dyDescent="0.3">
      <c r="A516" t="s">
        <v>18</v>
      </c>
      <c r="B516" t="s">
        <v>17</v>
      </c>
    </row>
    <row r="517" spans="1:2" x14ac:dyDescent="0.3">
      <c r="A517" t="s">
        <v>18</v>
      </c>
      <c r="B517" t="s">
        <v>30</v>
      </c>
    </row>
    <row r="518" spans="1:2" x14ac:dyDescent="0.3">
      <c r="A518" t="s">
        <v>24</v>
      </c>
      <c r="B518" t="s">
        <v>30</v>
      </c>
    </row>
    <row r="519" spans="1:2" x14ac:dyDescent="0.3">
      <c r="A519" t="s">
        <v>18</v>
      </c>
      <c r="B519" t="s">
        <v>17</v>
      </c>
    </row>
    <row r="520" spans="1:2" x14ac:dyDescent="0.3">
      <c r="A520" t="s">
        <v>26</v>
      </c>
      <c r="B520" t="s">
        <v>23</v>
      </c>
    </row>
    <row r="521" spans="1:2" x14ac:dyDescent="0.3">
      <c r="A521" t="s">
        <v>24</v>
      </c>
      <c r="B521" t="s">
        <v>31</v>
      </c>
    </row>
    <row r="522" spans="1:2" x14ac:dyDescent="0.3">
      <c r="A522" t="s">
        <v>22</v>
      </c>
      <c r="B522" t="s">
        <v>17</v>
      </c>
    </row>
    <row r="523" spans="1:2" x14ac:dyDescent="0.3">
      <c r="A523" t="s">
        <v>18</v>
      </c>
      <c r="B523" t="s">
        <v>33</v>
      </c>
    </row>
    <row r="524" spans="1:2" x14ac:dyDescent="0.3">
      <c r="A524" t="s">
        <v>24</v>
      </c>
      <c r="B524" t="s">
        <v>17</v>
      </c>
    </row>
    <row r="525" spans="1:2" x14ac:dyDescent="0.3">
      <c r="A525" t="s">
        <v>26</v>
      </c>
      <c r="B525" t="s">
        <v>23</v>
      </c>
    </row>
    <row r="526" spans="1:2" x14ac:dyDescent="0.3">
      <c r="A526" t="s">
        <v>26</v>
      </c>
      <c r="B526" t="s">
        <v>17</v>
      </c>
    </row>
    <row r="527" spans="1:2" x14ac:dyDescent="0.3">
      <c r="A527" t="s">
        <v>18</v>
      </c>
      <c r="B527" t="s">
        <v>17</v>
      </c>
    </row>
    <row r="528" spans="1:2" x14ac:dyDescent="0.3">
      <c r="A528" t="s">
        <v>24</v>
      </c>
      <c r="B528" t="s">
        <v>30</v>
      </c>
    </row>
    <row r="529" spans="1:2" x14ac:dyDescent="0.3">
      <c r="A529" t="s">
        <v>26</v>
      </c>
      <c r="B529" t="s">
        <v>31</v>
      </c>
    </row>
    <row r="530" spans="1:2" x14ac:dyDescent="0.3">
      <c r="A530" t="s">
        <v>18</v>
      </c>
      <c r="B530" t="s">
        <v>17</v>
      </c>
    </row>
    <row r="531" spans="1:2" x14ac:dyDescent="0.3">
      <c r="A531" t="s">
        <v>22</v>
      </c>
      <c r="B531" t="s">
        <v>31</v>
      </c>
    </row>
    <row r="532" spans="1:2" x14ac:dyDescent="0.3">
      <c r="A532" t="s">
        <v>26</v>
      </c>
      <c r="B532" t="s">
        <v>17</v>
      </c>
    </row>
    <row r="533" spans="1:2" x14ac:dyDescent="0.3">
      <c r="A533" t="s">
        <v>24</v>
      </c>
      <c r="B533" t="s">
        <v>31</v>
      </c>
    </row>
    <row r="534" spans="1:2" x14ac:dyDescent="0.3">
      <c r="A534" t="s">
        <v>26</v>
      </c>
      <c r="B534" t="s">
        <v>31</v>
      </c>
    </row>
    <row r="535" spans="1:2" x14ac:dyDescent="0.3">
      <c r="A535" t="s">
        <v>26</v>
      </c>
      <c r="B535" t="s">
        <v>17</v>
      </c>
    </row>
    <row r="536" spans="1:2" x14ac:dyDescent="0.3">
      <c r="A536" t="s">
        <v>26</v>
      </c>
      <c r="B536" t="s">
        <v>23</v>
      </c>
    </row>
    <row r="537" spans="1:2" x14ac:dyDescent="0.3">
      <c r="A537" t="s">
        <v>37</v>
      </c>
      <c r="B537" t="s">
        <v>17</v>
      </c>
    </row>
    <row r="538" spans="1:2" x14ac:dyDescent="0.3">
      <c r="A538" t="s">
        <v>26</v>
      </c>
      <c r="B538" t="s">
        <v>17</v>
      </c>
    </row>
    <row r="539" spans="1:2" x14ac:dyDescent="0.3">
      <c r="A539" t="s">
        <v>18</v>
      </c>
      <c r="B539" t="s">
        <v>31</v>
      </c>
    </row>
    <row r="540" spans="1:2" x14ac:dyDescent="0.3">
      <c r="A540" t="s">
        <v>26</v>
      </c>
      <c r="B540" t="s">
        <v>31</v>
      </c>
    </row>
    <row r="541" spans="1:2" x14ac:dyDescent="0.3">
      <c r="A541" t="s">
        <v>18</v>
      </c>
      <c r="B541" t="s">
        <v>23</v>
      </c>
    </row>
    <row r="542" spans="1:2" x14ac:dyDescent="0.3">
      <c r="A542" t="s">
        <v>37</v>
      </c>
      <c r="B542" t="s">
        <v>23</v>
      </c>
    </row>
    <row r="543" spans="1:2" x14ac:dyDescent="0.3">
      <c r="A543" t="s">
        <v>24</v>
      </c>
      <c r="B543" t="s">
        <v>33</v>
      </c>
    </row>
    <row r="544" spans="1:2" x14ac:dyDescent="0.3">
      <c r="A544" t="s">
        <v>26</v>
      </c>
      <c r="B544" t="s">
        <v>17</v>
      </c>
    </row>
    <row r="545" spans="1:2" x14ac:dyDescent="0.3">
      <c r="A545" t="s">
        <v>18</v>
      </c>
      <c r="B545" t="s">
        <v>17</v>
      </c>
    </row>
    <row r="546" spans="1:2" x14ac:dyDescent="0.3">
      <c r="A546" t="s">
        <v>26</v>
      </c>
      <c r="B546" t="s">
        <v>17</v>
      </c>
    </row>
    <row r="547" spans="1:2" x14ac:dyDescent="0.3">
      <c r="A547" t="s">
        <v>24</v>
      </c>
      <c r="B547" t="s">
        <v>33</v>
      </c>
    </row>
    <row r="548" spans="1:2" x14ac:dyDescent="0.3">
      <c r="A548" t="s">
        <v>37</v>
      </c>
      <c r="B548" t="s">
        <v>33</v>
      </c>
    </row>
    <row r="549" spans="1:2" x14ac:dyDescent="0.3">
      <c r="A549" t="s">
        <v>26</v>
      </c>
      <c r="B549" t="s">
        <v>17</v>
      </c>
    </row>
    <row r="550" spans="1:2" x14ac:dyDescent="0.3">
      <c r="A550" t="s">
        <v>26</v>
      </c>
      <c r="B550" t="s">
        <v>31</v>
      </c>
    </row>
    <row r="551" spans="1:2" x14ac:dyDescent="0.3">
      <c r="A551" t="s">
        <v>26</v>
      </c>
      <c r="B551" t="s">
        <v>17</v>
      </c>
    </row>
    <row r="552" spans="1:2" x14ac:dyDescent="0.3">
      <c r="A552" t="s">
        <v>26</v>
      </c>
      <c r="B552" t="s">
        <v>17</v>
      </c>
    </row>
    <row r="553" spans="1:2" x14ac:dyDescent="0.3">
      <c r="A553" t="s">
        <v>24</v>
      </c>
      <c r="B553" t="s">
        <v>17</v>
      </c>
    </row>
    <row r="554" spans="1:2" x14ac:dyDescent="0.3">
      <c r="A554" t="s">
        <v>22</v>
      </c>
      <c r="B554" t="s">
        <v>33</v>
      </c>
    </row>
    <row r="555" spans="1:2" x14ac:dyDescent="0.3">
      <c r="A555" t="s">
        <v>26</v>
      </c>
      <c r="B555" t="s">
        <v>33</v>
      </c>
    </row>
    <row r="556" spans="1:2" x14ac:dyDescent="0.3">
      <c r="A556" t="s">
        <v>26</v>
      </c>
      <c r="B556" t="s">
        <v>17</v>
      </c>
    </row>
    <row r="557" spans="1:2" x14ac:dyDescent="0.3">
      <c r="A557" t="s">
        <v>26</v>
      </c>
      <c r="B557" t="s">
        <v>23</v>
      </c>
    </row>
    <row r="558" spans="1:2" x14ac:dyDescent="0.3">
      <c r="A558" t="s">
        <v>26</v>
      </c>
      <c r="B558" t="s">
        <v>17</v>
      </c>
    </row>
    <row r="559" spans="1:2" x14ac:dyDescent="0.3">
      <c r="A559" t="s">
        <v>26</v>
      </c>
      <c r="B559" t="s">
        <v>17</v>
      </c>
    </row>
    <row r="560" spans="1:2" x14ac:dyDescent="0.3">
      <c r="A560" t="s">
        <v>37</v>
      </c>
      <c r="B560" t="s">
        <v>17</v>
      </c>
    </row>
    <row r="561" spans="1:2" x14ac:dyDescent="0.3">
      <c r="A561" t="s">
        <v>26</v>
      </c>
      <c r="B561" t="s">
        <v>17</v>
      </c>
    </row>
    <row r="562" spans="1:2" x14ac:dyDescent="0.3">
      <c r="A562" t="s">
        <v>18</v>
      </c>
      <c r="B562" t="s">
        <v>30</v>
      </c>
    </row>
    <row r="563" spans="1:2" x14ac:dyDescent="0.3">
      <c r="A563" t="s">
        <v>24</v>
      </c>
      <c r="B563" t="s">
        <v>23</v>
      </c>
    </row>
    <row r="564" spans="1:2" x14ac:dyDescent="0.3">
      <c r="A564" t="s">
        <v>18</v>
      </c>
      <c r="B564" t="s">
        <v>17</v>
      </c>
    </row>
    <row r="565" spans="1:2" x14ac:dyDescent="0.3">
      <c r="A565" t="s">
        <v>37</v>
      </c>
      <c r="B565" t="s">
        <v>17</v>
      </c>
    </row>
    <row r="566" spans="1:2" x14ac:dyDescent="0.3">
      <c r="A566" t="s">
        <v>37</v>
      </c>
      <c r="B566" t="s">
        <v>31</v>
      </c>
    </row>
    <row r="567" spans="1:2" x14ac:dyDescent="0.3">
      <c r="A567" t="s">
        <v>26</v>
      </c>
      <c r="B567" t="s">
        <v>17</v>
      </c>
    </row>
    <row r="568" spans="1:2" x14ac:dyDescent="0.3">
      <c r="A568" t="s">
        <v>37</v>
      </c>
      <c r="B568" t="s">
        <v>17</v>
      </c>
    </row>
    <row r="569" spans="1:2" x14ac:dyDescent="0.3">
      <c r="A569" t="s">
        <v>24</v>
      </c>
      <c r="B569" t="s">
        <v>17</v>
      </c>
    </row>
    <row r="570" spans="1:2" x14ac:dyDescent="0.3">
      <c r="A570" t="s">
        <v>18</v>
      </c>
      <c r="B570" t="s">
        <v>17</v>
      </c>
    </row>
    <row r="571" spans="1:2" x14ac:dyDescent="0.3">
      <c r="A571" t="s">
        <v>37</v>
      </c>
      <c r="B571" t="s">
        <v>23</v>
      </c>
    </row>
    <row r="572" spans="1:2" x14ac:dyDescent="0.3">
      <c r="A572" t="s">
        <v>24</v>
      </c>
      <c r="B572" t="s">
        <v>17</v>
      </c>
    </row>
    <row r="573" spans="1:2" x14ac:dyDescent="0.3">
      <c r="A573" t="s">
        <v>26</v>
      </c>
      <c r="B573" t="s">
        <v>30</v>
      </c>
    </row>
    <row r="574" spans="1:2" x14ac:dyDescent="0.3">
      <c r="A574" t="s">
        <v>22</v>
      </c>
      <c r="B574" t="s">
        <v>17</v>
      </c>
    </row>
    <row r="575" spans="1:2" x14ac:dyDescent="0.3">
      <c r="A575" t="s">
        <v>24</v>
      </c>
      <c r="B575" t="s">
        <v>17</v>
      </c>
    </row>
    <row r="576" spans="1:2" x14ac:dyDescent="0.3">
      <c r="A576" t="s">
        <v>22</v>
      </c>
      <c r="B576" t="s">
        <v>17</v>
      </c>
    </row>
    <row r="577" spans="1:2" x14ac:dyDescent="0.3">
      <c r="A577" t="s">
        <v>18</v>
      </c>
      <c r="B577" t="s">
        <v>30</v>
      </c>
    </row>
    <row r="578" spans="1:2" x14ac:dyDescent="0.3">
      <c r="A578" t="s">
        <v>37</v>
      </c>
      <c r="B578" t="s">
        <v>23</v>
      </c>
    </row>
    <row r="579" spans="1:2" x14ac:dyDescent="0.3">
      <c r="A579" t="s">
        <v>37</v>
      </c>
      <c r="B579" t="s">
        <v>23</v>
      </c>
    </row>
    <row r="580" spans="1:2" x14ac:dyDescent="0.3">
      <c r="A580" t="s">
        <v>18</v>
      </c>
      <c r="B580" t="s">
        <v>17</v>
      </c>
    </row>
    <row r="581" spans="1:2" x14ac:dyDescent="0.3">
      <c r="A581" t="s">
        <v>24</v>
      </c>
      <c r="B581" t="s">
        <v>17</v>
      </c>
    </row>
    <row r="582" spans="1:2" x14ac:dyDescent="0.3">
      <c r="A582" t="s">
        <v>22</v>
      </c>
      <c r="B582" t="s">
        <v>17</v>
      </c>
    </row>
    <row r="583" spans="1:2" x14ac:dyDescent="0.3">
      <c r="A583" t="s">
        <v>37</v>
      </c>
      <c r="B583" t="s">
        <v>17</v>
      </c>
    </row>
    <row r="584" spans="1:2" x14ac:dyDescent="0.3">
      <c r="A584" t="s">
        <v>37</v>
      </c>
      <c r="B584" t="s">
        <v>17</v>
      </c>
    </row>
    <row r="585" spans="1:2" x14ac:dyDescent="0.3">
      <c r="A585" t="s">
        <v>26</v>
      </c>
      <c r="B585" t="s">
        <v>30</v>
      </c>
    </row>
    <row r="586" spans="1:2" x14ac:dyDescent="0.3">
      <c r="A586" t="s">
        <v>26</v>
      </c>
      <c r="B586" t="s">
        <v>17</v>
      </c>
    </row>
    <row r="587" spans="1:2" x14ac:dyDescent="0.3">
      <c r="A587" t="s">
        <v>18</v>
      </c>
      <c r="B587" t="s">
        <v>17</v>
      </c>
    </row>
    <row r="588" spans="1:2" x14ac:dyDescent="0.3">
      <c r="A588" t="s">
        <v>37</v>
      </c>
      <c r="B588" t="s">
        <v>17</v>
      </c>
    </row>
    <row r="589" spans="1:2" x14ac:dyDescent="0.3">
      <c r="A589" t="s">
        <v>22</v>
      </c>
      <c r="B589" t="s">
        <v>33</v>
      </c>
    </row>
    <row r="590" spans="1:2" x14ac:dyDescent="0.3">
      <c r="A590" t="s">
        <v>37</v>
      </c>
      <c r="B590" t="s">
        <v>17</v>
      </c>
    </row>
    <row r="591" spans="1:2" x14ac:dyDescent="0.3">
      <c r="A591" t="s">
        <v>22</v>
      </c>
      <c r="B591" t="s">
        <v>17</v>
      </c>
    </row>
    <row r="592" spans="1:2" x14ac:dyDescent="0.3">
      <c r="A592" t="s">
        <v>18</v>
      </c>
      <c r="B592" t="s">
        <v>17</v>
      </c>
    </row>
    <row r="593" spans="1:2" x14ac:dyDescent="0.3">
      <c r="A593" t="s">
        <v>18</v>
      </c>
      <c r="B593" t="s">
        <v>31</v>
      </c>
    </row>
    <row r="594" spans="1:2" x14ac:dyDescent="0.3">
      <c r="A594" t="s">
        <v>26</v>
      </c>
      <c r="B594" t="s">
        <v>30</v>
      </c>
    </row>
    <row r="595" spans="1:2" x14ac:dyDescent="0.3">
      <c r="A595" t="s">
        <v>24</v>
      </c>
      <c r="B595" t="s">
        <v>17</v>
      </c>
    </row>
    <row r="596" spans="1:2" x14ac:dyDescent="0.3">
      <c r="A596" t="s">
        <v>18</v>
      </c>
      <c r="B596" t="s">
        <v>23</v>
      </c>
    </row>
    <row r="597" spans="1:2" x14ac:dyDescent="0.3">
      <c r="A597" t="s">
        <v>18</v>
      </c>
      <c r="B597" t="s">
        <v>17</v>
      </c>
    </row>
    <row r="598" spans="1:2" x14ac:dyDescent="0.3">
      <c r="A598" t="s">
        <v>22</v>
      </c>
      <c r="B598" t="s">
        <v>17</v>
      </c>
    </row>
    <row r="599" spans="1:2" x14ac:dyDescent="0.3">
      <c r="A599" t="s">
        <v>22</v>
      </c>
      <c r="B599" t="s">
        <v>30</v>
      </c>
    </row>
    <row r="600" spans="1:2" x14ac:dyDescent="0.3">
      <c r="A600" t="s">
        <v>24</v>
      </c>
      <c r="B600" t="s">
        <v>23</v>
      </c>
    </row>
    <row r="601" spans="1:2" x14ac:dyDescent="0.3">
      <c r="A601" t="s">
        <v>18</v>
      </c>
      <c r="B601" t="s">
        <v>17</v>
      </c>
    </row>
    <row r="602" spans="1:2" x14ac:dyDescent="0.3">
      <c r="A602" t="s">
        <v>24</v>
      </c>
      <c r="B602" t="s">
        <v>17</v>
      </c>
    </row>
    <row r="603" spans="1:2" x14ac:dyDescent="0.3">
      <c r="A603" t="s">
        <v>26</v>
      </c>
      <c r="B603" t="s">
        <v>30</v>
      </c>
    </row>
    <row r="604" spans="1:2" x14ac:dyDescent="0.3">
      <c r="A604" t="s">
        <v>22</v>
      </c>
      <c r="B604" t="s">
        <v>23</v>
      </c>
    </row>
    <row r="605" spans="1:2" x14ac:dyDescent="0.3">
      <c r="A605" t="s">
        <v>26</v>
      </c>
      <c r="B605" t="s">
        <v>30</v>
      </c>
    </row>
    <row r="606" spans="1:2" x14ac:dyDescent="0.3">
      <c r="A606" t="s">
        <v>26</v>
      </c>
      <c r="B606" t="s">
        <v>33</v>
      </c>
    </row>
    <row r="607" spans="1:2" x14ac:dyDescent="0.3">
      <c r="A607" t="s">
        <v>22</v>
      </c>
      <c r="B607" t="s">
        <v>30</v>
      </c>
    </row>
    <row r="608" spans="1:2" x14ac:dyDescent="0.3">
      <c r="A608" t="s">
        <v>18</v>
      </c>
      <c r="B608" t="s">
        <v>31</v>
      </c>
    </row>
    <row r="609" spans="1:2" x14ac:dyDescent="0.3">
      <c r="A609" t="s">
        <v>18</v>
      </c>
      <c r="B609" t="s">
        <v>23</v>
      </c>
    </row>
    <row r="610" spans="1:2" x14ac:dyDescent="0.3">
      <c r="A610" t="s">
        <v>18</v>
      </c>
      <c r="B610" t="s">
        <v>31</v>
      </c>
    </row>
    <row r="611" spans="1:2" x14ac:dyDescent="0.3">
      <c r="A611" t="s">
        <v>24</v>
      </c>
      <c r="B611" t="s">
        <v>17</v>
      </c>
    </row>
    <row r="612" spans="1:2" x14ac:dyDescent="0.3">
      <c r="A612" t="s">
        <v>26</v>
      </c>
      <c r="B612" t="s">
        <v>30</v>
      </c>
    </row>
    <row r="613" spans="1:2" x14ac:dyDescent="0.3">
      <c r="A613" t="s">
        <v>22</v>
      </c>
      <c r="B613" t="s">
        <v>30</v>
      </c>
    </row>
    <row r="614" spans="1:2" x14ac:dyDescent="0.3">
      <c r="A614" t="s">
        <v>26</v>
      </c>
      <c r="B614" t="s">
        <v>17</v>
      </c>
    </row>
    <row r="615" spans="1:2" x14ac:dyDescent="0.3">
      <c r="A615" t="s">
        <v>37</v>
      </c>
      <c r="B615" t="s">
        <v>17</v>
      </c>
    </row>
    <row r="616" spans="1:2" x14ac:dyDescent="0.3">
      <c r="A616" t="s">
        <v>37</v>
      </c>
      <c r="B616" t="s">
        <v>17</v>
      </c>
    </row>
    <row r="617" spans="1:2" x14ac:dyDescent="0.3">
      <c r="A617" t="s">
        <v>22</v>
      </c>
      <c r="B617" t="s">
        <v>17</v>
      </c>
    </row>
    <row r="618" spans="1:2" x14ac:dyDescent="0.3">
      <c r="A618" t="s">
        <v>24</v>
      </c>
      <c r="B618" t="s">
        <v>17</v>
      </c>
    </row>
    <row r="619" spans="1:2" x14ac:dyDescent="0.3">
      <c r="A619" t="s">
        <v>37</v>
      </c>
      <c r="B619" t="s">
        <v>17</v>
      </c>
    </row>
    <row r="620" spans="1:2" x14ac:dyDescent="0.3">
      <c r="A620" t="s">
        <v>22</v>
      </c>
      <c r="B620" t="s">
        <v>23</v>
      </c>
    </row>
    <row r="621" spans="1:2" x14ac:dyDescent="0.3">
      <c r="A621" t="s">
        <v>18</v>
      </c>
      <c r="B621" t="s">
        <v>17</v>
      </c>
    </row>
    <row r="622" spans="1:2" x14ac:dyDescent="0.3">
      <c r="A622" t="s">
        <v>37</v>
      </c>
      <c r="B622" t="s">
        <v>23</v>
      </c>
    </row>
    <row r="623" spans="1:2" x14ac:dyDescent="0.3">
      <c r="A623" t="s">
        <v>24</v>
      </c>
      <c r="B623" t="s">
        <v>30</v>
      </c>
    </row>
    <row r="624" spans="1:2" x14ac:dyDescent="0.3">
      <c r="A624" t="s">
        <v>22</v>
      </c>
      <c r="B624" t="s">
        <v>17</v>
      </c>
    </row>
    <row r="625" spans="1:2" x14ac:dyDescent="0.3">
      <c r="A625" t="s">
        <v>24</v>
      </c>
      <c r="B625" t="s">
        <v>30</v>
      </c>
    </row>
    <row r="626" spans="1:2" x14ac:dyDescent="0.3">
      <c r="A626" t="s">
        <v>37</v>
      </c>
      <c r="B626" t="s">
        <v>30</v>
      </c>
    </row>
    <row r="627" spans="1:2" x14ac:dyDescent="0.3">
      <c r="A627" t="s">
        <v>26</v>
      </c>
      <c r="B627" t="s">
        <v>33</v>
      </c>
    </row>
    <row r="628" spans="1:2" x14ac:dyDescent="0.3">
      <c r="A628" t="s">
        <v>24</v>
      </c>
      <c r="B628" t="s">
        <v>31</v>
      </c>
    </row>
    <row r="629" spans="1:2" x14ac:dyDescent="0.3">
      <c r="A629" t="s">
        <v>18</v>
      </c>
      <c r="B629" t="s">
        <v>33</v>
      </c>
    </row>
    <row r="630" spans="1:2" x14ac:dyDescent="0.3">
      <c r="A630" t="s">
        <v>37</v>
      </c>
      <c r="B630" t="s">
        <v>33</v>
      </c>
    </row>
    <row r="631" spans="1:2" x14ac:dyDescent="0.3">
      <c r="A631" t="s">
        <v>22</v>
      </c>
      <c r="B631" t="s">
        <v>23</v>
      </c>
    </row>
    <row r="632" spans="1:2" x14ac:dyDescent="0.3">
      <c r="A632" t="s">
        <v>18</v>
      </c>
      <c r="B632" t="s">
        <v>23</v>
      </c>
    </row>
    <row r="633" spans="1:2" x14ac:dyDescent="0.3">
      <c r="A633" t="s">
        <v>26</v>
      </c>
      <c r="B633" t="s">
        <v>31</v>
      </c>
    </row>
    <row r="634" spans="1:2" x14ac:dyDescent="0.3">
      <c r="A634" t="s">
        <v>18</v>
      </c>
      <c r="B634" t="s">
        <v>17</v>
      </c>
    </row>
    <row r="635" spans="1:2" x14ac:dyDescent="0.3">
      <c r="A635" t="s">
        <v>22</v>
      </c>
      <c r="B635" t="s">
        <v>17</v>
      </c>
    </row>
    <row r="636" spans="1:2" x14ac:dyDescent="0.3">
      <c r="A636" t="s">
        <v>18</v>
      </c>
      <c r="B636" t="s">
        <v>17</v>
      </c>
    </row>
    <row r="637" spans="1:2" x14ac:dyDescent="0.3">
      <c r="A637" t="s">
        <v>18</v>
      </c>
      <c r="B637" t="s">
        <v>17</v>
      </c>
    </row>
    <row r="638" spans="1:2" x14ac:dyDescent="0.3">
      <c r="A638" t="s">
        <v>26</v>
      </c>
      <c r="B638" t="s">
        <v>17</v>
      </c>
    </row>
    <row r="639" spans="1:2" x14ac:dyDescent="0.3">
      <c r="A639" t="s">
        <v>18</v>
      </c>
      <c r="B639" t="s">
        <v>23</v>
      </c>
    </row>
    <row r="640" spans="1:2" x14ac:dyDescent="0.3">
      <c r="A640" t="s">
        <v>26</v>
      </c>
      <c r="B640" t="s">
        <v>17</v>
      </c>
    </row>
    <row r="641" spans="1:2" x14ac:dyDescent="0.3">
      <c r="A641" t="s">
        <v>18</v>
      </c>
      <c r="B641" t="s">
        <v>23</v>
      </c>
    </row>
    <row r="642" spans="1:2" x14ac:dyDescent="0.3">
      <c r="A642" t="s">
        <v>18</v>
      </c>
      <c r="B642" t="s">
        <v>23</v>
      </c>
    </row>
    <row r="643" spans="1:2" x14ac:dyDescent="0.3">
      <c r="A643" t="s">
        <v>37</v>
      </c>
      <c r="B643" t="s">
        <v>30</v>
      </c>
    </row>
    <row r="644" spans="1:2" x14ac:dyDescent="0.3">
      <c r="A644" t="s">
        <v>24</v>
      </c>
      <c r="B644" t="s">
        <v>17</v>
      </c>
    </row>
    <row r="645" spans="1:2" x14ac:dyDescent="0.3">
      <c r="A645" t="s">
        <v>18</v>
      </c>
      <c r="B645" t="s">
        <v>17</v>
      </c>
    </row>
    <row r="646" spans="1:2" x14ac:dyDescent="0.3">
      <c r="A646" t="s">
        <v>18</v>
      </c>
      <c r="B646" t="s">
        <v>30</v>
      </c>
    </row>
    <row r="647" spans="1:2" x14ac:dyDescent="0.3">
      <c r="A647" t="s">
        <v>37</v>
      </c>
      <c r="B647" t="s">
        <v>17</v>
      </c>
    </row>
    <row r="648" spans="1:2" x14ac:dyDescent="0.3">
      <c r="A648" t="s">
        <v>24</v>
      </c>
      <c r="B648" t="s">
        <v>17</v>
      </c>
    </row>
    <row r="649" spans="1:2" x14ac:dyDescent="0.3">
      <c r="A649" t="s">
        <v>26</v>
      </c>
      <c r="B649" t="s">
        <v>31</v>
      </c>
    </row>
    <row r="650" spans="1:2" x14ac:dyDescent="0.3">
      <c r="A650" t="s">
        <v>37</v>
      </c>
      <c r="B650" t="s">
        <v>17</v>
      </c>
    </row>
    <row r="651" spans="1:2" x14ac:dyDescent="0.3">
      <c r="A651" t="s">
        <v>37</v>
      </c>
      <c r="B651" t="s">
        <v>33</v>
      </c>
    </row>
    <row r="652" spans="1:2" x14ac:dyDescent="0.3">
      <c r="A652" t="s">
        <v>18</v>
      </c>
      <c r="B652" t="s">
        <v>33</v>
      </c>
    </row>
    <row r="653" spans="1:2" x14ac:dyDescent="0.3">
      <c r="A653" t="s">
        <v>22</v>
      </c>
      <c r="B653" t="s">
        <v>33</v>
      </c>
    </row>
    <row r="654" spans="1:2" x14ac:dyDescent="0.3">
      <c r="A654" t="s">
        <v>26</v>
      </c>
      <c r="B654" t="s">
        <v>17</v>
      </c>
    </row>
    <row r="655" spans="1:2" x14ac:dyDescent="0.3">
      <c r="A655" t="s">
        <v>37</v>
      </c>
      <c r="B655" t="s">
        <v>33</v>
      </c>
    </row>
    <row r="656" spans="1:2" x14ac:dyDescent="0.3">
      <c r="A656" t="s">
        <v>18</v>
      </c>
      <c r="B656" t="s">
        <v>33</v>
      </c>
    </row>
    <row r="657" spans="1:2" x14ac:dyDescent="0.3">
      <c r="A657" t="s">
        <v>18</v>
      </c>
      <c r="B657" t="s">
        <v>33</v>
      </c>
    </row>
    <row r="658" spans="1:2" x14ac:dyDescent="0.3">
      <c r="A658" t="s">
        <v>37</v>
      </c>
      <c r="B658" t="s">
        <v>33</v>
      </c>
    </row>
    <row r="659" spans="1:2" x14ac:dyDescent="0.3">
      <c r="A659" t="s">
        <v>24</v>
      </c>
      <c r="B659" t="s">
        <v>17</v>
      </c>
    </row>
    <row r="660" spans="1:2" x14ac:dyDescent="0.3">
      <c r="A660" t="s">
        <v>18</v>
      </c>
      <c r="B660" t="s">
        <v>33</v>
      </c>
    </row>
    <row r="661" spans="1:2" x14ac:dyDescent="0.3">
      <c r="A661" t="s">
        <v>37</v>
      </c>
      <c r="B661" t="s">
        <v>31</v>
      </c>
    </row>
    <row r="662" spans="1:2" x14ac:dyDescent="0.3">
      <c r="A662" t="s">
        <v>24</v>
      </c>
      <c r="B662" t="s">
        <v>30</v>
      </c>
    </row>
    <row r="663" spans="1:2" x14ac:dyDescent="0.3">
      <c r="A663" t="s">
        <v>18</v>
      </c>
      <c r="B663" t="s">
        <v>23</v>
      </c>
    </row>
    <row r="664" spans="1:2" x14ac:dyDescent="0.3">
      <c r="A664" t="s">
        <v>37</v>
      </c>
      <c r="B664" t="s">
        <v>30</v>
      </c>
    </row>
    <row r="665" spans="1:2" x14ac:dyDescent="0.3">
      <c r="A665" t="s">
        <v>24</v>
      </c>
      <c r="B665" t="s">
        <v>17</v>
      </c>
    </row>
    <row r="666" spans="1:2" x14ac:dyDescent="0.3">
      <c r="A666" t="s">
        <v>26</v>
      </c>
      <c r="B666" t="s">
        <v>17</v>
      </c>
    </row>
    <row r="667" spans="1:2" x14ac:dyDescent="0.3">
      <c r="A667" t="s">
        <v>26</v>
      </c>
      <c r="B667" t="s">
        <v>23</v>
      </c>
    </row>
    <row r="668" spans="1:2" x14ac:dyDescent="0.3">
      <c r="A668" t="s">
        <v>24</v>
      </c>
      <c r="B668" t="s">
        <v>31</v>
      </c>
    </row>
    <row r="669" spans="1:2" x14ac:dyDescent="0.3">
      <c r="A669" t="s">
        <v>22</v>
      </c>
      <c r="B669" t="s">
        <v>31</v>
      </c>
    </row>
    <row r="670" spans="1:2" x14ac:dyDescent="0.3">
      <c r="A670" t="s">
        <v>22</v>
      </c>
      <c r="B670" t="s">
        <v>31</v>
      </c>
    </row>
    <row r="671" spans="1:2" x14ac:dyDescent="0.3">
      <c r="A671" t="s">
        <v>26</v>
      </c>
      <c r="B671" t="s">
        <v>33</v>
      </c>
    </row>
    <row r="672" spans="1:2" x14ac:dyDescent="0.3">
      <c r="A672" t="s">
        <v>22</v>
      </c>
      <c r="B672" t="s">
        <v>17</v>
      </c>
    </row>
    <row r="673" spans="1:2" x14ac:dyDescent="0.3">
      <c r="A673" t="s">
        <v>18</v>
      </c>
      <c r="B673" t="s">
        <v>23</v>
      </c>
    </row>
    <row r="674" spans="1:2" x14ac:dyDescent="0.3">
      <c r="A674" t="s">
        <v>26</v>
      </c>
      <c r="B674" t="s">
        <v>17</v>
      </c>
    </row>
    <row r="675" spans="1:2" x14ac:dyDescent="0.3">
      <c r="A675" t="s">
        <v>26</v>
      </c>
      <c r="B675" t="s">
        <v>17</v>
      </c>
    </row>
    <row r="676" spans="1:2" x14ac:dyDescent="0.3">
      <c r="A676" t="s">
        <v>18</v>
      </c>
      <c r="B676" t="s">
        <v>23</v>
      </c>
    </row>
    <row r="677" spans="1:2" x14ac:dyDescent="0.3">
      <c r="A677" t="s">
        <v>37</v>
      </c>
      <c r="B677" t="s">
        <v>17</v>
      </c>
    </row>
    <row r="678" spans="1:2" x14ac:dyDescent="0.3">
      <c r="A678" t="s">
        <v>22</v>
      </c>
      <c r="B678" t="s">
        <v>31</v>
      </c>
    </row>
    <row r="679" spans="1:2" x14ac:dyDescent="0.3">
      <c r="A679" t="s">
        <v>22</v>
      </c>
      <c r="B679" t="s">
        <v>23</v>
      </c>
    </row>
    <row r="680" spans="1:2" x14ac:dyDescent="0.3">
      <c r="A680" t="s">
        <v>37</v>
      </c>
      <c r="B680" t="s">
        <v>17</v>
      </c>
    </row>
    <row r="681" spans="1:2" x14ac:dyDescent="0.3">
      <c r="A681" t="s">
        <v>26</v>
      </c>
      <c r="B681" t="s">
        <v>17</v>
      </c>
    </row>
    <row r="682" spans="1:2" x14ac:dyDescent="0.3">
      <c r="A682" t="s">
        <v>37</v>
      </c>
      <c r="B682" t="s">
        <v>30</v>
      </c>
    </row>
    <row r="683" spans="1:2" x14ac:dyDescent="0.3">
      <c r="A683" t="s">
        <v>24</v>
      </c>
      <c r="B683" t="s">
        <v>17</v>
      </c>
    </row>
    <row r="684" spans="1:2" x14ac:dyDescent="0.3">
      <c r="A684" t="s">
        <v>26</v>
      </c>
      <c r="B684" t="s">
        <v>30</v>
      </c>
    </row>
    <row r="685" spans="1:2" x14ac:dyDescent="0.3">
      <c r="A685" t="s">
        <v>24</v>
      </c>
      <c r="B685" t="s">
        <v>23</v>
      </c>
    </row>
    <row r="686" spans="1:2" x14ac:dyDescent="0.3">
      <c r="A686" t="s">
        <v>24</v>
      </c>
      <c r="B686" t="s">
        <v>31</v>
      </c>
    </row>
    <row r="687" spans="1:2" x14ac:dyDescent="0.3">
      <c r="A687" t="s">
        <v>37</v>
      </c>
      <c r="B687" t="s">
        <v>33</v>
      </c>
    </row>
    <row r="688" spans="1:2" x14ac:dyDescent="0.3">
      <c r="A688" t="s">
        <v>37</v>
      </c>
      <c r="B688" t="s">
        <v>31</v>
      </c>
    </row>
    <row r="689" spans="1:2" x14ac:dyDescent="0.3">
      <c r="A689" t="s">
        <v>37</v>
      </c>
      <c r="B689" t="s">
        <v>30</v>
      </c>
    </row>
    <row r="690" spans="1:2" x14ac:dyDescent="0.3">
      <c r="A690" t="s">
        <v>18</v>
      </c>
      <c r="B690" t="s">
        <v>17</v>
      </c>
    </row>
    <row r="691" spans="1:2" x14ac:dyDescent="0.3">
      <c r="A691" t="s">
        <v>22</v>
      </c>
      <c r="B691" t="s">
        <v>23</v>
      </c>
    </row>
    <row r="692" spans="1:2" x14ac:dyDescent="0.3">
      <c r="A692" t="s">
        <v>37</v>
      </c>
      <c r="B692" t="s">
        <v>17</v>
      </c>
    </row>
    <row r="693" spans="1:2" x14ac:dyDescent="0.3">
      <c r="A693" t="s">
        <v>22</v>
      </c>
      <c r="B693" t="s">
        <v>23</v>
      </c>
    </row>
    <row r="694" spans="1:2" x14ac:dyDescent="0.3">
      <c r="A694" t="s">
        <v>18</v>
      </c>
      <c r="B694" t="s">
        <v>31</v>
      </c>
    </row>
    <row r="695" spans="1:2" x14ac:dyDescent="0.3">
      <c r="A695" t="s">
        <v>22</v>
      </c>
      <c r="B695" t="s">
        <v>31</v>
      </c>
    </row>
    <row r="696" spans="1:2" x14ac:dyDescent="0.3">
      <c r="A696" t="s">
        <v>24</v>
      </c>
      <c r="B696" t="s">
        <v>17</v>
      </c>
    </row>
    <row r="697" spans="1:2" x14ac:dyDescent="0.3">
      <c r="A697" t="s">
        <v>24</v>
      </c>
      <c r="B697" t="s">
        <v>33</v>
      </c>
    </row>
    <row r="698" spans="1:2" x14ac:dyDescent="0.3">
      <c r="A698" t="s">
        <v>26</v>
      </c>
      <c r="B698" t="s">
        <v>33</v>
      </c>
    </row>
    <row r="699" spans="1:2" x14ac:dyDescent="0.3">
      <c r="A699" t="s">
        <v>26</v>
      </c>
      <c r="B699" t="s">
        <v>17</v>
      </c>
    </row>
    <row r="700" spans="1:2" x14ac:dyDescent="0.3">
      <c r="A700" t="s">
        <v>18</v>
      </c>
      <c r="B700" t="s">
        <v>17</v>
      </c>
    </row>
    <row r="701" spans="1:2" x14ac:dyDescent="0.3">
      <c r="A701" t="s">
        <v>37</v>
      </c>
      <c r="B701" t="s">
        <v>30</v>
      </c>
    </row>
    <row r="702" spans="1:2" x14ac:dyDescent="0.3">
      <c r="A702" t="s">
        <v>24</v>
      </c>
      <c r="B702" t="s">
        <v>17</v>
      </c>
    </row>
    <row r="703" spans="1:2" x14ac:dyDescent="0.3">
      <c r="A703" t="s">
        <v>37</v>
      </c>
      <c r="B703" t="s">
        <v>31</v>
      </c>
    </row>
    <row r="704" spans="1:2" x14ac:dyDescent="0.3">
      <c r="A704" t="s">
        <v>24</v>
      </c>
      <c r="B704" t="s">
        <v>31</v>
      </c>
    </row>
    <row r="705" spans="1:2" x14ac:dyDescent="0.3">
      <c r="A705" t="s">
        <v>24</v>
      </c>
      <c r="B705" t="s">
        <v>17</v>
      </c>
    </row>
    <row r="706" spans="1:2" x14ac:dyDescent="0.3">
      <c r="A706" t="s">
        <v>22</v>
      </c>
      <c r="B706" t="s">
        <v>33</v>
      </c>
    </row>
    <row r="707" spans="1:2" x14ac:dyDescent="0.3">
      <c r="A707" t="s">
        <v>18</v>
      </c>
      <c r="B707" t="s">
        <v>17</v>
      </c>
    </row>
    <row r="708" spans="1:2" x14ac:dyDescent="0.3">
      <c r="A708" t="s">
        <v>37</v>
      </c>
      <c r="B708" t="s">
        <v>17</v>
      </c>
    </row>
    <row r="709" spans="1:2" x14ac:dyDescent="0.3">
      <c r="A709" t="s">
        <v>22</v>
      </c>
      <c r="B709" t="s">
        <v>17</v>
      </c>
    </row>
    <row r="710" spans="1:2" x14ac:dyDescent="0.3">
      <c r="A710" t="s">
        <v>37</v>
      </c>
      <c r="B710" t="s">
        <v>17</v>
      </c>
    </row>
    <row r="711" spans="1:2" x14ac:dyDescent="0.3">
      <c r="A711" t="s">
        <v>37</v>
      </c>
      <c r="B711" t="s">
        <v>17</v>
      </c>
    </row>
    <row r="712" spans="1:2" x14ac:dyDescent="0.3">
      <c r="A712" t="s">
        <v>24</v>
      </c>
      <c r="B712" t="s">
        <v>17</v>
      </c>
    </row>
    <row r="713" spans="1:2" x14ac:dyDescent="0.3">
      <c r="A713" t="s">
        <v>22</v>
      </c>
      <c r="B713" t="s">
        <v>17</v>
      </c>
    </row>
    <row r="714" spans="1:2" x14ac:dyDescent="0.3">
      <c r="A714" t="s">
        <v>18</v>
      </c>
      <c r="B714" t="s">
        <v>17</v>
      </c>
    </row>
    <row r="715" spans="1:2" x14ac:dyDescent="0.3">
      <c r="A715" t="s">
        <v>18</v>
      </c>
      <c r="B715" t="s">
        <v>17</v>
      </c>
    </row>
    <row r="716" spans="1:2" x14ac:dyDescent="0.3">
      <c r="A716" t="s">
        <v>22</v>
      </c>
      <c r="B716" t="s">
        <v>33</v>
      </c>
    </row>
    <row r="717" spans="1:2" x14ac:dyDescent="0.3">
      <c r="A717" t="s">
        <v>24</v>
      </c>
      <c r="B717" t="s">
        <v>23</v>
      </c>
    </row>
    <row r="718" spans="1:2" x14ac:dyDescent="0.3">
      <c r="A718" t="s">
        <v>37</v>
      </c>
      <c r="B718" t="s">
        <v>17</v>
      </c>
    </row>
    <row r="719" spans="1:2" x14ac:dyDescent="0.3">
      <c r="A719" t="s">
        <v>18</v>
      </c>
      <c r="B719" t="s">
        <v>23</v>
      </c>
    </row>
    <row r="720" spans="1:2" x14ac:dyDescent="0.3">
      <c r="A720" t="s">
        <v>26</v>
      </c>
      <c r="B720" t="s">
        <v>30</v>
      </c>
    </row>
    <row r="721" spans="1:2" x14ac:dyDescent="0.3">
      <c r="A721" t="s">
        <v>18</v>
      </c>
      <c r="B721" t="s">
        <v>30</v>
      </c>
    </row>
    <row r="722" spans="1:2" x14ac:dyDescent="0.3">
      <c r="A722" t="s">
        <v>37</v>
      </c>
      <c r="B722" t="s">
        <v>23</v>
      </c>
    </row>
    <row r="723" spans="1:2" x14ac:dyDescent="0.3">
      <c r="A723" t="s">
        <v>37</v>
      </c>
      <c r="B723" t="s">
        <v>17</v>
      </c>
    </row>
    <row r="724" spans="1:2" x14ac:dyDescent="0.3">
      <c r="A724" t="s">
        <v>22</v>
      </c>
      <c r="B724" t="s">
        <v>31</v>
      </c>
    </row>
    <row r="725" spans="1:2" x14ac:dyDescent="0.3">
      <c r="A725" t="s">
        <v>26</v>
      </c>
      <c r="B725" t="s">
        <v>17</v>
      </c>
    </row>
    <row r="726" spans="1:2" x14ac:dyDescent="0.3">
      <c r="A726" t="s">
        <v>22</v>
      </c>
      <c r="B726" t="s">
        <v>17</v>
      </c>
    </row>
    <row r="727" spans="1:2" x14ac:dyDescent="0.3">
      <c r="A727" t="s">
        <v>24</v>
      </c>
      <c r="B727" t="s">
        <v>17</v>
      </c>
    </row>
    <row r="728" spans="1:2" x14ac:dyDescent="0.3">
      <c r="A728" t="s">
        <v>37</v>
      </c>
      <c r="B728" t="s">
        <v>30</v>
      </c>
    </row>
    <row r="729" spans="1:2" x14ac:dyDescent="0.3">
      <c r="A729" t="s">
        <v>24</v>
      </c>
      <c r="B729" t="s">
        <v>17</v>
      </c>
    </row>
    <row r="730" spans="1:2" x14ac:dyDescent="0.3">
      <c r="A730" t="s">
        <v>18</v>
      </c>
      <c r="B730" t="s">
        <v>30</v>
      </c>
    </row>
    <row r="731" spans="1:2" x14ac:dyDescent="0.3">
      <c r="A731" t="s">
        <v>37</v>
      </c>
      <c r="B731" t="s">
        <v>17</v>
      </c>
    </row>
    <row r="732" spans="1:2" x14ac:dyDescent="0.3">
      <c r="A732" t="s">
        <v>18</v>
      </c>
      <c r="B732" t="s">
        <v>31</v>
      </c>
    </row>
    <row r="733" spans="1:2" x14ac:dyDescent="0.3">
      <c r="A733" t="s">
        <v>37</v>
      </c>
      <c r="B733" t="s">
        <v>31</v>
      </c>
    </row>
    <row r="734" spans="1:2" x14ac:dyDescent="0.3">
      <c r="A734" t="s">
        <v>22</v>
      </c>
      <c r="B734" t="s">
        <v>23</v>
      </c>
    </row>
    <row r="735" spans="1:2" x14ac:dyDescent="0.3">
      <c r="A735" t="s">
        <v>24</v>
      </c>
      <c r="B735" t="s">
        <v>17</v>
      </c>
    </row>
    <row r="736" spans="1:2" x14ac:dyDescent="0.3">
      <c r="A736" t="s">
        <v>26</v>
      </c>
      <c r="B736" t="s">
        <v>17</v>
      </c>
    </row>
    <row r="737" spans="1:2" x14ac:dyDescent="0.3">
      <c r="A737" t="s">
        <v>24</v>
      </c>
      <c r="B737" t="s">
        <v>33</v>
      </c>
    </row>
    <row r="738" spans="1:2" x14ac:dyDescent="0.3">
      <c r="A738" t="s">
        <v>24</v>
      </c>
      <c r="B738" t="s">
        <v>17</v>
      </c>
    </row>
    <row r="739" spans="1:2" x14ac:dyDescent="0.3">
      <c r="A739" t="s">
        <v>18</v>
      </c>
      <c r="B739" t="s">
        <v>23</v>
      </c>
    </row>
    <row r="740" spans="1:2" x14ac:dyDescent="0.3">
      <c r="A740" t="s">
        <v>26</v>
      </c>
      <c r="B740" t="s">
        <v>17</v>
      </c>
    </row>
    <row r="741" spans="1:2" x14ac:dyDescent="0.3">
      <c r="A741" t="s">
        <v>24</v>
      </c>
      <c r="B741" t="s">
        <v>33</v>
      </c>
    </row>
    <row r="742" spans="1:2" x14ac:dyDescent="0.3">
      <c r="A742" t="s">
        <v>26</v>
      </c>
      <c r="B742" t="s">
        <v>17</v>
      </c>
    </row>
    <row r="743" spans="1:2" x14ac:dyDescent="0.3">
      <c r="A743" t="s">
        <v>18</v>
      </c>
      <c r="B743" t="s">
        <v>33</v>
      </c>
    </row>
    <row r="744" spans="1:2" x14ac:dyDescent="0.3">
      <c r="A744" t="s">
        <v>24</v>
      </c>
      <c r="B744" t="s">
        <v>31</v>
      </c>
    </row>
    <row r="745" spans="1:2" x14ac:dyDescent="0.3">
      <c r="A745" t="s">
        <v>26</v>
      </c>
      <c r="B745" t="s">
        <v>17</v>
      </c>
    </row>
    <row r="746" spans="1:2" x14ac:dyDescent="0.3">
      <c r="A746" t="s">
        <v>37</v>
      </c>
      <c r="B746" t="s">
        <v>17</v>
      </c>
    </row>
    <row r="747" spans="1:2" x14ac:dyDescent="0.3">
      <c r="A747" t="s">
        <v>24</v>
      </c>
      <c r="B747" t="s">
        <v>17</v>
      </c>
    </row>
    <row r="748" spans="1:2" x14ac:dyDescent="0.3">
      <c r="A748" t="s">
        <v>24</v>
      </c>
      <c r="B748" t="s">
        <v>17</v>
      </c>
    </row>
    <row r="749" spans="1:2" x14ac:dyDescent="0.3">
      <c r="A749" t="s">
        <v>24</v>
      </c>
      <c r="B749" t="s">
        <v>17</v>
      </c>
    </row>
    <row r="750" spans="1:2" x14ac:dyDescent="0.3">
      <c r="A750" t="s">
        <v>37</v>
      </c>
      <c r="B750" t="s">
        <v>23</v>
      </c>
    </row>
    <row r="751" spans="1:2" x14ac:dyDescent="0.3">
      <c r="A751" t="s">
        <v>22</v>
      </c>
      <c r="B751" t="s">
        <v>23</v>
      </c>
    </row>
    <row r="752" spans="1:2" x14ac:dyDescent="0.3">
      <c r="A752" t="s">
        <v>37</v>
      </c>
      <c r="B752" t="s">
        <v>23</v>
      </c>
    </row>
    <row r="753" spans="1:2" x14ac:dyDescent="0.3">
      <c r="A753" t="s">
        <v>24</v>
      </c>
      <c r="B753" t="s">
        <v>17</v>
      </c>
    </row>
    <row r="754" spans="1:2" x14ac:dyDescent="0.3">
      <c r="A754" t="s">
        <v>22</v>
      </c>
      <c r="B754" t="s">
        <v>17</v>
      </c>
    </row>
    <row r="755" spans="1:2" x14ac:dyDescent="0.3">
      <c r="A755" t="s">
        <v>26</v>
      </c>
      <c r="B755" t="s">
        <v>17</v>
      </c>
    </row>
    <row r="756" spans="1:2" x14ac:dyDescent="0.3">
      <c r="A756" t="s">
        <v>37</v>
      </c>
      <c r="B756" t="s">
        <v>23</v>
      </c>
    </row>
    <row r="757" spans="1:2" x14ac:dyDescent="0.3">
      <c r="A757" t="s">
        <v>26</v>
      </c>
      <c r="B757" t="s">
        <v>30</v>
      </c>
    </row>
    <row r="758" spans="1:2" x14ac:dyDescent="0.3">
      <c r="A758" t="s">
        <v>18</v>
      </c>
      <c r="B758" t="s">
        <v>30</v>
      </c>
    </row>
    <row r="759" spans="1:2" x14ac:dyDescent="0.3">
      <c r="A759" t="s">
        <v>26</v>
      </c>
      <c r="B759" t="s">
        <v>17</v>
      </c>
    </row>
    <row r="760" spans="1:2" x14ac:dyDescent="0.3">
      <c r="A760" t="s">
        <v>26</v>
      </c>
      <c r="B760" t="s">
        <v>30</v>
      </c>
    </row>
    <row r="761" spans="1:2" x14ac:dyDescent="0.3">
      <c r="A761" t="s">
        <v>24</v>
      </c>
      <c r="B761" t="s">
        <v>30</v>
      </c>
    </row>
    <row r="762" spans="1:2" x14ac:dyDescent="0.3">
      <c r="A762" t="s">
        <v>24</v>
      </c>
      <c r="B762" t="s">
        <v>17</v>
      </c>
    </row>
    <row r="763" spans="1:2" x14ac:dyDescent="0.3">
      <c r="A763" t="s">
        <v>18</v>
      </c>
      <c r="B763" t="s">
        <v>23</v>
      </c>
    </row>
    <row r="764" spans="1:2" x14ac:dyDescent="0.3">
      <c r="A764" t="s">
        <v>18</v>
      </c>
      <c r="B764" t="s">
        <v>17</v>
      </c>
    </row>
    <row r="765" spans="1:2" x14ac:dyDescent="0.3">
      <c r="A765" t="s">
        <v>37</v>
      </c>
      <c r="B765" t="s">
        <v>17</v>
      </c>
    </row>
    <row r="766" spans="1:2" x14ac:dyDescent="0.3">
      <c r="A766" t="s">
        <v>18</v>
      </c>
      <c r="B766" t="s">
        <v>17</v>
      </c>
    </row>
    <row r="767" spans="1:2" x14ac:dyDescent="0.3">
      <c r="A767" t="s">
        <v>24</v>
      </c>
      <c r="B767" t="s">
        <v>30</v>
      </c>
    </row>
    <row r="768" spans="1:2" x14ac:dyDescent="0.3">
      <c r="A768" t="s">
        <v>22</v>
      </c>
      <c r="B768" t="s">
        <v>30</v>
      </c>
    </row>
    <row r="769" spans="1:2" x14ac:dyDescent="0.3">
      <c r="A769" t="s">
        <v>18</v>
      </c>
      <c r="B769" t="s">
        <v>17</v>
      </c>
    </row>
    <row r="770" spans="1:2" x14ac:dyDescent="0.3">
      <c r="A770" t="s">
        <v>18</v>
      </c>
      <c r="B770" t="s">
        <v>17</v>
      </c>
    </row>
    <row r="771" spans="1:2" x14ac:dyDescent="0.3">
      <c r="A771" t="s">
        <v>37</v>
      </c>
      <c r="B771" t="s">
        <v>17</v>
      </c>
    </row>
    <row r="772" spans="1:2" x14ac:dyDescent="0.3">
      <c r="A772" t="s">
        <v>24</v>
      </c>
      <c r="B772" t="s">
        <v>33</v>
      </c>
    </row>
    <row r="773" spans="1:2" x14ac:dyDescent="0.3">
      <c r="A773" t="s">
        <v>24</v>
      </c>
      <c r="B773" t="s">
        <v>33</v>
      </c>
    </row>
    <row r="774" spans="1:2" x14ac:dyDescent="0.3">
      <c r="A774" t="s">
        <v>24</v>
      </c>
      <c r="B774" t="s">
        <v>17</v>
      </c>
    </row>
    <row r="775" spans="1:2" x14ac:dyDescent="0.3">
      <c r="A775" t="s">
        <v>24</v>
      </c>
      <c r="B775" t="s">
        <v>33</v>
      </c>
    </row>
    <row r="776" spans="1:2" x14ac:dyDescent="0.3">
      <c r="A776" t="s">
        <v>22</v>
      </c>
      <c r="B776" t="s">
        <v>31</v>
      </c>
    </row>
    <row r="777" spans="1:2" x14ac:dyDescent="0.3">
      <c r="A777" t="s">
        <v>18</v>
      </c>
      <c r="B777" t="s">
        <v>33</v>
      </c>
    </row>
    <row r="778" spans="1:2" x14ac:dyDescent="0.3">
      <c r="A778" t="s">
        <v>24</v>
      </c>
      <c r="B778" t="s">
        <v>33</v>
      </c>
    </row>
    <row r="779" spans="1:2" x14ac:dyDescent="0.3">
      <c r="A779" t="s">
        <v>22</v>
      </c>
      <c r="B779" t="s">
        <v>31</v>
      </c>
    </row>
    <row r="780" spans="1:2" x14ac:dyDescent="0.3">
      <c r="A780" t="s">
        <v>24</v>
      </c>
      <c r="B780" t="s">
        <v>23</v>
      </c>
    </row>
    <row r="781" spans="1:2" x14ac:dyDescent="0.3">
      <c r="A781" t="s">
        <v>37</v>
      </c>
      <c r="B781" t="s">
        <v>23</v>
      </c>
    </row>
    <row r="782" spans="1:2" x14ac:dyDescent="0.3">
      <c r="A782" t="s">
        <v>24</v>
      </c>
      <c r="B782" t="s">
        <v>17</v>
      </c>
    </row>
    <row r="783" spans="1:2" x14ac:dyDescent="0.3">
      <c r="A783" t="s">
        <v>22</v>
      </c>
      <c r="B783" t="s">
        <v>33</v>
      </c>
    </row>
    <row r="784" spans="1:2" x14ac:dyDescent="0.3">
      <c r="A784" t="s">
        <v>18</v>
      </c>
      <c r="B784" t="s">
        <v>33</v>
      </c>
    </row>
    <row r="785" spans="1:2" x14ac:dyDescent="0.3">
      <c r="A785" t="s">
        <v>26</v>
      </c>
      <c r="B785" t="s">
        <v>30</v>
      </c>
    </row>
    <row r="786" spans="1:2" x14ac:dyDescent="0.3">
      <c r="A786" t="s">
        <v>22</v>
      </c>
      <c r="B786" t="s">
        <v>17</v>
      </c>
    </row>
    <row r="787" spans="1:2" x14ac:dyDescent="0.3">
      <c r="A787" t="s">
        <v>24</v>
      </c>
      <c r="B787" t="s">
        <v>33</v>
      </c>
    </row>
    <row r="788" spans="1:2" x14ac:dyDescent="0.3">
      <c r="A788" t="s">
        <v>26</v>
      </c>
      <c r="B788" t="s">
        <v>17</v>
      </c>
    </row>
    <row r="789" spans="1:2" x14ac:dyDescent="0.3">
      <c r="A789" t="s">
        <v>22</v>
      </c>
      <c r="B789" t="s">
        <v>31</v>
      </c>
    </row>
    <row r="790" spans="1:2" x14ac:dyDescent="0.3">
      <c r="A790" t="s">
        <v>24</v>
      </c>
      <c r="B790" t="s">
        <v>17</v>
      </c>
    </row>
    <row r="791" spans="1:2" x14ac:dyDescent="0.3">
      <c r="A791" t="s">
        <v>37</v>
      </c>
      <c r="B791" t="s">
        <v>17</v>
      </c>
    </row>
    <row r="792" spans="1:2" x14ac:dyDescent="0.3">
      <c r="A792" t="s">
        <v>37</v>
      </c>
      <c r="B792" t="s">
        <v>33</v>
      </c>
    </row>
    <row r="793" spans="1:2" x14ac:dyDescent="0.3">
      <c r="A793" t="s">
        <v>22</v>
      </c>
      <c r="B793" t="s">
        <v>17</v>
      </c>
    </row>
    <row r="794" spans="1:2" x14ac:dyDescent="0.3">
      <c r="A794" t="s">
        <v>18</v>
      </c>
      <c r="B794" t="s">
        <v>30</v>
      </c>
    </row>
    <row r="795" spans="1:2" x14ac:dyDescent="0.3">
      <c r="A795" t="s">
        <v>24</v>
      </c>
      <c r="B795" t="s">
        <v>33</v>
      </c>
    </row>
    <row r="796" spans="1:2" x14ac:dyDescent="0.3">
      <c r="A796" t="s">
        <v>26</v>
      </c>
      <c r="B796" t="s">
        <v>33</v>
      </c>
    </row>
    <row r="797" spans="1:2" x14ac:dyDescent="0.3">
      <c r="A797" t="s">
        <v>18</v>
      </c>
      <c r="B797" t="s">
        <v>31</v>
      </c>
    </row>
    <row r="798" spans="1:2" x14ac:dyDescent="0.3">
      <c r="A798" t="s">
        <v>24</v>
      </c>
      <c r="B798" t="s">
        <v>17</v>
      </c>
    </row>
    <row r="799" spans="1:2" x14ac:dyDescent="0.3">
      <c r="A799" t="s">
        <v>22</v>
      </c>
      <c r="B799" t="s">
        <v>31</v>
      </c>
    </row>
    <row r="800" spans="1:2" x14ac:dyDescent="0.3">
      <c r="A800" t="s">
        <v>18</v>
      </c>
      <c r="B800" t="s">
        <v>17</v>
      </c>
    </row>
    <row r="801" spans="1:2" x14ac:dyDescent="0.3">
      <c r="A801" t="s">
        <v>37</v>
      </c>
      <c r="B801" t="s">
        <v>33</v>
      </c>
    </row>
    <row r="802" spans="1:2" x14ac:dyDescent="0.3">
      <c r="A802" t="s">
        <v>18</v>
      </c>
      <c r="B802" t="s">
        <v>17</v>
      </c>
    </row>
    <row r="803" spans="1:2" x14ac:dyDescent="0.3">
      <c r="A803" t="s">
        <v>37</v>
      </c>
      <c r="B803" t="s">
        <v>17</v>
      </c>
    </row>
    <row r="804" spans="1:2" x14ac:dyDescent="0.3">
      <c r="A804" t="s">
        <v>18</v>
      </c>
      <c r="B804" t="s">
        <v>17</v>
      </c>
    </row>
    <row r="805" spans="1:2" x14ac:dyDescent="0.3">
      <c r="A805" t="s">
        <v>37</v>
      </c>
      <c r="B805" t="s">
        <v>17</v>
      </c>
    </row>
    <row r="806" spans="1:2" x14ac:dyDescent="0.3">
      <c r="A806" t="s">
        <v>26</v>
      </c>
      <c r="B806" t="s">
        <v>31</v>
      </c>
    </row>
    <row r="807" spans="1:2" x14ac:dyDescent="0.3">
      <c r="A807" t="s">
        <v>24</v>
      </c>
      <c r="B807" t="s">
        <v>23</v>
      </c>
    </row>
    <row r="808" spans="1:2" x14ac:dyDescent="0.3">
      <c r="A808" t="s">
        <v>26</v>
      </c>
      <c r="B808" t="s">
        <v>17</v>
      </c>
    </row>
    <row r="809" spans="1:2" x14ac:dyDescent="0.3">
      <c r="A809" t="s">
        <v>24</v>
      </c>
      <c r="B809" t="s">
        <v>23</v>
      </c>
    </row>
    <row r="810" spans="1:2" x14ac:dyDescent="0.3">
      <c r="A810" t="s">
        <v>18</v>
      </c>
      <c r="B810" t="s">
        <v>17</v>
      </c>
    </row>
    <row r="811" spans="1:2" x14ac:dyDescent="0.3">
      <c r="A811" t="s">
        <v>22</v>
      </c>
      <c r="B811" t="s">
        <v>17</v>
      </c>
    </row>
    <row r="812" spans="1:2" x14ac:dyDescent="0.3">
      <c r="A812" t="s">
        <v>24</v>
      </c>
      <c r="B812" t="s">
        <v>33</v>
      </c>
    </row>
    <row r="813" spans="1:2" x14ac:dyDescent="0.3">
      <c r="A813" t="s">
        <v>18</v>
      </c>
      <c r="B813" t="s">
        <v>33</v>
      </c>
    </row>
    <row r="814" spans="1:2" x14ac:dyDescent="0.3">
      <c r="A814" t="s">
        <v>22</v>
      </c>
      <c r="B814" t="s">
        <v>23</v>
      </c>
    </row>
    <row r="815" spans="1:2" x14ac:dyDescent="0.3">
      <c r="A815" t="s">
        <v>26</v>
      </c>
      <c r="B815" t="s">
        <v>31</v>
      </c>
    </row>
    <row r="816" spans="1:2" x14ac:dyDescent="0.3">
      <c r="A816" t="s">
        <v>22</v>
      </c>
      <c r="B816" t="s">
        <v>17</v>
      </c>
    </row>
    <row r="817" spans="1:2" x14ac:dyDescent="0.3">
      <c r="A817" t="s">
        <v>22</v>
      </c>
      <c r="B817" t="s">
        <v>17</v>
      </c>
    </row>
    <row r="818" spans="1:2" x14ac:dyDescent="0.3">
      <c r="A818" t="s">
        <v>22</v>
      </c>
      <c r="B818" t="s">
        <v>17</v>
      </c>
    </row>
    <row r="819" spans="1:2" x14ac:dyDescent="0.3">
      <c r="A819" t="s">
        <v>26</v>
      </c>
      <c r="B819" t="s">
        <v>33</v>
      </c>
    </row>
    <row r="820" spans="1:2" x14ac:dyDescent="0.3">
      <c r="A820" t="s">
        <v>37</v>
      </c>
      <c r="B820" t="s">
        <v>17</v>
      </c>
    </row>
    <row r="821" spans="1:2" x14ac:dyDescent="0.3">
      <c r="A821" t="s">
        <v>22</v>
      </c>
      <c r="B821" t="s">
        <v>17</v>
      </c>
    </row>
    <row r="822" spans="1:2" x14ac:dyDescent="0.3">
      <c r="A822" t="s">
        <v>22</v>
      </c>
      <c r="B822" t="s">
        <v>17</v>
      </c>
    </row>
    <row r="823" spans="1:2" x14ac:dyDescent="0.3">
      <c r="A823" t="s">
        <v>37</v>
      </c>
      <c r="B823" t="s">
        <v>17</v>
      </c>
    </row>
    <row r="824" spans="1:2" x14ac:dyDescent="0.3">
      <c r="A824" t="s">
        <v>37</v>
      </c>
      <c r="B824" t="s">
        <v>17</v>
      </c>
    </row>
    <row r="825" spans="1:2" x14ac:dyDescent="0.3">
      <c r="A825" t="s">
        <v>22</v>
      </c>
      <c r="B825" t="s">
        <v>17</v>
      </c>
    </row>
    <row r="826" spans="1:2" x14ac:dyDescent="0.3">
      <c r="A826" t="s">
        <v>24</v>
      </c>
      <c r="B826" t="s">
        <v>17</v>
      </c>
    </row>
    <row r="827" spans="1:2" x14ac:dyDescent="0.3">
      <c r="A827" t="s">
        <v>37</v>
      </c>
      <c r="B827" t="s">
        <v>17</v>
      </c>
    </row>
    <row r="828" spans="1:2" x14ac:dyDescent="0.3">
      <c r="A828" t="s">
        <v>22</v>
      </c>
      <c r="B828" t="s">
        <v>23</v>
      </c>
    </row>
    <row r="829" spans="1:2" x14ac:dyDescent="0.3">
      <c r="A829" t="s">
        <v>18</v>
      </c>
      <c r="B829" t="s">
        <v>17</v>
      </c>
    </row>
    <row r="830" spans="1:2" x14ac:dyDescent="0.3">
      <c r="A830" t="s">
        <v>37</v>
      </c>
      <c r="B830" t="s">
        <v>23</v>
      </c>
    </row>
    <row r="831" spans="1:2" x14ac:dyDescent="0.3">
      <c r="A831" t="s">
        <v>24</v>
      </c>
      <c r="B831" t="s">
        <v>30</v>
      </c>
    </row>
    <row r="832" spans="1:2" x14ac:dyDescent="0.3">
      <c r="A832" t="s">
        <v>22</v>
      </c>
      <c r="B832" t="s">
        <v>17</v>
      </c>
    </row>
    <row r="833" spans="1:2" x14ac:dyDescent="0.3">
      <c r="A833" t="s">
        <v>24</v>
      </c>
      <c r="B833" t="s">
        <v>30</v>
      </c>
    </row>
    <row r="834" spans="1:2" x14ac:dyDescent="0.3">
      <c r="A834" t="s">
        <v>37</v>
      </c>
      <c r="B834" t="s">
        <v>30</v>
      </c>
    </row>
    <row r="835" spans="1:2" x14ac:dyDescent="0.3">
      <c r="A835" t="s">
        <v>26</v>
      </c>
      <c r="B835" t="s">
        <v>33</v>
      </c>
    </row>
    <row r="836" spans="1:2" x14ac:dyDescent="0.3">
      <c r="A836" t="s">
        <v>24</v>
      </c>
      <c r="B836" t="s">
        <v>31</v>
      </c>
    </row>
    <row r="837" spans="1:2" x14ac:dyDescent="0.3">
      <c r="A837" t="s">
        <v>18</v>
      </c>
      <c r="B837" t="s">
        <v>33</v>
      </c>
    </row>
    <row r="838" spans="1:2" x14ac:dyDescent="0.3">
      <c r="A838" t="s">
        <v>37</v>
      </c>
      <c r="B838" t="s">
        <v>33</v>
      </c>
    </row>
    <row r="839" spans="1:2" x14ac:dyDescent="0.3">
      <c r="A839" t="s">
        <v>22</v>
      </c>
      <c r="B839" t="s">
        <v>23</v>
      </c>
    </row>
    <row r="840" spans="1:2" x14ac:dyDescent="0.3">
      <c r="A840" t="s">
        <v>18</v>
      </c>
      <c r="B840" t="s">
        <v>23</v>
      </c>
    </row>
    <row r="841" spans="1:2" x14ac:dyDescent="0.3">
      <c r="A841" t="s">
        <v>26</v>
      </c>
      <c r="B841" t="s">
        <v>31</v>
      </c>
    </row>
    <row r="842" spans="1:2" x14ac:dyDescent="0.3">
      <c r="A842" t="s">
        <v>18</v>
      </c>
      <c r="B842" t="s">
        <v>17</v>
      </c>
    </row>
    <row r="843" spans="1:2" x14ac:dyDescent="0.3">
      <c r="A843" t="s">
        <v>22</v>
      </c>
      <c r="B843" t="s">
        <v>17</v>
      </c>
    </row>
    <row r="844" spans="1:2" x14ac:dyDescent="0.3">
      <c r="A844" t="s">
        <v>18</v>
      </c>
      <c r="B844" t="s">
        <v>17</v>
      </c>
    </row>
    <row r="845" spans="1:2" x14ac:dyDescent="0.3">
      <c r="A845" t="s">
        <v>18</v>
      </c>
      <c r="B845" t="s">
        <v>17</v>
      </c>
    </row>
    <row r="846" spans="1:2" x14ac:dyDescent="0.3">
      <c r="A846" t="s">
        <v>26</v>
      </c>
      <c r="B846" t="s">
        <v>17</v>
      </c>
    </row>
    <row r="847" spans="1:2" x14ac:dyDescent="0.3">
      <c r="A847" t="s">
        <v>18</v>
      </c>
      <c r="B847" t="s">
        <v>23</v>
      </c>
    </row>
    <row r="848" spans="1:2" x14ac:dyDescent="0.3">
      <c r="A848" t="s">
        <v>26</v>
      </c>
      <c r="B848" t="s">
        <v>17</v>
      </c>
    </row>
    <row r="849" spans="1:2" x14ac:dyDescent="0.3">
      <c r="A849" t="s">
        <v>18</v>
      </c>
      <c r="B849" t="s">
        <v>23</v>
      </c>
    </row>
    <row r="850" spans="1:2" x14ac:dyDescent="0.3">
      <c r="A850" t="s">
        <v>18</v>
      </c>
      <c r="B850" t="s">
        <v>23</v>
      </c>
    </row>
    <row r="851" spans="1:2" x14ac:dyDescent="0.3">
      <c r="A851" t="s">
        <v>37</v>
      </c>
      <c r="B851" t="s">
        <v>30</v>
      </c>
    </row>
    <row r="852" spans="1:2" x14ac:dyDescent="0.3">
      <c r="A852" t="s">
        <v>24</v>
      </c>
      <c r="B852" t="s">
        <v>17</v>
      </c>
    </row>
    <row r="853" spans="1:2" x14ac:dyDescent="0.3">
      <c r="A853" t="s">
        <v>18</v>
      </c>
      <c r="B853" t="s">
        <v>17</v>
      </c>
    </row>
    <row r="854" spans="1:2" x14ac:dyDescent="0.3">
      <c r="A854" t="s">
        <v>18</v>
      </c>
      <c r="B854" t="s">
        <v>30</v>
      </c>
    </row>
    <row r="855" spans="1:2" x14ac:dyDescent="0.3">
      <c r="A855" t="s">
        <v>37</v>
      </c>
      <c r="B855" t="s">
        <v>17</v>
      </c>
    </row>
    <row r="856" spans="1:2" x14ac:dyDescent="0.3">
      <c r="A856" t="s">
        <v>24</v>
      </c>
      <c r="B856" t="s">
        <v>17</v>
      </c>
    </row>
    <row r="857" spans="1:2" x14ac:dyDescent="0.3">
      <c r="A857" t="s">
        <v>26</v>
      </c>
      <c r="B857" t="s">
        <v>31</v>
      </c>
    </row>
    <row r="858" spans="1:2" x14ac:dyDescent="0.3">
      <c r="A858" t="s">
        <v>37</v>
      </c>
      <c r="B858" t="s">
        <v>17</v>
      </c>
    </row>
    <row r="859" spans="1:2" x14ac:dyDescent="0.3">
      <c r="A859" t="s">
        <v>37</v>
      </c>
      <c r="B859" t="s">
        <v>33</v>
      </c>
    </row>
    <row r="860" spans="1:2" x14ac:dyDescent="0.3">
      <c r="A860" t="s">
        <v>18</v>
      </c>
      <c r="B860" t="s">
        <v>33</v>
      </c>
    </row>
    <row r="861" spans="1:2" x14ac:dyDescent="0.3">
      <c r="A861" t="s">
        <v>22</v>
      </c>
      <c r="B861" t="s">
        <v>33</v>
      </c>
    </row>
    <row r="862" spans="1:2" x14ac:dyDescent="0.3">
      <c r="A862" t="s">
        <v>26</v>
      </c>
      <c r="B862" t="s">
        <v>17</v>
      </c>
    </row>
    <row r="863" spans="1:2" x14ac:dyDescent="0.3">
      <c r="A863" t="s">
        <v>37</v>
      </c>
      <c r="B863" t="s">
        <v>33</v>
      </c>
    </row>
    <row r="864" spans="1:2" x14ac:dyDescent="0.3">
      <c r="A864" t="s">
        <v>18</v>
      </c>
      <c r="B864" t="s">
        <v>33</v>
      </c>
    </row>
    <row r="865" spans="1:2" x14ac:dyDescent="0.3">
      <c r="A865" t="s">
        <v>18</v>
      </c>
      <c r="B865" t="s">
        <v>33</v>
      </c>
    </row>
    <row r="866" spans="1:2" x14ac:dyDescent="0.3">
      <c r="A866" t="s">
        <v>37</v>
      </c>
      <c r="B866" t="s">
        <v>33</v>
      </c>
    </row>
    <row r="867" spans="1:2" x14ac:dyDescent="0.3">
      <c r="A867" t="s">
        <v>24</v>
      </c>
      <c r="B867" t="s">
        <v>17</v>
      </c>
    </row>
    <row r="868" spans="1:2" x14ac:dyDescent="0.3">
      <c r="A868" t="s">
        <v>18</v>
      </c>
      <c r="B868" t="s">
        <v>33</v>
      </c>
    </row>
    <row r="869" spans="1:2" x14ac:dyDescent="0.3">
      <c r="A869" t="s">
        <v>37</v>
      </c>
      <c r="B869" t="s">
        <v>31</v>
      </c>
    </row>
    <row r="870" spans="1:2" x14ac:dyDescent="0.3">
      <c r="A870" t="s">
        <v>24</v>
      </c>
      <c r="B870" t="s">
        <v>30</v>
      </c>
    </row>
    <row r="871" spans="1:2" x14ac:dyDescent="0.3">
      <c r="A871" t="s">
        <v>18</v>
      </c>
      <c r="B871" t="s">
        <v>23</v>
      </c>
    </row>
    <row r="872" spans="1:2" x14ac:dyDescent="0.3">
      <c r="A872" t="s">
        <v>37</v>
      </c>
      <c r="B872" t="s">
        <v>30</v>
      </c>
    </row>
    <row r="873" spans="1:2" x14ac:dyDescent="0.3">
      <c r="A873" t="s">
        <v>24</v>
      </c>
      <c r="B873" t="s">
        <v>17</v>
      </c>
    </row>
    <row r="874" spans="1:2" x14ac:dyDescent="0.3">
      <c r="A874" t="s">
        <v>26</v>
      </c>
      <c r="B874" t="s">
        <v>17</v>
      </c>
    </row>
    <row r="875" spans="1:2" x14ac:dyDescent="0.3">
      <c r="A875" t="s">
        <v>26</v>
      </c>
      <c r="B875" t="s">
        <v>23</v>
      </c>
    </row>
    <row r="876" spans="1:2" x14ac:dyDescent="0.3">
      <c r="A876" t="s">
        <v>24</v>
      </c>
      <c r="B876" t="s">
        <v>31</v>
      </c>
    </row>
    <row r="877" spans="1:2" x14ac:dyDescent="0.3">
      <c r="A877" t="s">
        <v>22</v>
      </c>
      <c r="B877" t="s">
        <v>31</v>
      </c>
    </row>
    <row r="878" spans="1:2" x14ac:dyDescent="0.3">
      <c r="A878" t="s">
        <v>22</v>
      </c>
      <c r="B878" t="s">
        <v>31</v>
      </c>
    </row>
    <row r="879" spans="1:2" x14ac:dyDescent="0.3">
      <c r="A879" t="s">
        <v>26</v>
      </c>
      <c r="B879" t="s">
        <v>33</v>
      </c>
    </row>
    <row r="880" spans="1:2" x14ac:dyDescent="0.3">
      <c r="A880" t="s">
        <v>22</v>
      </c>
      <c r="B880" t="s">
        <v>17</v>
      </c>
    </row>
    <row r="881" spans="1:2" x14ac:dyDescent="0.3">
      <c r="A881" t="s">
        <v>18</v>
      </c>
      <c r="B881" t="s">
        <v>23</v>
      </c>
    </row>
    <row r="882" spans="1:2" x14ac:dyDescent="0.3">
      <c r="A882" t="s">
        <v>26</v>
      </c>
      <c r="B882" t="s">
        <v>17</v>
      </c>
    </row>
    <row r="883" spans="1:2" x14ac:dyDescent="0.3">
      <c r="A883" t="s">
        <v>26</v>
      </c>
      <c r="B883" t="s">
        <v>17</v>
      </c>
    </row>
    <row r="884" spans="1:2" x14ac:dyDescent="0.3">
      <c r="A884" t="s">
        <v>18</v>
      </c>
      <c r="B884" t="s">
        <v>23</v>
      </c>
    </row>
    <row r="885" spans="1:2" x14ac:dyDescent="0.3">
      <c r="A885" t="s">
        <v>37</v>
      </c>
      <c r="B885" t="s">
        <v>17</v>
      </c>
    </row>
    <row r="886" spans="1:2" x14ac:dyDescent="0.3">
      <c r="A886" t="s">
        <v>22</v>
      </c>
      <c r="B886" t="s">
        <v>31</v>
      </c>
    </row>
    <row r="887" spans="1:2" x14ac:dyDescent="0.3">
      <c r="A887" t="s">
        <v>22</v>
      </c>
      <c r="B887" t="s">
        <v>23</v>
      </c>
    </row>
    <row r="888" spans="1:2" x14ac:dyDescent="0.3">
      <c r="A888" t="s">
        <v>37</v>
      </c>
      <c r="B888" t="s">
        <v>17</v>
      </c>
    </row>
    <row r="889" spans="1:2" x14ac:dyDescent="0.3">
      <c r="A889" t="s">
        <v>26</v>
      </c>
      <c r="B889" t="s">
        <v>17</v>
      </c>
    </row>
    <row r="890" spans="1:2" x14ac:dyDescent="0.3">
      <c r="A890" t="s">
        <v>37</v>
      </c>
      <c r="B890" t="s">
        <v>30</v>
      </c>
    </row>
    <row r="891" spans="1:2" x14ac:dyDescent="0.3">
      <c r="A891" t="s">
        <v>24</v>
      </c>
      <c r="B891" t="s">
        <v>17</v>
      </c>
    </row>
    <row r="892" spans="1:2" x14ac:dyDescent="0.3">
      <c r="A892" t="s">
        <v>26</v>
      </c>
      <c r="B892" t="s">
        <v>30</v>
      </c>
    </row>
    <row r="893" spans="1:2" x14ac:dyDescent="0.3">
      <c r="A893" t="s">
        <v>24</v>
      </c>
      <c r="B893" t="s">
        <v>23</v>
      </c>
    </row>
    <row r="894" spans="1:2" x14ac:dyDescent="0.3">
      <c r="A894" t="s">
        <v>24</v>
      </c>
      <c r="B894" t="s">
        <v>31</v>
      </c>
    </row>
    <row r="895" spans="1:2" x14ac:dyDescent="0.3">
      <c r="A895" t="s">
        <v>37</v>
      </c>
      <c r="B895" t="s">
        <v>33</v>
      </c>
    </row>
    <row r="896" spans="1:2" x14ac:dyDescent="0.3">
      <c r="A896" t="s">
        <v>37</v>
      </c>
      <c r="B896" t="s">
        <v>31</v>
      </c>
    </row>
    <row r="897" spans="1:2" x14ac:dyDescent="0.3">
      <c r="A897" t="s">
        <v>37</v>
      </c>
      <c r="B897" t="s">
        <v>30</v>
      </c>
    </row>
    <row r="898" spans="1:2" x14ac:dyDescent="0.3">
      <c r="A898" t="s">
        <v>18</v>
      </c>
      <c r="B898" t="s">
        <v>17</v>
      </c>
    </row>
    <row r="899" spans="1:2" x14ac:dyDescent="0.3">
      <c r="A899" t="s">
        <v>22</v>
      </c>
      <c r="B899" t="s">
        <v>23</v>
      </c>
    </row>
    <row r="900" spans="1:2" x14ac:dyDescent="0.3">
      <c r="A900" t="s">
        <v>37</v>
      </c>
      <c r="B900" t="s">
        <v>17</v>
      </c>
    </row>
    <row r="901" spans="1:2" x14ac:dyDescent="0.3">
      <c r="A901" t="s">
        <v>22</v>
      </c>
      <c r="B901" t="s">
        <v>23</v>
      </c>
    </row>
    <row r="902" spans="1:2" x14ac:dyDescent="0.3">
      <c r="A902" t="s">
        <v>18</v>
      </c>
      <c r="B902" t="s">
        <v>31</v>
      </c>
    </row>
    <row r="903" spans="1:2" x14ac:dyDescent="0.3">
      <c r="A903" t="s">
        <v>22</v>
      </c>
      <c r="B903" t="s">
        <v>31</v>
      </c>
    </row>
    <row r="904" spans="1:2" x14ac:dyDescent="0.3">
      <c r="A904" t="s">
        <v>24</v>
      </c>
      <c r="B904" t="s">
        <v>17</v>
      </c>
    </row>
    <row r="905" spans="1:2" x14ac:dyDescent="0.3">
      <c r="A905" t="s">
        <v>24</v>
      </c>
      <c r="B905" t="s">
        <v>33</v>
      </c>
    </row>
    <row r="906" spans="1:2" x14ac:dyDescent="0.3">
      <c r="A906" t="s">
        <v>26</v>
      </c>
      <c r="B906" t="s">
        <v>33</v>
      </c>
    </row>
    <row r="907" spans="1:2" x14ac:dyDescent="0.3">
      <c r="A907" t="s">
        <v>26</v>
      </c>
      <c r="B907" t="s">
        <v>17</v>
      </c>
    </row>
    <row r="908" spans="1:2" x14ac:dyDescent="0.3">
      <c r="A908" t="s">
        <v>18</v>
      </c>
      <c r="B908" t="s">
        <v>17</v>
      </c>
    </row>
    <row r="909" spans="1:2" x14ac:dyDescent="0.3">
      <c r="A909" t="s">
        <v>37</v>
      </c>
      <c r="B909" t="s">
        <v>30</v>
      </c>
    </row>
    <row r="910" spans="1:2" x14ac:dyDescent="0.3">
      <c r="A910" t="s">
        <v>24</v>
      </c>
      <c r="B910" t="s">
        <v>17</v>
      </c>
    </row>
    <row r="911" spans="1:2" x14ac:dyDescent="0.3">
      <c r="A911" t="s">
        <v>37</v>
      </c>
      <c r="B911" t="s">
        <v>31</v>
      </c>
    </row>
    <row r="912" spans="1:2" x14ac:dyDescent="0.3">
      <c r="A912" t="s">
        <v>24</v>
      </c>
      <c r="B912" t="s">
        <v>31</v>
      </c>
    </row>
    <row r="913" spans="1:2" x14ac:dyDescent="0.3">
      <c r="A913" t="s">
        <v>24</v>
      </c>
      <c r="B913" t="s">
        <v>17</v>
      </c>
    </row>
    <row r="914" spans="1:2" x14ac:dyDescent="0.3">
      <c r="A914" t="s">
        <v>22</v>
      </c>
      <c r="B914" t="s">
        <v>33</v>
      </c>
    </row>
    <row r="915" spans="1:2" x14ac:dyDescent="0.3">
      <c r="A915" t="s">
        <v>18</v>
      </c>
      <c r="B915" t="s">
        <v>17</v>
      </c>
    </row>
    <row r="916" spans="1:2" x14ac:dyDescent="0.3">
      <c r="A916" t="s">
        <v>37</v>
      </c>
      <c r="B916" t="s">
        <v>17</v>
      </c>
    </row>
    <row r="917" spans="1:2" x14ac:dyDescent="0.3">
      <c r="A917" t="s">
        <v>22</v>
      </c>
      <c r="B917" t="s">
        <v>17</v>
      </c>
    </row>
    <row r="918" spans="1:2" x14ac:dyDescent="0.3">
      <c r="A918" t="s">
        <v>37</v>
      </c>
      <c r="B918" t="s">
        <v>17</v>
      </c>
    </row>
    <row r="919" spans="1:2" x14ac:dyDescent="0.3">
      <c r="A919" t="s">
        <v>37</v>
      </c>
      <c r="B919" t="s">
        <v>17</v>
      </c>
    </row>
    <row r="920" spans="1:2" x14ac:dyDescent="0.3">
      <c r="A920" t="s">
        <v>24</v>
      </c>
      <c r="B920" t="s">
        <v>17</v>
      </c>
    </row>
    <row r="921" spans="1:2" x14ac:dyDescent="0.3">
      <c r="A921" t="s">
        <v>22</v>
      </c>
      <c r="B921" t="s">
        <v>17</v>
      </c>
    </row>
    <row r="922" spans="1:2" x14ac:dyDescent="0.3">
      <c r="A922" t="s">
        <v>18</v>
      </c>
      <c r="B922" t="s">
        <v>17</v>
      </c>
    </row>
    <row r="923" spans="1:2" x14ac:dyDescent="0.3">
      <c r="A923" t="s">
        <v>18</v>
      </c>
      <c r="B923" t="s">
        <v>17</v>
      </c>
    </row>
    <row r="924" spans="1:2" x14ac:dyDescent="0.3">
      <c r="A924" t="s">
        <v>22</v>
      </c>
      <c r="B924" t="s">
        <v>33</v>
      </c>
    </row>
    <row r="925" spans="1:2" x14ac:dyDescent="0.3">
      <c r="A925" t="s">
        <v>24</v>
      </c>
      <c r="B925" t="s">
        <v>23</v>
      </c>
    </row>
    <row r="926" spans="1:2" x14ac:dyDescent="0.3">
      <c r="A926" t="s">
        <v>37</v>
      </c>
      <c r="B926" t="s">
        <v>17</v>
      </c>
    </row>
    <row r="927" spans="1:2" x14ac:dyDescent="0.3">
      <c r="A927" t="s">
        <v>18</v>
      </c>
      <c r="B927" t="s">
        <v>23</v>
      </c>
    </row>
    <row r="928" spans="1:2" x14ac:dyDescent="0.3">
      <c r="A928" t="s">
        <v>26</v>
      </c>
      <c r="B928" t="s">
        <v>30</v>
      </c>
    </row>
    <row r="929" spans="1:2" x14ac:dyDescent="0.3">
      <c r="A929" t="s">
        <v>18</v>
      </c>
      <c r="B929" t="s">
        <v>30</v>
      </c>
    </row>
    <row r="930" spans="1:2" x14ac:dyDescent="0.3">
      <c r="A930" t="s">
        <v>37</v>
      </c>
      <c r="B930" t="s">
        <v>23</v>
      </c>
    </row>
    <row r="931" spans="1:2" x14ac:dyDescent="0.3">
      <c r="A931" t="s">
        <v>37</v>
      </c>
      <c r="B931" t="s">
        <v>17</v>
      </c>
    </row>
    <row r="932" spans="1:2" x14ac:dyDescent="0.3">
      <c r="A932" t="s">
        <v>22</v>
      </c>
      <c r="B932" t="s">
        <v>31</v>
      </c>
    </row>
    <row r="933" spans="1:2" x14ac:dyDescent="0.3">
      <c r="A933" t="s">
        <v>26</v>
      </c>
      <c r="B933" t="s">
        <v>17</v>
      </c>
    </row>
    <row r="934" spans="1:2" x14ac:dyDescent="0.3">
      <c r="A934" t="s">
        <v>22</v>
      </c>
      <c r="B934" t="s">
        <v>17</v>
      </c>
    </row>
    <row r="935" spans="1:2" x14ac:dyDescent="0.3">
      <c r="A935" t="s">
        <v>24</v>
      </c>
      <c r="B935" t="s">
        <v>17</v>
      </c>
    </row>
    <row r="936" spans="1:2" x14ac:dyDescent="0.3">
      <c r="A936" t="s">
        <v>37</v>
      </c>
      <c r="B936" t="s">
        <v>30</v>
      </c>
    </row>
    <row r="937" spans="1:2" x14ac:dyDescent="0.3">
      <c r="A937" t="s">
        <v>24</v>
      </c>
      <c r="B937" t="s">
        <v>17</v>
      </c>
    </row>
    <row r="938" spans="1:2" x14ac:dyDescent="0.3">
      <c r="A938" t="s">
        <v>18</v>
      </c>
      <c r="B938" t="s">
        <v>30</v>
      </c>
    </row>
    <row r="939" spans="1:2" x14ac:dyDescent="0.3">
      <c r="A939" t="s">
        <v>37</v>
      </c>
      <c r="B939" t="s">
        <v>17</v>
      </c>
    </row>
    <row r="940" spans="1:2" x14ac:dyDescent="0.3">
      <c r="A940" t="s">
        <v>18</v>
      </c>
      <c r="B940" t="s">
        <v>31</v>
      </c>
    </row>
    <row r="941" spans="1:2" x14ac:dyDescent="0.3">
      <c r="A941" t="s">
        <v>37</v>
      </c>
      <c r="B941" t="s">
        <v>31</v>
      </c>
    </row>
    <row r="942" spans="1:2" x14ac:dyDescent="0.3">
      <c r="A942" t="s">
        <v>22</v>
      </c>
      <c r="B942" t="s">
        <v>23</v>
      </c>
    </row>
    <row r="943" spans="1:2" x14ac:dyDescent="0.3">
      <c r="A943" t="s">
        <v>24</v>
      </c>
      <c r="B943" t="s">
        <v>17</v>
      </c>
    </row>
    <row r="944" spans="1:2" x14ac:dyDescent="0.3">
      <c r="A944" t="s">
        <v>26</v>
      </c>
      <c r="B944" t="s">
        <v>17</v>
      </c>
    </row>
    <row r="945" spans="1:2" x14ac:dyDescent="0.3">
      <c r="A945" t="s">
        <v>24</v>
      </c>
      <c r="B945" t="s">
        <v>33</v>
      </c>
    </row>
    <row r="946" spans="1:2" x14ac:dyDescent="0.3">
      <c r="A946" t="s">
        <v>24</v>
      </c>
      <c r="B946" t="s">
        <v>17</v>
      </c>
    </row>
    <row r="947" spans="1:2" x14ac:dyDescent="0.3">
      <c r="A947" t="s">
        <v>18</v>
      </c>
      <c r="B947" t="s">
        <v>23</v>
      </c>
    </row>
    <row r="948" spans="1:2" x14ac:dyDescent="0.3">
      <c r="A948" t="s">
        <v>26</v>
      </c>
      <c r="B948" t="s">
        <v>17</v>
      </c>
    </row>
    <row r="949" spans="1:2" x14ac:dyDescent="0.3">
      <c r="A949" t="s">
        <v>24</v>
      </c>
      <c r="B949" t="s">
        <v>33</v>
      </c>
    </row>
    <row r="950" spans="1:2" x14ac:dyDescent="0.3">
      <c r="A950" t="s">
        <v>26</v>
      </c>
      <c r="B950" t="s">
        <v>17</v>
      </c>
    </row>
    <row r="951" spans="1:2" x14ac:dyDescent="0.3">
      <c r="A951" t="s">
        <v>18</v>
      </c>
      <c r="B951" t="s">
        <v>33</v>
      </c>
    </row>
    <row r="952" spans="1:2" x14ac:dyDescent="0.3">
      <c r="A952" t="s">
        <v>24</v>
      </c>
      <c r="B952" t="s">
        <v>31</v>
      </c>
    </row>
    <row r="953" spans="1:2" x14ac:dyDescent="0.3">
      <c r="A953" t="s">
        <v>26</v>
      </c>
      <c r="B953" t="s">
        <v>17</v>
      </c>
    </row>
    <row r="954" spans="1:2" x14ac:dyDescent="0.3">
      <c r="A954" t="s">
        <v>37</v>
      </c>
      <c r="B954" t="s">
        <v>17</v>
      </c>
    </row>
    <row r="955" spans="1:2" x14ac:dyDescent="0.3">
      <c r="A955" t="s">
        <v>24</v>
      </c>
      <c r="B955" t="s">
        <v>17</v>
      </c>
    </row>
    <row r="956" spans="1:2" x14ac:dyDescent="0.3">
      <c r="A956" t="s">
        <v>24</v>
      </c>
      <c r="B956" t="s">
        <v>17</v>
      </c>
    </row>
    <row r="957" spans="1:2" x14ac:dyDescent="0.3">
      <c r="A957" t="s">
        <v>24</v>
      </c>
      <c r="B957" t="s">
        <v>17</v>
      </c>
    </row>
    <row r="958" spans="1:2" x14ac:dyDescent="0.3">
      <c r="A958" t="s">
        <v>37</v>
      </c>
      <c r="B958" t="s">
        <v>23</v>
      </c>
    </row>
    <row r="959" spans="1:2" x14ac:dyDescent="0.3">
      <c r="A959" t="s">
        <v>22</v>
      </c>
      <c r="B959" t="s">
        <v>23</v>
      </c>
    </row>
    <row r="960" spans="1:2" x14ac:dyDescent="0.3">
      <c r="A960" t="s">
        <v>37</v>
      </c>
      <c r="B960" t="s">
        <v>23</v>
      </c>
    </row>
    <row r="961" spans="1:2" x14ac:dyDescent="0.3">
      <c r="A961" t="s">
        <v>24</v>
      </c>
      <c r="B961" t="s">
        <v>17</v>
      </c>
    </row>
    <row r="962" spans="1:2" x14ac:dyDescent="0.3">
      <c r="A962" t="s">
        <v>22</v>
      </c>
      <c r="B962" t="s">
        <v>17</v>
      </c>
    </row>
    <row r="963" spans="1:2" x14ac:dyDescent="0.3">
      <c r="A963" t="s">
        <v>26</v>
      </c>
      <c r="B963" t="s">
        <v>17</v>
      </c>
    </row>
    <row r="964" spans="1:2" x14ac:dyDescent="0.3">
      <c r="A964" t="s">
        <v>37</v>
      </c>
      <c r="B964" t="s">
        <v>23</v>
      </c>
    </row>
    <row r="965" spans="1:2" x14ac:dyDescent="0.3">
      <c r="A965" t="s">
        <v>26</v>
      </c>
      <c r="B965" t="s">
        <v>30</v>
      </c>
    </row>
    <row r="966" spans="1:2" x14ac:dyDescent="0.3">
      <c r="A966" t="s">
        <v>18</v>
      </c>
      <c r="B966" t="s">
        <v>30</v>
      </c>
    </row>
    <row r="967" spans="1:2" x14ac:dyDescent="0.3">
      <c r="A967" t="s">
        <v>26</v>
      </c>
      <c r="B967" t="s">
        <v>17</v>
      </c>
    </row>
    <row r="968" spans="1:2" x14ac:dyDescent="0.3">
      <c r="A968" t="s">
        <v>26</v>
      </c>
      <c r="B968" t="s">
        <v>30</v>
      </c>
    </row>
    <row r="969" spans="1:2" x14ac:dyDescent="0.3">
      <c r="A969" t="s">
        <v>24</v>
      </c>
      <c r="B969" t="s">
        <v>30</v>
      </c>
    </row>
    <row r="970" spans="1:2" x14ac:dyDescent="0.3">
      <c r="A970" t="s">
        <v>24</v>
      </c>
      <c r="B970" t="s">
        <v>17</v>
      </c>
    </row>
    <row r="971" spans="1:2" x14ac:dyDescent="0.3">
      <c r="A971" t="s">
        <v>22</v>
      </c>
      <c r="B971" t="s">
        <v>31</v>
      </c>
    </row>
    <row r="972" spans="1:2" x14ac:dyDescent="0.3">
      <c r="A972" t="s">
        <v>24</v>
      </c>
      <c r="B972" t="s">
        <v>23</v>
      </c>
    </row>
    <row r="973" spans="1:2" x14ac:dyDescent="0.3">
      <c r="A973" t="s">
        <v>37</v>
      </c>
      <c r="B973" t="s">
        <v>23</v>
      </c>
    </row>
    <row r="974" spans="1:2" x14ac:dyDescent="0.3">
      <c r="A974" t="s">
        <v>24</v>
      </c>
      <c r="B974" t="s">
        <v>17</v>
      </c>
    </row>
    <row r="975" spans="1:2" x14ac:dyDescent="0.3">
      <c r="A975" t="s">
        <v>22</v>
      </c>
      <c r="B975" t="s">
        <v>33</v>
      </c>
    </row>
    <row r="976" spans="1:2" x14ac:dyDescent="0.3">
      <c r="A976" t="s">
        <v>18</v>
      </c>
      <c r="B976" t="s">
        <v>33</v>
      </c>
    </row>
    <row r="977" spans="1:2" x14ac:dyDescent="0.3">
      <c r="A977" t="s">
        <v>26</v>
      </c>
      <c r="B977" t="s">
        <v>30</v>
      </c>
    </row>
    <row r="978" spans="1:2" x14ac:dyDescent="0.3">
      <c r="A978" t="s">
        <v>22</v>
      </c>
      <c r="B978" t="s">
        <v>17</v>
      </c>
    </row>
    <row r="979" spans="1:2" x14ac:dyDescent="0.3">
      <c r="A979" t="s">
        <v>24</v>
      </c>
      <c r="B979" t="s">
        <v>33</v>
      </c>
    </row>
    <row r="980" spans="1:2" x14ac:dyDescent="0.3">
      <c r="A980" t="s">
        <v>26</v>
      </c>
      <c r="B980" t="s">
        <v>17</v>
      </c>
    </row>
    <row r="981" spans="1:2" x14ac:dyDescent="0.3">
      <c r="A981" t="s">
        <v>22</v>
      </c>
      <c r="B981" t="s">
        <v>31</v>
      </c>
    </row>
    <row r="982" spans="1:2" x14ac:dyDescent="0.3">
      <c r="A982" t="s">
        <v>24</v>
      </c>
      <c r="B982" t="s">
        <v>17</v>
      </c>
    </row>
    <row r="983" spans="1:2" x14ac:dyDescent="0.3">
      <c r="A983" t="s">
        <v>37</v>
      </c>
      <c r="B983" t="s">
        <v>17</v>
      </c>
    </row>
    <row r="984" spans="1:2" x14ac:dyDescent="0.3">
      <c r="A984" t="s">
        <v>37</v>
      </c>
      <c r="B984" t="s">
        <v>33</v>
      </c>
    </row>
    <row r="985" spans="1:2" x14ac:dyDescent="0.3">
      <c r="A985" t="s">
        <v>22</v>
      </c>
      <c r="B985" t="s">
        <v>17</v>
      </c>
    </row>
    <row r="986" spans="1:2" x14ac:dyDescent="0.3">
      <c r="A986" t="s">
        <v>18</v>
      </c>
      <c r="B986" t="s">
        <v>30</v>
      </c>
    </row>
    <row r="987" spans="1:2" x14ac:dyDescent="0.3">
      <c r="A987" t="s">
        <v>24</v>
      </c>
      <c r="B987" t="s">
        <v>33</v>
      </c>
    </row>
    <row r="988" spans="1:2" x14ac:dyDescent="0.3">
      <c r="A988" t="s">
        <v>26</v>
      </c>
      <c r="B988" t="s">
        <v>33</v>
      </c>
    </row>
    <row r="989" spans="1:2" x14ac:dyDescent="0.3">
      <c r="A989" t="s">
        <v>18</v>
      </c>
      <c r="B989" t="s">
        <v>31</v>
      </c>
    </row>
    <row r="990" spans="1:2" x14ac:dyDescent="0.3">
      <c r="A990" t="s">
        <v>24</v>
      </c>
      <c r="B990" t="s">
        <v>17</v>
      </c>
    </row>
    <row r="991" spans="1:2" x14ac:dyDescent="0.3">
      <c r="A991" t="s">
        <v>22</v>
      </c>
      <c r="B991" t="s">
        <v>31</v>
      </c>
    </row>
    <row r="992" spans="1:2" x14ac:dyDescent="0.3">
      <c r="A992" t="s">
        <v>18</v>
      </c>
      <c r="B992" t="s">
        <v>17</v>
      </c>
    </row>
    <row r="993" spans="1:2" x14ac:dyDescent="0.3">
      <c r="A993" t="s">
        <v>37</v>
      </c>
      <c r="B993" t="s">
        <v>33</v>
      </c>
    </row>
    <row r="994" spans="1:2" x14ac:dyDescent="0.3">
      <c r="A994" t="s">
        <v>18</v>
      </c>
      <c r="B994" t="s">
        <v>17</v>
      </c>
    </row>
    <row r="995" spans="1:2" x14ac:dyDescent="0.3">
      <c r="A995" t="s">
        <v>37</v>
      </c>
      <c r="B995" t="s">
        <v>17</v>
      </c>
    </row>
    <row r="996" spans="1:2" x14ac:dyDescent="0.3">
      <c r="A996" t="s">
        <v>18</v>
      </c>
      <c r="B996" t="s">
        <v>17</v>
      </c>
    </row>
    <row r="997" spans="1:2" x14ac:dyDescent="0.3">
      <c r="A997" t="s">
        <v>37</v>
      </c>
      <c r="B997" t="s">
        <v>17</v>
      </c>
    </row>
    <row r="998" spans="1:2" x14ac:dyDescent="0.3">
      <c r="A998" t="s">
        <v>26</v>
      </c>
      <c r="B998" t="s">
        <v>31</v>
      </c>
    </row>
    <row r="999" spans="1:2" x14ac:dyDescent="0.3">
      <c r="A999" t="s">
        <v>24</v>
      </c>
      <c r="B999" t="s">
        <v>23</v>
      </c>
    </row>
    <row r="1000" spans="1:2" x14ac:dyDescent="0.3">
      <c r="A1000" t="s">
        <v>26</v>
      </c>
      <c r="B1000" t="s">
        <v>17</v>
      </c>
    </row>
    <row r="1001" spans="1:2" x14ac:dyDescent="0.3">
      <c r="A1001" t="s">
        <v>24</v>
      </c>
      <c r="B1001" t="s">
        <v>23</v>
      </c>
    </row>
    <row r="1002" spans="1:2" x14ac:dyDescent="0.3">
      <c r="A1002" t="s">
        <v>18</v>
      </c>
      <c r="B1002" t="s">
        <v>17</v>
      </c>
    </row>
    <row r="1003" spans="1:2" x14ac:dyDescent="0.3">
      <c r="A1003" t="s">
        <v>22</v>
      </c>
      <c r="B1003" t="s">
        <v>17</v>
      </c>
    </row>
    <row r="1004" spans="1:2" x14ac:dyDescent="0.3">
      <c r="A1004" t="s">
        <v>24</v>
      </c>
      <c r="B1004" t="s">
        <v>33</v>
      </c>
    </row>
    <row r="1005" spans="1:2" x14ac:dyDescent="0.3">
      <c r="A1005" t="s">
        <v>18</v>
      </c>
      <c r="B1005" t="s">
        <v>33</v>
      </c>
    </row>
    <row r="1006" spans="1:2" x14ac:dyDescent="0.3">
      <c r="A1006" t="s">
        <v>22</v>
      </c>
      <c r="B1006" t="s">
        <v>23</v>
      </c>
    </row>
    <row r="1007" spans="1:2" x14ac:dyDescent="0.3">
      <c r="A1007" t="s">
        <v>26</v>
      </c>
      <c r="B1007" t="s">
        <v>31</v>
      </c>
    </row>
    <row r="1008" spans="1:2" x14ac:dyDescent="0.3">
      <c r="A1008" t="s">
        <v>22</v>
      </c>
      <c r="B1008" t="s">
        <v>17</v>
      </c>
    </row>
    <row r="1009" spans="1:2" x14ac:dyDescent="0.3">
      <c r="A1009" t="s">
        <v>22</v>
      </c>
      <c r="B1009" t="s">
        <v>17</v>
      </c>
    </row>
    <row r="1010" spans="1:2" x14ac:dyDescent="0.3">
      <c r="A1010" t="s">
        <v>22</v>
      </c>
      <c r="B1010" t="s">
        <v>17</v>
      </c>
    </row>
    <row r="1011" spans="1:2" x14ac:dyDescent="0.3">
      <c r="A1011" t="s">
        <v>26</v>
      </c>
      <c r="B1011" t="s">
        <v>33</v>
      </c>
    </row>
    <row r="1012" spans="1:2" x14ac:dyDescent="0.3">
      <c r="A1012" t="s">
        <v>37</v>
      </c>
      <c r="B1012" t="s">
        <v>17</v>
      </c>
    </row>
    <row r="1013" spans="1:2" x14ac:dyDescent="0.3">
      <c r="A1013" t="s">
        <v>22</v>
      </c>
      <c r="B1013" t="s">
        <v>17</v>
      </c>
    </row>
    <row r="1014" spans="1:2" x14ac:dyDescent="0.3">
      <c r="A1014" t="s">
        <v>22</v>
      </c>
      <c r="B1014" t="s">
        <v>17</v>
      </c>
    </row>
    <row r="1015" spans="1:2" x14ac:dyDescent="0.3">
      <c r="A1015" t="s">
        <v>37</v>
      </c>
      <c r="B1015" t="s">
        <v>17</v>
      </c>
    </row>
    <row r="1016" spans="1:2" x14ac:dyDescent="0.3">
      <c r="A1016" t="s">
        <v>37</v>
      </c>
      <c r="B1016" t="s">
        <v>17</v>
      </c>
    </row>
    <row r="1017" spans="1:2" x14ac:dyDescent="0.3">
      <c r="A1017" t="s">
        <v>22</v>
      </c>
      <c r="B1017" t="s">
        <v>17</v>
      </c>
    </row>
    <row r="1018" spans="1:2" x14ac:dyDescent="0.3">
      <c r="A1018" t="s">
        <v>24</v>
      </c>
      <c r="B1018" t="s">
        <v>17</v>
      </c>
    </row>
    <row r="1019" spans="1:2" x14ac:dyDescent="0.3">
      <c r="A1019" t="s">
        <v>37</v>
      </c>
      <c r="B1019" t="s">
        <v>17</v>
      </c>
    </row>
    <row r="1020" spans="1:2" x14ac:dyDescent="0.3">
      <c r="A1020" t="s">
        <v>22</v>
      </c>
      <c r="B1020" t="s">
        <v>23</v>
      </c>
    </row>
    <row r="1021" spans="1:2" x14ac:dyDescent="0.3">
      <c r="A1021" t="s">
        <v>18</v>
      </c>
      <c r="B1021" t="s">
        <v>17</v>
      </c>
    </row>
    <row r="1022" spans="1:2" x14ac:dyDescent="0.3">
      <c r="A1022" t="s">
        <v>37</v>
      </c>
      <c r="B1022" t="s">
        <v>23</v>
      </c>
    </row>
    <row r="1023" spans="1:2" x14ac:dyDescent="0.3">
      <c r="A1023" t="s">
        <v>24</v>
      </c>
      <c r="B1023" t="s">
        <v>30</v>
      </c>
    </row>
    <row r="1024" spans="1:2" x14ac:dyDescent="0.3">
      <c r="A1024" t="s">
        <v>22</v>
      </c>
      <c r="B1024" t="s">
        <v>17</v>
      </c>
    </row>
    <row r="1025" spans="1:2" x14ac:dyDescent="0.3">
      <c r="A1025" t="s">
        <v>24</v>
      </c>
      <c r="B1025" t="s">
        <v>30</v>
      </c>
    </row>
    <row r="1026" spans="1:2" x14ac:dyDescent="0.3">
      <c r="A1026" t="s">
        <v>37</v>
      </c>
      <c r="B1026" t="s">
        <v>30</v>
      </c>
    </row>
    <row r="1027" spans="1:2" x14ac:dyDescent="0.3">
      <c r="A1027" t="s">
        <v>26</v>
      </c>
      <c r="B1027" t="s">
        <v>33</v>
      </c>
    </row>
    <row r="1028" spans="1:2" x14ac:dyDescent="0.3">
      <c r="A1028" t="s">
        <v>24</v>
      </c>
      <c r="B1028" t="s">
        <v>31</v>
      </c>
    </row>
    <row r="1029" spans="1:2" x14ac:dyDescent="0.3">
      <c r="A1029" t="s">
        <v>18</v>
      </c>
      <c r="B1029" t="s">
        <v>33</v>
      </c>
    </row>
    <row r="1030" spans="1:2" x14ac:dyDescent="0.3">
      <c r="A1030" t="s">
        <v>37</v>
      </c>
      <c r="B1030" t="s">
        <v>33</v>
      </c>
    </row>
    <row r="1031" spans="1:2" x14ac:dyDescent="0.3">
      <c r="A1031" t="s">
        <v>22</v>
      </c>
      <c r="B1031" t="s">
        <v>23</v>
      </c>
    </row>
    <row r="1032" spans="1:2" x14ac:dyDescent="0.3">
      <c r="A1032" t="s">
        <v>18</v>
      </c>
      <c r="B1032" t="s">
        <v>23</v>
      </c>
    </row>
    <row r="1033" spans="1:2" x14ac:dyDescent="0.3">
      <c r="A1033" t="s">
        <v>26</v>
      </c>
      <c r="B1033" t="s">
        <v>31</v>
      </c>
    </row>
    <row r="1034" spans="1:2" x14ac:dyDescent="0.3">
      <c r="A1034" t="s">
        <v>18</v>
      </c>
      <c r="B1034" t="s">
        <v>17</v>
      </c>
    </row>
    <row r="1035" spans="1:2" x14ac:dyDescent="0.3">
      <c r="A1035" t="s">
        <v>22</v>
      </c>
      <c r="B1035" t="s">
        <v>17</v>
      </c>
    </row>
    <row r="1036" spans="1:2" x14ac:dyDescent="0.3">
      <c r="A1036" t="s">
        <v>18</v>
      </c>
      <c r="B1036" t="s">
        <v>17</v>
      </c>
    </row>
    <row r="1037" spans="1:2" x14ac:dyDescent="0.3">
      <c r="A1037" t="s">
        <v>18</v>
      </c>
      <c r="B1037" t="s">
        <v>17</v>
      </c>
    </row>
    <row r="1038" spans="1:2" x14ac:dyDescent="0.3">
      <c r="A1038" t="s">
        <v>26</v>
      </c>
      <c r="B1038" t="s">
        <v>17</v>
      </c>
    </row>
    <row r="1039" spans="1:2" x14ac:dyDescent="0.3">
      <c r="A1039" t="s">
        <v>18</v>
      </c>
      <c r="B1039" t="s">
        <v>23</v>
      </c>
    </row>
    <row r="1040" spans="1:2" x14ac:dyDescent="0.3">
      <c r="A1040" t="s">
        <v>26</v>
      </c>
      <c r="B1040" t="s">
        <v>17</v>
      </c>
    </row>
    <row r="1041" spans="1:2" x14ac:dyDescent="0.3">
      <c r="A1041" t="s">
        <v>18</v>
      </c>
      <c r="B1041" t="s">
        <v>23</v>
      </c>
    </row>
    <row r="1042" spans="1:2" x14ac:dyDescent="0.3">
      <c r="A1042" t="s">
        <v>18</v>
      </c>
      <c r="B1042" t="s">
        <v>23</v>
      </c>
    </row>
    <row r="1043" spans="1:2" x14ac:dyDescent="0.3">
      <c r="A1043" t="s">
        <v>37</v>
      </c>
      <c r="B1043" t="s">
        <v>30</v>
      </c>
    </row>
    <row r="1044" spans="1:2" x14ac:dyDescent="0.3">
      <c r="A1044" t="s">
        <v>24</v>
      </c>
      <c r="B1044" t="s">
        <v>17</v>
      </c>
    </row>
    <row r="1045" spans="1:2" x14ac:dyDescent="0.3">
      <c r="A1045" t="s">
        <v>18</v>
      </c>
      <c r="B1045" t="s">
        <v>17</v>
      </c>
    </row>
    <row r="1046" spans="1:2" x14ac:dyDescent="0.3">
      <c r="A1046" t="s">
        <v>18</v>
      </c>
      <c r="B1046" t="s">
        <v>30</v>
      </c>
    </row>
    <row r="1047" spans="1:2" x14ac:dyDescent="0.3">
      <c r="A1047" t="s">
        <v>37</v>
      </c>
      <c r="B1047" t="s">
        <v>17</v>
      </c>
    </row>
    <row r="1048" spans="1:2" x14ac:dyDescent="0.3">
      <c r="A1048" t="s">
        <v>24</v>
      </c>
      <c r="B1048" t="s">
        <v>17</v>
      </c>
    </row>
    <row r="1049" spans="1:2" x14ac:dyDescent="0.3">
      <c r="A1049" t="s">
        <v>26</v>
      </c>
      <c r="B1049" t="s">
        <v>31</v>
      </c>
    </row>
    <row r="1050" spans="1:2" x14ac:dyDescent="0.3">
      <c r="A1050" t="s">
        <v>37</v>
      </c>
      <c r="B1050" t="s">
        <v>17</v>
      </c>
    </row>
    <row r="1051" spans="1:2" x14ac:dyDescent="0.3">
      <c r="A1051" t="s">
        <v>37</v>
      </c>
      <c r="B1051" t="s">
        <v>33</v>
      </c>
    </row>
    <row r="1052" spans="1:2" x14ac:dyDescent="0.3">
      <c r="A1052" t="s">
        <v>18</v>
      </c>
      <c r="B1052" t="s">
        <v>33</v>
      </c>
    </row>
    <row r="1053" spans="1:2" x14ac:dyDescent="0.3">
      <c r="A1053" t="s">
        <v>22</v>
      </c>
      <c r="B1053" t="s">
        <v>33</v>
      </c>
    </row>
    <row r="1054" spans="1:2" x14ac:dyDescent="0.3">
      <c r="A1054" t="s">
        <v>26</v>
      </c>
      <c r="B1054" t="s">
        <v>17</v>
      </c>
    </row>
    <row r="1055" spans="1:2" x14ac:dyDescent="0.3">
      <c r="A1055" t="s">
        <v>37</v>
      </c>
      <c r="B1055" t="s">
        <v>33</v>
      </c>
    </row>
    <row r="1056" spans="1:2" x14ac:dyDescent="0.3">
      <c r="A1056" t="s">
        <v>18</v>
      </c>
      <c r="B1056" t="s">
        <v>33</v>
      </c>
    </row>
    <row r="1057" spans="1:2" x14ac:dyDescent="0.3">
      <c r="A1057" t="s">
        <v>18</v>
      </c>
      <c r="B1057" t="s">
        <v>33</v>
      </c>
    </row>
    <row r="1058" spans="1:2" x14ac:dyDescent="0.3">
      <c r="A1058" t="s">
        <v>37</v>
      </c>
      <c r="B1058" t="s">
        <v>33</v>
      </c>
    </row>
    <row r="1059" spans="1:2" x14ac:dyDescent="0.3">
      <c r="A1059" t="s">
        <v>24</v>
      </c>
      <c r="B1059" t="s">
        <v>17</v>
      </c>
    </row>
    <row r="1060" spans="1:2" x14ac:dyDescent="0.3">
      <c r="A1060" t="s">
        <v>18</v>
      </c>
      <c r="B1060" t="s">
        <v>33</v>
      </c>
    </row>
    <row r="1061" spans="1:2" x14ac:dyDescent="0.3">
      <c r="A1061" t="s">
        <v>37</v>
      </c>
      <c r="B1061" t="s">
        <v>31</v>
      </c>
    </row>
    <row r="1062" spans="1:2" x14ac:dyDescent="0.3">
      <c r="A1062" t="s">
        <v>24</v>
      </c>
      <c r="B1062" t="s">
        <v>30</v>
      </c>
    </row>
    <row r="1063" spans="1:2" x14ac:dyDescent="0.3">
      <c r="A1063" t="s">
        <v>18</v>
      </c>
      <c r="B1063" t="s">
        <v>23</v>
      </c>
    </row>
    <row r="1064" spans="1:2" x14ac:dyDescent="0.3">
      <c r="A1064" t="s">
        <v>37</v>
      </c>
      <c r="B1064" t="s">
        <v>30</v>
      </c>
    </row>
    <row r="1065" spans="1:2" x14ac:dyDescent="0.3">
      <c r="A1065" t="s">
        <v>24</v>
      </c>
      <c r="B1065" t="s">
        <v>17</v>
      </c>
    </row>
    <row r="1066" spans="1:2" x14ac:dyDescent="0.3">
      <c r="A1066" t="s">
        <v>26</v>
      </c>
      <c r="B1066" t="s">
        <v>17</v>
      </c>
    </row>
    <row r="1067" spans="1:2" x14ac:dyDescent="0.3">
      <c r="A1067" t="s">
        <v>26</v>
      </c>
      <c r="B1067" t="s">
        <v>23</v>
      </c>
    </row>
    <row r="1068" spans="1:2" x14ac:dyDescent="0.3">
      <c r="A1068" t="s">
        <v>24</v>
      </c>
      <c r="B1068" t="s">
        <v>31</v>
      </c>
    </row>
    <row r="1069" spans="1:2" x14ac:dyDescent="0.3">
      <c r="A1069" t="s">
        <v>22</v>
      </c>
      <c r="B1069" t="s">
        <v>31</v>
      </c>
    </row>
    <row r="1070" spans="1:2" x14ac:dyDescent="0.3">
      <c r="A1070" t="s">
        <v>22</v>
      </c>
      <c r="B1070" t="s">
        <v>31</v>
      </c>
    </row>
    <row r="1071" spans="1:2" x14ac:dyDescent="0.3">
      <c r="A1071" t="s">
        <v>26</v>
      </c>
      <c r="B1071" t="s">
        <v>33</v>
      </c>
    </row>
    <row r="1072" spans="1:2" x14ac:dyDescent="0.3">
      <c r="A1072" t="s">
        <v>22</v>
      </c>
      <c r="B1072" t="s">
        <v>17</v>
      </c>
    </row>
    <row r="1073" spans="1:2" x14ac:dyDescent="0.3">
      <c r="A1073" t="s">
        <v>18</v>
      </c>
      <c r="B1073" t="s">
        <v>23</v>
      </c>
    </row>
    <row r="1074" spans="1:2" x14ac:dyDescent="0.3">
      <c r="A1074" t="s">
        <v>26</v>
      </c>
      <c r="B1074" t="s">
        <v>17</v>
      </c>
    </row>
    <row r="1075" spans="1:2" x14ac:dyDescent="0.3">
      <c r="A1075" t="s">
        <v>26</v>
      </c>
      <c r="B1075" t="s">
        <v>17</v>
      </c>
    </row>
    <row r="1076" spans="1:2" x14ac:dyDescent="0.3">
      <c r="A1076" t="s">
        <v>18</v>
      </c>
      <c r="B1076" t="s">
        <v>23</v>
      </c>
    </row>
    <row r="1077" spans="1:2" x14ac:dyDescent="0.3">
      <c r="A1077" t="s">
        <v>37</v>
      </c>
      <c r="B1077" t="s">
        <v>17</v>
      </c>
    </row>
    <row r="1078" spans="1:2" x14ac:dyDescent="0.3">
      <c r="A1078" t="s">
        <v>22</v>
      </c>
      <c r="B1078" t="s">
        <v>31</v>
      </c>
    </row>
    <row r="1079" spans="1:2" x14ac:dyDescent="0.3">
      <c r="A1079" t="s">
        <v>22</v>
      </c>
      <c r="B1079" t="s">
        <v>23</v>
      </c>
    </row>
    <row r="1080" spans="1:2" x14ac:dyDescent="0.3">
      <c r="A1080" t="s">
        <v>37</v>
      </c>
      <c r="B1080" t="s">
        <v>17</v>
      </c>
    </row>
    <row r="1081" spans="1:2" x14ac:dyDescent="0.3">
      <c r="A1081" t="s">
        <v>26</v>
      </c>
      <c r="B1081" t="s">
        <v>17</v>
      </c>
    </row>
    <row r="1082" spans="1:2" x14ac:dyDescent="0.3">
      <c r="A1082" t="s">
        <v>37</v>
      </c>
      <c r="B1082" t="s">
        <v>30</v>
      </c>
    </row>
    <row r="1083" spans="1:2" x14ac:dyDescent="0.3">
      <c r="A1083" t="s">
        <v>37</v>
      </c>
      <c r="B1083" t="s">
        <v>31</v>
      </c>
    </row>
    <row r="1084" spans="1:2" x14ac:dyDescent="0.3">
      <c r="A1084" t="s">
        <v>37</v>
      </c>
      <c r="B1084" t="s">
        <v>17</v>
      </c>
    </row>
    <row r="1085" spans="1:2" x14ac:dyDescent="0.3">
      <c r="A1085" t="s">
        <v>24</v>
      </c>
      <c r="B1085" t="s">
        <v>31</v>
      </c>
    </row>
    <row r="1086" spans="1:2" x14ac:dyDescent="0.3">
      <c r="A1086" t="s">
        <v>22</v>
      </c>
      <c r="B1086" t="s">
        <v>17</v>
      </c>
    </row>
    <row r="1087" spans="1:2" x14ac:dyDescent="0.3">
      <c r="A1087" t="s">
        <v>18</v>
      </c>
      <c r="B1087" t="s">
        <v>33</v>
      </c>
    </row>
    <row r="1088" spans="1:2" x14ac:dyDescent="0.3">
      <c r="A1088" t="s">
        <v>18</v>
      </c>
      <c r="B1088" t="s">
        <v>17</v>
      </c>
    </row>
    <row r="1089" spans="1:2" x14ac:dyDescent="0.3">
      <c r="A1089" t="s">
        <v>22</v>
      </c>
      <c r="B1089" t="s">
        <v>17</v>
      </c>
    </row>
    <row r="1090" spans="1:2" x14ac:dyDescent="0.3">
      <c r="A1090" t="s">
        <v>24</v>
      </c>
      <c r="B1090" t="s">
        <v>17</v>
      </c>
    </row>
    <row r="1091" spans="1:2" x14ac:dyDescent="0.3">
      <c r="A1091" t="s">
        <v>37</v>
      </c>
      <c r="B1091" t="s">
        <v>17</v>
      </c>
    </row>
    <row r="1092" spans="1:2" x14ac:dyDescent="0.3">
      <c r="A1092" t="s">
        <v>18</v>
      </c>
      <c r="B1092" t="s">
        <v>31</v>
      </c>
    </row>
    <row r="1093" spans="1:2" x14ac:dyDescent="0.3">
      <c r="A1093" t="s">
        <v>26</v>
      </c>
      <c r="B1093" t="s">
        <v>23</v>
      </c>
    </row>
    <row r="1094" spans="1:2" x14ac:dyDescent="0.3">
      <c r="A1094" t="s">
        <v>18</v>
      </c>
      <c r="B1094" t="s">
        <v>17</v>
      </c>
    </row>
    <row r="1095" spans="1:2" x14ac:dyDescent="0.3">
      <c r="A1095" t="s">
        <v>37</v>
      </c>
      <c r="B1095" t="s">
        <v>23</v>
      </c>
    </row>
    <row r="1096" spans="1:2" x14ac:dyDescent="0.3">
      <c r="A1096" t="s">
        <v>37</v>
      </c>
      <c r="B1096" t="s">
        <v>17</v>
      </c>
    </row>
    <row r="1097" spans="1:2" x14ac:dyDescent="0.3">
      <c r="A1097" t="s">
        <v>22</v>
      </c>
      <c r="B1097" t="s">
        <v>17</v>
      </c>
    </row>
    <row r="1098" spans="1:2" x14ac:dyDescent="0.3">
      <c r="A1098" t="s">
        <v>26</v>
      </c>
      <c r="B1098" t="s">
        <v>33</v>
      </c>
    </row>
    <row r="1099" spans="1:2" x14ac:dyDescent="0.3">
      <c r="A1099" t="s">
        <v>22</v>
      </c>
      <c r="B1099" t="s">
        <v>33</v>
      </c>
    </row>
    <row r="1100" spans="1:2" x14ac:dyDescent="0.3">
      <c r="A1100" t="s">
        <v>24</v>
      </c>
      <c r="B1100" t="s">
        <v>23</v>
      </c>
    </row>
    <row r="1101" spans="1:2" x14ac:dyDescent="0.3">
      <c r="A1101" t="s">
        <v>37</v>
      </c>
      <c r="B1101" t="s">
        <v>31</v>
      </c>
    </row>
    <row r="1102" spans="1:2" x14ac:dyDescent="0.3">
      <c r="A1102" t="s">
        <v>24</v>
      </c>
      <c r="B1102" t="s">
        <v>17</v>
      </c>
    </row>
    <row r="1103" spans="1:2" x14ac:dyDescent="0.3">
      <c r="A1103" t="s">
        <v>18</v>
      </c>
      <c r="B1103" t="s">
        <v>17</v>
      </c>
    </row>
    <row r="1104" spans="1:2" x14ac:dyDescent="0.3">
      <c r="A1104" t="s">
        <v>37</v>
      </c>
      <c r="B1104" t="s">
        <v>17</v>
      </c>
    </row>
    <row r="1105" spans="1:2" x14ac:dyDescent="0.3">
      <c r="A1105" t="s">
        <v>18</v>
      </c>
      <c r="B1105" t="s">
        <v>33</v>
      </c>
    </row>
    <row r="1106" spans="1:2" x14ac:dyDescent="0.3">
      <c r="A1106" t="s">
        <v>37</v>
      </c>
      <c r="B1106" t="s">
        <v>17</v>
      </c>
    </row>
    <row r="1107" spans="1:2" x14ac:dyDescent="0.3">
      <c r="A1107" t="s">
        <v>22</v>
      </c>
      <c r="B1107" t="s">
        <v>17</v>
      </c>
    </row>
    <row r="1108" spans="1:2" x14ac:dyDescent="0.3">
      <c r="A1108" t="s">
        <v>24</v>
      </c>
      <c r="B1108" t="s">
        <v>17</v>
      </c>
    </row>
    <row r="1109" spans="1:2" x14ac:dyDescent="0.3">
      <c r="A1109" t="s">
        <v>26</v>
      </c>
      <c r="B1109" t="s">
        <v>17</v>
      </c>
    </row>
    <row r="1110" spans="1:2" x14ac:dyDescent="0.3">
      <c r="A1110" t="s">
        <v>24</v>
      </c>
      <c r="B1110" t="s">
        <v>17</v>
      </c>
    </row>
    <row r="1111" spans="1:2" x14ac:dyDescent="0.3">
      <c r="A1111" t="s">
        <v>24</v>
      </c>
      <c r="B1111" t="s">
        <v>17</v>
      </c>
    </row>
    <row r="1112" spans="1:2" x14ac:dyDescent="0.3">
      <c r="A1112" t="s">
        <v>18</v>
      </c>
      <c r="B1112" t="s">
        <v>17</v>
      </c>
    </row>
    <row r="1113" spans="1:2" x14ac:dyDescent="0.3">
      <c r="A1113" t="s">
        <v>26</v>
      </c>
      <c r="B1113" t="s">
        <v>17</v>
      </c>
    </row>
    <row r="1114" spans="1:2" x14ac:dyDescent="0.3">
      <c r="A1114" t="s">
        <v>24</v>
      </c>
      <c r="B1114" t="s">
        <v>23</v>
      </c>
    </row>
    <row r="1115" spans="1:2" x14ac:dyDescent="0.3">
      <c r="A1115" t="s">
        <v>26</v>
      </c>
      <c r="B1115" t="s">
        <v>17</v>
      </c>
    </row>
    <row r="1116" spans="1:2" x14ac:dyDescent="0.3">
      <c r="A1116" t="s">
        <v>18</v>
      </c>
      <c r="B1116" t="s">
        <v>23</v>
      </c>
    </row>
    <row r="1117" spans="1:2" x14ac:dyDescent="0.3">
      <c r="A1117" t="s">
        <v>24</v>
      </c>
      <c r="B1117" t="s">
        <v>30</v>
      </c>
    </row>
    <row r="1118" spans="1:2" x14ac:dyDescent="0.3">
      <c r="A1118" t="s">
        <v>26</v>
      </c>
      <c r="B1118" t="s">
        <v>17</v>
      </c>
    </row>
    <row r="1119" spans="1:2" x14ac:dyDescent="0.3">
      <c r="A1119" t="s">
        <v>37</v>
      </c>
      <c r="B1119" t="s">
        <v>30</v>
      </c>
    </row>
    <row r="1120" spans="1:2" x14ac:dyDescent="0.3">
      <c r="A1120" t="s">
        <v>24</v>
      </c>
      <c r="B1120" t="s">
        <v>30</v>
      </c>
    </row>
    <row r="1121" spans="1:2" x14ac:dyDescent="0.3">
      <c r="A1121" t="s">
        <v>24</v>
      </c>
      <c r="B1121" t="s">
        <v>33</v>
      </c>
    </row>
    <row r="1122" spans="1:2" x14ac:dyDescent="0.3">
      <c r="A1122" t="s">
        <v>24</v>
      </c>
      <c r="B1122" t="s">
        <v>31</v>
      </c>
    </row>
    <row r="1123" spans="1:2" x14ac:dyDescent="0.3">
      <c r="A1123" t="s">
        <v>37</v>
      </c>
      <c r="B1123" t="s">
        <v>33</v>
      </c>
    </row>
    <row r="1124" spans="1:2" x14ac:dyDescent="0.3">
      <c r="A1124" t="s">
        <v>22</v>
      </c>
      <c r="B1124" t="s">
        <v>33</v>
      </c>
    </row>
    <row r="1125" spans="1:2" x14ac:dyDescent="0.3">
      <c r="A1125" t="s">
        <v>37</v>
      </c>
      <c r="B1125" t="s">
        <v>23</v>
      </c>
    </row>
    <row r="1126" spans="1:2" x14ac:dyDescent="0.3">
      <c r="A1126" t="s">
        <v>24</v>
      </c>
      <c r="B1126" t="s">
        <v>17</v>
      </c>
    </row>
    <row r="1127" spans="1:2" x14ac:dyDescent="0.3">
      <c r="A1127" t="s">
        <v>22</v>
      </c>
      <c r="B1127" t="s">
        <v>31</v>
      </c>
    </row>
    <row r="1128" spans="1:2" x14ac:dyDescent="0.3">
      <c r="A1128" t="s">
        <v>26</v>
      </c>
      <c r="B1128" t="s">
        <v>23</v>
      </c>
    </row>
    <row r="1129" spans="1:2" x14ac:dyDescent="0.3">
      <c r="A1129" t="s">
        <v>37</v>
      </c>
      <c r="B1129" t="s">
        <v>17</v>
      </c>
    </row>
    <row r="1130" spans="1:2" x14ac:dyDescent="0.3">
      <c r="A1130" t="s">
        <v>26</v>
      </c>
      <c r="B1130" t="s">
        <v>17</v>
      </c>
    </row>
    <row r="1131" spans="1:2" x14ac:dyDescent="0.3">
      <c r="A1131" t="s">
        <v>18</v>
      </c>
      <c r="B1131" t="s">
        <v>30</v>
      </c>
    </row>
    <row r="1132" spans="1:2" x14ac:dyDescent="0.3">
      <c r="A1132" t="s">
        <v>26</v>
      </c>
      <c r="B1132" t="s">
        <v>17</v>
      </c>
    </row>
    <row r="1133" spans="1:2" x14ac:dyDescent="0.3">
      <c r="A1133" t="s">
        <v>26</v>
      </c>
      <c r="B1133" t="s">
        <v>23</v>
      </c>
    </row>
    <row r="1134" spans="1:2" x14ac:dyDescent="0.3">
      <c r="A1134" t="s">
        <v>24</v>
      </c>
      <c r="B1134" t="s">
        <v>23</v>
      </c>
    </row>
    <row r="1135" spans="1:2" x14ac:dyDescent="0.3">
      <c r="A1135" t="s">
        <v>24</v>
      </c>
      <c r="B1135" t="s">
        <v>23</v>
      </c>
    </row>
    <row r="1136" spans="1:2" x14ac:dyDescent="0.3">
      <c r="A1136" t="s">
        <v>22</v>
      </c>
      <c r="B1136" t="s">
        <v>17</v>
      </c>
    </row>
    <row r="1137" spans="1:2" x14ac:dyDescent="0.3">
      <c r="A1137" t="s">
        <v>24</v>
      </c>
      <c r="B1137" t="s">
        <v>23</v>
      </c>
    </row>
    <row r="1138" spans="1:2" x14ac:dyDescent="0.3">
      <c r="A1138" t="s">
        <v>37</v>
      </c>
      <c r="B1138" t="s">
        <v>30</v>
      </c>
    </row>
    <row r="1139" spans="1:2" x14ac:dyDescent="0.3">
      <c r="A1139" t="s">
        <v>24</v>
      </c>
      <c r="B1139" t="s">
        <v>17</v>
      </c>
    </row>
    <row r="1140" spans="1:2" x14ac:dyDescent="0.3">
      <c r="A1140" t="s">
        <v>22</v>
      </c>
      <c r="B1140" t="s">
        <v>30</v>
      </c>
    </row>
    <row r="1141" spans="1:2" x14ac:dyDescent="0.3">
      <c r="A1141" t="s">
        <v>18</v>
      </c>
      <c r="B1141" t="s">
        <v>23</v>
      </c>
    </row>
    <row r="1142" spans="1:2" x14ac:dyDescent="0.3">
      <c r="A1142" t="s">
        <v>26</v>
      </c>
      <c r="B1142" t="s">
        <v>31</v>
      </c>
    </row>
    <row r="1143" spans="1:2" x14ac:dyDescent="0.3">
      <c r="A1143" t="s">
        <v>22</v>
      </c>
      <c r="B1143" t="s">
        <v>33</v>
      </c>
    </row>
    <row r="1144" spans="1:2" x14ac:dyDescent="0.3">
      <c r="A1144" t="s">
        <v>24</v>
      </c>
      <c r="B1144" t="s">
        <v>17</v>
      </c>
    </row>
    <row r="1145" spans="1:2" x14ac:dyDescent="0.3">
      <c r="A1145" t="s">
        <v>26</v>
      </c>
      <c r="B1145" t="s">
        <v>31</v>
      </c>
    </row>
    <row r="1146" spans="1:2" x14ac:dyDescent="0.3">
      <c r="A1146" t="s">
        <v>22</v>
      </c>
      <c r="B1146" t="s">
        <v>23</v>
      </c>
    </row>
    <row r="1147" spans="1:2" x14ac:dyDescent="0.3">
      <c r="A1147" t="s">
        <v>24</v>
      </c>
      <c r="B1147" t="s">
        <v>17</v>
      </c>
    </row>
    <row r="1148" spans="1:2" x14ac:dyDescent="0.3">
      <c r="A1148" t="s">
        <v>37</v>
      </c>
      <c r="B1148" t="s">
        <v>23</v>
      </c>
    </row>
    <row r="1149" spans="1:2" x14ac:dyDescent="0.3">
      <c r="A1149" t="s">
        <v>37</v>
      </c>
      <c r="B1149" t="s">
        <v>30</v>
      </c>
    </row>
    <row r="1150" spans="1:2" x14ac:dyDescent="0.3">
      <c r="A1150" t="s">
        <v>22</v>
      </c>
      <c r="B1150" t="s">
        <v>17</v>
      </c>
    </row>
    <row r="1151" spans="1:2" x14ac:dyDescent="0.3">
      <c r="A1151" t="s">
        <v>18</v>
      </c>
      <c r="B1151" t="s">
        <v>30</v>
      </c>
    </row>
    <row r="1152" spans="1:2" x14ac:dyDescent="0.3">
      <c r="A1152" t="s">
        <v>24</v>
      </c>
      <c r="B1152" t="s">
        <v>17</v>
      </c>
    </row>
    <row r="1153" spans="1:2" x14ac:dyDescent="0.3">
      <c r="A1153" t="s">
        <v>26</v>
      </c>
      <c r="B1153" t="s">
        <v>23</v>
      </c>
    </row>
    <row r="1154" spans="1:2" x14ac:dyDescent="0.3">
      <c r="A1154" t="s">
        <v>18</v>
      </c>
      <c r="B1154" t="s">
        <v>33</v>
      </c>
    </row>
    <row r="1155" spans="1:2" x14ac:dyDescent="0.3">
      <c r="A1155" t="s">
        <v>24</v>
      </c>
      <c r="B1155" t="s">
        <v>23</v>
      </c>
    </row>
    <row r="1156" spans="1:2" x14ac:dyDescent="0.3">
      <c r="A1156" t="s">
        <v>22</v>
      </c>
      <c r="B1156" t="s">
        <v>17</v>
      </c>
    </row>
    <row r="1157" spans="1:2" x14ac:dyDescent="0.3">
      <c r="A1157" t="s">
        <v>18</v>
      </c>
      <c r="B1157" t="s">
        <v>17</v>
      </c>
    </row>
    <row r="1158" spans="1:2" x14ac:dyDescent="0.3">
      <c r="A1158" t="s">
        <v>37</v>
      </c>
      <c r="B1158" t="s">
        <v>30</v>
      </c>
    </row>
    <row r="1159" spans="1:2" x14ac:dyDescent="0.3">
      <c r="A1159" t="s">
        <v>18</v>
      </c>
      <c r="B1159" t="s">
        <v>23</v>
      </c>
    </row>
    <row r="1160" spans="1:2" x14ac:dyDescent="0.3">
      <c r="A1160" t="s">
        <v>37</v>
      </c>
      <c r="B1160" t="s">
        <v>17</v>
      </c>
    </row>
    <row r="1161" spans="1:2" x14ac:dyDescent="0.3">
      <c r="A1161" t="s">
        <v>18</v>
      </c>
      <c r="B1161" t="s">
        <v>17</v>
      </c>
    </row>
    <row r="1162" spans="1:2" x14ac:dyDescent="0.3">
      <c r="A1162" t="s">
        <v>37</v>
      </c>
      <c r="B1162" t="s">
        <v>17</v>
      </c>
    </row>
    <row r="1163" spans="1:2" x14ac:dyDescent="0.3">
      <c r="A1163" t="s">
        <v>26</v>
      </c>
      <c r="B1163" t="s">
        <v>31</v>
      </c>
    </row>
    <row r="1164" spans="1:2" x14ac:dyDescent="0.3">
      <c r="A1164" t="s">
        <v>24</v>
      </c>
      <c r="B1164" t="s">
        <v>30</v>
      </c>
    </row>
    <row r="1165" spans="1:2" x14ac:dyDescent="0.3">
      <c r="A1165" t="s">
        <v>26</v>
      </c>
      <c r="B1165" t="s">
        <v>17</v>
      </c>
    </row>
    <row r="1166" spans="1:2" x14ac:dyDescent="0.3">
      <c r="A1166" t="s">
        <v>24</v>
      </c>
      <c r="B1166" t="s">
        <v>30</v>
      </c>
    </row>
    <row r="1167" spans="1:2" x14ac:dyDescent="0.3">
      <c r="A1167" t="s">
        <v>18</v>
      </c>
      <c r="B1167" t="s">
        <v>31</v>
      </c>
    </row>
    <row r="1168" spans="1:2" x14ac:dyDescent="0.3">
      <c r="A1168" t="s">
        <v>22</v>
      </c>
      <c r="B1168" t="s">
        <v>31</v>
      </c>
    </row>
    <row r="1169" spans="1:2" x14ac:dyDescent="0.3">
      <c r="A1169" t="s">
        <v>24</v>
      </c>
      <c r="B1169" t="s">
        <v>33</v>
      </c>
    </row>
    <row r="1170" spans="1:2" x14ac:dyDescent="0.3">
      <c r="A1170" t="s">
        <v>18</v>
      </c>
      <c r="B1170" t="s">
        <v>30</v>
      </c>
    </row>
    <row r="1171" spans="1:2" x14ac:dyDescent="0.3">
      <c r="A1171" t="s">
        <v>22</v>
      </c>
      <c r="B1171" t="s">
        <v>23</v>
      </c>
    </row>
    <row r="1172" spans="1:2" x14ac:dyDescent="0.3">
      <c r="A1172" t="s">
        <v>26</v>
      </c>
      <c r="B1172" t="s">
        <v>23</v>
      </c>
    </row>
    <row r="1173" spans="1:2" x14ac:dyDescent="0.3">
      <c r="A1173" t="s">
        <v>22</v>
      </c>
      <c r="B1173" t="s">
        <v>17</v>
      </c>
    </row>
    <row r="1174" spans="1:2" x14ac:dyDescent="0.3">
      <c r="A1174" t="s">
        <v>22</v>
      </c>
      <c r="B1174" t="s">
        <v>33</v>
      </c>
    </row>
    <row r="1175" spans="1:2" x14ac:dyDescent="0.3">
      <c r="A1175" t="s">
        <v>22</v>
      </c>
      <c r="B1175" t="s">
        <v>17</v>
      </c>
    </row>
    <row r="1176" spans="1:2" x14ac:dyDescent="0.3">
      <c r="A1176" t="s">
        <v>26</v>
      </c>
      <c r="B1176" t="s">
        <v>17</v>
      </c>
    </row>
    <row r="1177" spans="1:2" x14ac:dyDescent="0.3">
      <c r="A1177" t="s">
        <v>37</v>
      </c>
      <c r="B1177" t="s">
        <v>30</v>
      </c>
    </row>
    <row r="1178" spans="1:2" x14ac:dyDescent="0.3">
      <c r="A1178" t="s">
        <v>22</v>
      </c>
      <c r="B1178" t="s">
        <v>31</v>
      </c>
    </row>
    <row r="1179" spans="1:2" x14ac:dyDescent="0.3">
      <c r="A1179" t="s">
        <v>22</v>
      </c>
      <c r="B1179" t="s">
        <v>17</v>
      </c>
    </row>
    <row r="1180" spans="1:2" x14ac:dyDescent="0.3">
      <c r="A1180" t="s">
        <v>37</v>
      </c>
      <c r="B1180" t="s">
        <v>17</v>
      </c>
    </row>
    <row r="1181" spans="1:2" x14ac:dyDescent="0.3">
      <c r="A1181" t="s">
        <v>37</v>
      </c>
      <c r="B1181" t="s">
        <v>30</v>
      </c>
    </row>
    <row r="1182" spans="1:2" x14ac:dyDescent="0.3">
      <c r="A1182" t="s">
        <v>22</v>
      </c>
      <c r="B1182" t="s">
        <v>17</v>
      </c>
    </row>
    <row r="1183" spans="1:2" x14ac:dyDescent="0.3">
      <c r="A1183" t="s">
        <v>24</v>
      </c>
      <c r="B1183" t="s">
        <v>23</v>
      </c>
    </row>
    <row r="1184" spans="1:2" x14ac:dyDescent="0.3">
      <c r="A1184" t="s">
        <v>37</v>
      </c>
      <c r="B1184" t="s">
        <v>17</v>
      </c>
    </row>
    <row r="1185" spans="1:2" x14ac:dyDescent="0.3">
      <c r="A1185" t="s">
        <v>22</v>
      </c>
      <c r="B1185" t="s">
        <v>23</v>
      </c>
    </row>
    <row r="1186" spans="1:2" x14ac:dyDescent="0.3">
      <c r="A1186" t="s">
        <v>18</v>
      </c>
      <c r="B1186" t="s">
        <v>17</v>
      </c>
    </row>
    <row r="1187" spans="1:2" x14ac:dyDescent="0.3">
      <c r="A1187" t="s">
        <v>37</v>
      </c>
      <c r="B1187" t="s">
        <v>17</v>
      </c>
    </row>
    <row r="1188" spans="1:2" x14ac:dyDescent="0.3">
      <c r="A1188" t="s">
        <v>24</v>
      </c>
      <c r="B1188" t="s">
        <v>17</v>
      </c>
    </row>
    <row r="1189" spans="1:2" x14ac:dyDescent="0.3">
      <c r="A1189" t="s">
        <v>22</v>
      </c>
      <c r="B1189" t="s">
        <v>30</v>
      </c>
    </row>
    <row r="1190" spans="1:2" x14ac:dyDescent="0.3">
      <c r="A1190" t="s">
        <v>24</v>
      </c>
      <c r="B1190" t="s">
        <v>23</v>
      </c>
    </row>
    <row r="1191" spans="1:2" x14ac:dyDescent="0.3">
      <c r="A1191" t="s">
        <v>37</v>
      </c>
      <c r="B1191" t="s">
        <v>17</v>
      </c>
    </row>
    <row r="1192" spans="1:2" x14ac:dyDescent="0.3">
      <c r="A1192" t="s">
        <v>26</v>
      </c>
      <c r="B1192" t="s">
        <v>17</v>
      </c>
    </row>
    <row r="1193" spans="1:2" x14ac:dyDescent="0.3">
      <c r="A1193" t="s">
        <v>24</v>
      </c>
      <c r="B1193" t="s">
        <v>30</v>
      </c>
    </row>
    <row r="1194" spans="1:2" x14ac:dyDescent="0.3">
      <c r="A1194" t="s">
        <v>18</v>
      </c>
      <c r="B1194" t="s">
        <v>23</v>
      </c>
    </row>
    <row r="1195" spans="1:2" x14ac:dyDescent="0.3">
      <c r="A1195" t="s">
        <v>37</v>
      </c>
      <c r="B1195" t="s">
        <v>17</v>
      </c>
    </row>
    <row r="1196" spans="1:2" x14ac:dyDescent="0.3">
      <c r="A1196" t="s">
        <v>22</v>
      </c>
      <c r="B1196" t="s">
        <v>17</v>
      </c>
    </row>
    <row r="1197" spans="1:2" x14ac:dyDescent="0.3">
      <c r="A1197" t="s">
        <v>18</v>
      </c>
      <c r="B1197" t="s">
        <v>17</v>
      </c>
    </row>
    <row r="1198" spans="1:2" x14ac:dyDescent="0.3">
      <c r="A1198" t="s">
        <v>26</v>
      </c>
      <c r="B1198" t="s">
        <v>31</v>
      </c>
    </row>
    <row r="1199" spans="1:2" x14ac:dyDescent="0.3">
      <c r="A1199" t="s">
        <v>18</v>
      </c>
      <c r="B1199" t="s">
        <v>30</v>
      </c>
    </row>
    <row r="1200" spans="1:2" x14ac:dyDescent="0.3">
      <c r="A1200" t="s">
        <v>22</v>
      </c>
      <c r="B1200" t="s">
        <v>17</v>
      </c>
    </row>
    <row r="1201" spans="1:2" x14ac:dyDescent="0.3">
      <c r="A1201" t="s">
        <v>18</v>
      </c>
      <c r="B1201" t="s">
        <v>30</v>
      </c>
    </row>
    <row r="1202" spans="1:2" x14ac:dyDescent="0.3">
      <c r="A1202" t="s">
        <v>18</v>
      </c>
      <c r="B1202" t="s">
        <v>17</v>
      </c>
    </row>
    <row r="1203" spans="1:2" x14ac:dyDescent="0.3">
      <c r="A1203" t="s">
        <v>26</v>
      </c>
      <c r="B1203" t="s">
        <v>17</v>
      </c>
    </row>
    <row r="1204" spans="1:2" x14ac:dyDescent="0.3">
      <c r="A1204" t="s">
        <v>18</v>
      </c>
      <c r="B1204" t="s">
        <v>17</v>
      </c>
    </row>
    <row r="1205" spans="1:2" x14ac:dyDescent="0.3">
      <c r="A1205" t="s">
        <v>26</v>
      </c>
      <c r="B1205" t="s">
        <v>17</v>
      </c>
    </row>
    <row r="1206" spans="1:2" x14ac:dyDescent="0.3">
      <c r="A1206" t="s">
        <v>18</v>
      </c>
      <c r="B1206" t="s">
        <v>17</v>
      </c>
    </row>
    <row r="1207" spans="1:2" x14ac:dyDescent="0.3">
      <c r="A1207" t="s">
        <v>18</v>
      </c>
      <c r="B1207" t="s">
        <v>17</v>
      </c>
    </row>
    <row r="1208" spans="1:2" x14ac:dyDescent="0.3">
      <c r="A1208" t="s">
        <v>37</v>
      </c>
      <c r="B1208" t="s">
        <v>17</v>
      </c>
    </row>
    <row r="1209" spans="1:2" x14ac:dyDescent="0.3">
      <c r="A1209" t="s">
        <v>24</v>
      </c>
      <c r="B1209" t="s">
        <v>17</v>
      </c>
    </row>
    <row r="1210" spans="1:2" x14ac:dyDescent="0.3">
      <c r="A1210" t="s">
        <v>18</v>
      </c>
      <c r="B1210" t="s">
        <v>23</v>
      </c>
    </row>
    <row r="1211" spans="1:2" x14ac:dyDescent="0.3">
      <c r="A1211" t="s">
        <v>18</v>
      </c>
      <c r="B1211" t="s">
        <v>17</v>
      </c>
    </row>
    <row r="1212" spans="1:2" x14ac:dyDescent="0.3">
      <c r="A1212" t="s">
        <v>37</v>
      </c>
      <c r="B1212" t="s">
        <v>23</v>
      </c>
    </row>
    <row r="1213" spans="1:2" x14ac:dyDescent="0.3">
      <c r="A1213" t="s">
        <v>24</v>
      </c>
      <c r="B1213" t="s">
        <v>30</v>
      </c>
    </row>
    <row r="1214" spans="1:2" x14ac:dyDescent="0.3">
      <c r="A1214" t="s">
        <v>26</v>
      </c>
      <c r="B1214" t="s">
        <v>17</v>
      </c>
    </row>
    <row r="1215" spans="1:2" x14ac:dyDescent="0.3">
      <c r="A1215" t="s">
        <v>37</v>
      </c>
      <c r="B1215" t="s">
        <v>30</v>
      </c>
    </row>
    <row r="1216" spans="1:2" x14ac:dyDescent="0.3">
      <c r="A1216" t="s">
        <v>37</v>
      </c>
      <c r="B1216" t="s">
        <v>30</v>
      </c>
    </row>
    <row r="1217" spans="1:2" x14ac:dyDescent="0.3">
      <c r="A1217" t="s">
        <v>18</v>
      </c>
      <c r="B1217" t="s">
        <v>33</v>
      </c>
    </row>
    <row r="1218" spans="1:2" x14ac:dyDescent="0.3">
      <c r="A1218" t="s">
        <v>22</v>
      </c>
      <c r="B1218" t="s">
        <v>31</v>
      </c>
    </row>
    <row r="1219" spans="1:2" x14ac:dyDescent="0.3">
      <c r="A1219" t="s">
        <v>26</v>
      </c>
      <c r="B1219" t="s">
        <v>33</v>
      </c>
    </row>
    <row r="1220" spans="1:2" x14ac:dyDescent="0.3">
      <c r="A1220" t="s">
        <v>18</v>
      </c>
      <c r="B1220" t="s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F98D4-63E3-47A8-879A-8005A162634A}">
  <dimension ref="A1:D1220"/>
  <sheetViews>
    <sheetView workbookViewId="0">
      <selection activeCell="H15" sqref="H15"/>
    </sheetView>
  </sheetViews>
  <sheetFormatPr defaultRowHeight="14.4" x14ac:dyDescent="0.3"/>
  <cols>
    <col min="1" max="1" width="10.33203125" bestFit="1" customWidth="1"/>
    <col min="2" max="2" width="13.5546875" bestFit="1" customWidth="1"/>
    <col min="3" max="3" width="11.77734375" bestFit="1" customWidth="1"/>
    <col min="4" max="4" width="5" bestFit="1" customWidth="1"/>
  </cols>
  <sheetData>
    <row r="1" spans="1:4" x14ac:dyDescent="0.3">
      <c r="A1" t="s">
        <v>13</v>
      </c>
      <c r="B1" t="s">
        <v>14</v>
      </c>
      <c r="C1" t="s">
        <v>15</v>
      </c>
      <c r="D1" t="s">
        <v>16</v>
      </c>
    </row>
    <row r="2" spans="1:4" x14ac:dyDescent="0.3">
      <c r="A2" s="1">
        <v>41640</v>
      </c>
      <c r="B2">
        <v>1</v>
      </c>
      <c r="C2" t="s">
        <v>21</v>
      </c>
      <c r="D2">
        <v>2014</v>
      </c>
    </row>
    <row r="3" spans="1:4" x14ac:dyDescent="0.3">
      <c r="A3" s="1">
        <v>41640</v>
      </c>
      <c r="B3">
        <v>1</v>
      </c>
      <c r="C3" t="s">
        <v>21</v>
      </c>
      <c r="D3">
        <v>2014</v>
      </c>
    </row>
    <row r="4" spans="1:4" x14ac:dyDescent="0.3">
      <c r="A4" s="1">
        <v>41791</v>
      </c>
      <c r="B4">
        <v>6</v>
      </c>
      <c r="C4" t="s">
        <v>25</v>
      </c>
      <c r="D4">
        <v>2014</v>
      </c>
    </row>
    <row r="5" spans="1:4" x14ac:dyDescent="0.3">
      <c r="A5" s="1">
        <v>41791</v>
      </c>
      <c r="B5">
        <v>6</v>
      </c>
      <c r="C5" t="s">
        <v>25</v>
      </c>
      <c r="D5">
        <v>2014</v>
      </c>
    </row>
    <row r="6" spans="1:4" x14ac:dyDescent="0.3">
      <c r="A6" s="1">
        <v>41791</v>
      </c>
      <c r="B6">
        <v>6</v>
      </c>
      <c r="C6" t="s">
        <v>25</v>
      </c>
      <c r="D6">
        <v>2014</v>
      </c>
    </row>
    <row r="7" spans="1:4" x14ac:dyDescent="0.3">
      <c r="A7" s="1">
        <v>41974</v>
      </c>
      <c r="B7">
        <v>12</v>
      </c>
      <c r="C7" t="s">
        <v>27</v>
      </c>
      <c r="D7">
        <v>2014</v>
      </c>
    </row>
    <row r="8" spans="1:4" x14ac:dyDescent="0.3">
      <c r="A8" s="1">
        <v>41699</v>
      </c>
      <c r="B8">
        <v>3</v>
      </c>
      <c r="C8" t="s">
        <v>29</v>
      </c>
      <c r="D8">
        <v>2014</v>
      </c>
    </row>
    <row r="9" spans="1:4" x14ac:dyDescent="0.3">
      <c r="A9" s="1">
        <v>41791</v>
      </c>
      <c r="B9">
        <v>6</v>
      </c>
      <c r="C9" t="s">
        <v>25</v>
      </c>
      <c r="D9">
        <v>2014</v>
      </c>
    </row>
    <row r="10" spans="1:4" x14ac:dyDescent="0.3">
      <c r="A10" s="1">
        <v>41791</v>
      </c>
      <c r="B10">
        <v>6</v>
      </c>
      <c r="C10" t="s">
        <v>25</v>
      </c>
      <c r="D10">
        <v>2014</v>
      </c>
    </row>
    <row r="11" spans="1:4" x14ac:dyDescent="0.3">
      <c r="A11" s="1">
        <v>41791</v>
      </c>
      <c r="B11">
        <v>6</v>
      </c>
      <c r="C11" t="s">
        <v>25</v>
      </c>
      <c r="D11">
        <v>2014</v>
      </c>
    </row>
    <row r="12" spans="1:4" x14ac:dyDescent="0.3">
      <c r="A12" s="1">
        <v>41791</v>
      </c>
      <c r="B12">
        <v>6</v>
      </c>
      <c r="C12" t="s">
        <v>25</v>
      </c>
      <c r="D12">
        <v>2014</v>
      </c>
    </row>
    <row r="13" spans="1:4" x14ac:dyDescent="0.3">
      <c r="A13" s="1">
        <v>41821</v>
      </c>
      <c r="B13">
        <v>7</v>
      </c>
      <c r="C13" t="s">
        <v>32</v>
      </c>
      <c r="D13">
        <v>2014</v>
      </c>
    </row>
    <row r="14" spans="1:4" x14ac:dyDescent="0.3">
      <c r="A14" s="1">
        <v>41852</v>
      </c>
      <c r="B14">
        <v>8</v>
      </c>
      <c r="C14" t="s">
        <v>34</v>
      </c>
      <c r="D14">
        <v>2014</v>
      </c>
    </row>
    <row r="15" spans="1:4" x14ac:dyDescent="0.3">
      <c r="A15" s="1">
        <v>41883</v>
      </c>
      <c r="B15">
        <v>9</v>
      </c>
      <c r="C15" t="s">
        <v>35</v>
      </c>
      <c r="D15">
        <v>2014</v>
      </c>
    </row>
    <row r="16" spans="1:4" x14ac:dyDescent="0.3">
      <c r="A16" s="1">
        <v>41548</v>
      </c>
      <c r="B16">
        <v>10</v>
      </c>
      <c r="C16" t="s">
        <v>36</v>
      </c>
      <c r="D16">
        <v>2013</v>
      </c>
    </row>
    <row r="17" spans="1:4" x14ac:dyDescent="0.3">
      <c r="A17" s="1">
        <v>41974</v>
      </c>
      <c r="B17">
        <v>12</v>
      </c>
      <c r="C17" t="s">
        <v>27</v>
      </c>
      <c r="D17">
        <v>2014</v>
      </c>
    </row>
    <row r="18" spans="1:4" x14ac:dyDescent="0.3">
      <c r="A18" s="1">
        <v>41671</v>
      </c>
      <c r="B18">
        <v>2</v>
      </c>
      <c r="C18" t="s">
        <v>39</v>
      </c>
      <c r="D18">
        <v>2014</v>
      </c>
    </row>
    <row r="19" spans="1:4" x14ac:dyDescent="0.3">
      <c r="A19" s="1">
        <v>41671</v>
      </c>
      <c r="B19">
        <v>2</v>
      </c>
      <c r="C19" t="s">
        <v>39</v>
      </c>
      <c r="D19">
        <v>2014</v>
      </c>
    </row>
    <row r="20" spans="1:4" x14ac:dyDescent="0.3">
      <c r="A20" s="1">
        <v>41791</v>
      </c>
      <c r="B20">
        <v>6</v>
      </c>
      <c r="C20" t="s">
        <v>25</v>
      </c>
      <c r="D20">
        <v>2014</v>
      </c>
    </row>
    <row r="21" spans="1:4" x14ac:dyDescent="0.3">
      <c r="A21" s="1">
        <v>41791</v>
      </c>
      <c r="B21">
        <v>6</v>
      </c>
      <c r="C21" t="s">
        <v>25</v>
      </c>
      <c r="D21">
        <v>2014</v>
      </c>
    </row>
    <row r="22" spans="1:4" x14ac:dyDescent="0.3">
      <c r="A22" s="1">
        <v>41821</v>
      </c>
      <c r="B22">
        <v>7</v>
      </c>
      <c r="C22" t="s">
        <v>32</v>
      </c>
      <c r="D22">
        <v>2014</v>
      </c>
    </row>
    <row r="23" spans="1:4" x14ac:dyDescent="0.3">
      <c r="A23" s="1">
        <v>41852</v>
      </c>
      <c r="B23">
        <v>8</v>
      </c>
      <c r="C23" t="s">
        <v>34</v>
      </c>
      <c r="D23">
        <v>2014</v>
      </c>
    </row>
    <row r="24" spans="1:4" x14ac:dyDescent="0.3">
      <c r="A24" s="1">
        <v>41518</v>
      </c>
      <c r="B24">
        <v>9</v>
      </c>
      <c r="C24" t="s">
        <v>35</v>
      </c>
      <c r="D24">
        <v>2013</v>
      </c>
    </row>
    <row r="25" spans="1:4" x14ac:dyDescent="0.3">
      <c r="A25" s="1">
        <v>41518</v>
      </c>
      <c r="B25">
        <v>9</v>
      </c>
      <c r="C25" t="s">
        <v>35</v>
      </c>
      <c r="D25">
        <v>2013</v>
      </c>
    </row>
    <row r="26" spans="1:4" x14ac:dyDescent="0.3">
      <c r="A26" s="1">
        <v>41883</v>
      </c>
      <c r="B26">
        <v>9</v>
      </c>
      <c r="C26" t="s">
        <v>35</v>
      </c>
      <c r="D26">
        <v>2014</v>
      </c>
    </row>
    <row r="27" spans="1:4" x14ac:dyDescent="0.3">
      <c r="A27" s="1">
        <v>41913</v>
      </c>
      <c r="B27">
        <v>10</v>
      </c>
      <c r="C27" t="s">
        <v>36</v>
      </c>
      <c r="D27">
        <v>2014</v>
      </c>
    </row>
    <row r="28" spans="1:4" x14ac:dyDescent="0.3">
      <c r="A28" s="1">
        <v>41579</v>
      </c>
      <c r="B28">
        <v>11</v>
      </c>
      <c r="C28" t="s">
        <v>40</v>
      </c>
      <c r="D28">
        <v>2013</v>
      </c>
    </row>
    <row r="29" spans="1:4" x14ac:dyDescent="0.3">
      <c r="A29" s="1">
        <v>41579</v>
      </c>
      <c r="B29">
        <v>11</v>
      </c>
      <c r="C29" t="s">
        <v>40</v>
      </c>
      <c r="D29">
        <v>2013</v>
      </c>
    </row>
    <row r="30" spans="1:4" x14ac:dyDescent="0.3">
      <c r="A30" s="1">
        <v>41609</v>
      </c>
      <c r="B30">
        <v>12</v>
      </c>
      <c r="C30" t="s">
        <v>27</v>
      </c>
      <c r="D30">
        <v>2013</v>
      </c>
    </row>
    <row r="31" spans="1:4" x14ac:dyDescent="0.3">
      <c r="A31" s="1">
        <v>41974</v>
      </c>
      <c r="B31">
        <v>12</v>
      </c>
      <c r="C31" t="s">
        <v>27</v>
      </c>
      <c r="D31">
        <v>2014</v>
      </c>
    </row>
    <row r="32" spans="1:4" x14ac:dyDescent="0.3">
      <c r="A32" s="1">
        <v>41974</v>
      </c>
      <c r="B32">
        <v>12</v>
      </c>
      <c r="C32" t="s">
        <v>27</v>
      </c>
      <c r="D32">
        <v>2014</v>
      </c>
    </row>
    <row r="33" spans="1:4" x14ac:dyDescent="0.3">
      <c r="A33" s="1">
        <v>41640</v>
      </c>
      <c r="B33">
        <v>1</v>
      </c>
      <c r="C33" t="s">
        <v>21</v>
      </c>
      <c r="D33">
        <v>2014</v>
      </c>
    </row>
    <row r="34" spans="1:4" x14ac:dyDescent="0.3">
      <c r="A34" s="1">
        <v>41671</v>
      </c>
      <c r="B34">
        <v>2</v>
      </c>
      <c r="C34" t="s">
        <v>39</v>
      </c>
      <c r="D34">
        <v>2014</v>
      </c>
    </row>
    <row r="35" spans="1:4" x14ac:dyDescent="0.3">
      <c r="A35" s="1">
        <v>41699</v>
      </c>
      <c r="B35">
        <v>3</v>
      </c>
      <c r="C35" t="s">
        <v>29</v>
      </c>
      <c r="D35">
        <v>2014</v>
      </c>
    </row>
    <row r="36" spans="1:4" x14ac:dyDescent="0.3">
      <c r="A36" s="1">
        <v>41791</v>
      </c>
      <c r="B36">
        <v>6</v>
      </c>
      <c r="C36" t="s">
        <v>25</v>
      </c>
      <c r="D36">
        <v>2014</v>
      </c>
    </row>
    <row r="37" spans="1:4" x14ac:dyDescent="0.3">
      <c r="A37" s="1">
        <v>41791</v>
      </c>
      <c r="B37">
        <v>6</v>
      </c>
      <c r="C37" t="s">
        <v>25</v>
      </c>
      <c r="D37">
        <v>2014</v>
      </c>
    </row>
    <row r="38" spans="1:4" x14ac:dyDescent="0.3">
      <c r="A38" s="1">
        <v>41852</v>
      </c>
      <c r="B38">
        <v>8</v>
      </c>
      <c r="C38" t="s">
        <v>34</v>
      </c>
      <c r="D38">
        <v>2014</v>
      </c>
    </row>
    <row r="39" spans="1:4" x14ac:dyDescent="0.3">
      <c r="A39" s="1">
        <v>41548</v>
      </c>
      <c r="B39">
        <v>10</v>
      </c>
      <c r="C39" t="s">
        <v>36</v>
      </c>
      <c r="D39">
        <v>2013</v>
      </c>
    </row>
    <row r="40" spans="1:4" x14ac:dyDescent="0.3">
      <c r="A40" s="1">
        <v>41671</v>
      </c>
      <c r="B40">
        <v>2</v>
      </c>
      <c r="C40" t="s">
        <v>39</v>
      </c>
      <c r="D40">
        <v>2014</v>
      </c>
    </row>
    <row r="41" spans="1:4" x14ac:dyDescent="0.3">
      <c r="A41" s="1">
        <v>41730</v>
      </c>
      <c r="B41">
        <v>4</v>
      </c>
      <c r="C41" t="s">
        <v>43</v>
      </c>
      <c r="D41">
        <v>2014</v>
      </c>
    </row>
    <row r="42" spans="1:4" x14ac:dyDescent="0.3">
      <c r="A42" s="1">
        <v>41791</v>
      </c>
      <c r="B42">
        <v>6</v>
      </c>
      <c r="C42" t="s">
        <v>25</v>
      </c>
      <c r="D42">
        <v>2014</v>
      </c>
    </row>
    <row r="43" spans="1:4" x14ac:dyDescent="0.3">
      <c r="A43" s="1">
        <v>41791</v>
      </c>
      <c r="B43">
        <v>6</v>
      </c>
      <c r="C43" t="s">
        <v>25</v>
      </c>
      <c r="D43">
        <v>2014</v>
      </c>
    </row>
    <row r="44" spans="1:4" x14ac:dyDescent="0.3">
      <c r="A44" s="1">
        <v>41518</v>
      </c>
      <c r="B44">
        <v>9</v>
      </c>
      <c r="C44" t="s">
        <v>35</v>
      </c>
      <c r="D44">
        <v>2013</v>
      </c>
    </row>
    <row r="45" spans="1:4" x14ac:dyDescent="0.3">
      <c r="A45" s="1">
        <v>41883</v>
      </c>
      <c r="B45">
        <v>9</v>
      </c>
      <c r="C45" t="s">
        <v>35</v>
      </c>
      <c r="D45">
        <v>2014</v>
      </c>
    </row>
    <row r="46" spans="1:4" x14ac:dyDescent="0.3">
      <c r="A46" s="1">
        <v>41974</v>
      </c>
      <c r="B46">
        <v>12</v>
      </c>
      <c r="C46" t="s">
        <v>27</v>
      </c>
      <c r="D46">
        <v>2014</v>
      </c>
    </row>
    <row r="47" spans="1:4" x14ac:dyDescent="0.3">
      <c r="A47" s="1">
        <v>41671</v>
      </c>
      <c r="B47">
        <v>2</v>
      </c>
      <c r="C47" t="s">
        <v>39</v>
      </c>
      <c r="D47">
        <v>2014</v>
      </c>
    </row>
    <row r="48" spans="1:4" x14ac:dyDescent="0.3">
      <c r="A48" s="1">
        <v>41730</v>
      </c>
      <c r="B48">
        <v>4</v>
      </c>
      <c r="C48" t="s">
        <v>43</v>
      </c>
      <c r="D48">
        <v>2014</v>
      </c>
    </row>
    <row r="49" spans="1:4" x14ac:dyDescent="0.3">
      <c r="A49" s="1">
        <v>41730</v>
      </c>
      <c r="B49">
        <v>4</v>
      </c>
      <c r="C49" t="s">
        <v>43</v>
      </c>
      <c r="D49">
        <v>2014</v>
      </c>
    </row>
    <row r="50" spans="1:4" x14ac:dyDescent="0.3">
      <c r="A50" s="1">
        <v>41791</v>
      </c>
      <c r="B50">
        <v>6</v>
      </c>
      <c r="C50" t="s">
        <v>25</v>
      </c>
      <c r="D50">
        <v>2014</v>
      </c>
    </row>
    <row r="51" spans="1:4" x14ac:dyDescent="0.3">
      <c r="A51" s="1">
        <v>41821</v>
      </c>
      <c r="B51">
        <v>7</v>
      </c>
      <c r="C51" t="s">
        <v>32</v>
      </c>
      <c r="D51">
        <v>2014</v>
      </c>
    </row>
    <row r="52" spans="1:4" x14ac:dyDescent="0.3">
      <c r="A52" s="1">
        <v>41852</v>
      </c>
      <c r="B52">
        <v>8</v>
      </c>
      <c r="C52" t="s">
        <v>34</v>
      </c>
      <c r="D52">
        <v>2014</v>
      </c>
    </row>
    <row r="53" spans="1:4" x14ac:dyDescent="0.3">
      <c r="A53" s="1">
        <v>41913</v>
      </c>
      <c r="B53">
        <v>10</v>
      </c>
      <c r="C53" t="s">
        <v>36</v>
      </c>
      <c r="D53">
        <v>2014</v>
      </c>
    </row>
    <row r="54" spans="1:4" x14ac:dyDescent="0.3">
      <c r="A54" s="1">
        <v>41974</v>
      </c>
      <c r="B54">
        <v>12</v>
      </c>
      <c r="C54" t="s">
        <v>27</v>
      </c>
      <c r="D54">
        <v>2014</v>
      </c>
    </row>
    <row r="55" spans="1:4" x14ac:dyDescent="0.3">
      <c r="A55" s="1">
        <v>41640</v>
      </c>
      <c r="B55">
        <v>1</v>
      </c>
      <c r="C55" t="s">
        <v>21</v>
      </c>
      <c r="D55">
        <v>2014</v>
      </c>
    </row>
    <row r="56" spans="1:4" x14ac:dyDescent="0.3">
      <c r="A56" s="1">
        <v>41671</v>
      </c>
      <c r="B56">
        <v>2</v>
      </c>
      <c r="C56" t="s">
        <v>39</v>
      </c>
      <c r="D56">
        <v>2014</v>
      </c>
    </row>
    <row r="57" spans="1:4" x14ac:dyDescent="0.3">
      <c r="A57" s="1">
        <v>41760</v>
      </c>
      <c r="B57">
        <v>5</v>
      </c>
      <c r="C57" t="s">
        <v>46</v>
      </c>
      <c r="D57">
        <v>2014</v>
      </c>
    </row>
    <row r="58" spans="1:4" x14ac:dyDescent="0.3">
      <c r="A58" s="1">
        <v>41944</v>
      </c>
      <c r="B58">
        <v>11</v>
      </c>
      <c r="C58" t="s">
        <v>40</v>
      </c>
      <c r="D58">
        <v>2014</v>
      </c>
    </row>
    <row r="59" spans="1:4" x14ac:dyDescent="0.3">
      <c r="A59" s="1">
        <v>41699</v>
      </c>
      <c r="B59">
        <v>3</v>
      </c>
      <c r="C59" t="s">
        <v>29</v>
      </c>
      <c r="D59">
        <v>2014</v>
      </c>
    </row>
    <row r="60" spans="1:4" x14ac:dyDescent="0.3">
      <c r="A60" s="1">
        <v>41671</v>
      </c>
      <c r="B60">
        <v>2</v>
      </c>
      <c r="C60" t="s">
        <v>39</v>
      </c>
      <c r="D60">
        <v>2014</v>
      </c>
    </row>
    <row r="61" spans="1:4" x14ac:dyDescent="0.3">
      <c r="A61" s="1">
        <v>41699</v>
      </c>
      <c r="B61">
        <v>3</v>
      </c>
      <c r="C61" t="s">
        <v>29</v>
      </c>
      <c r="D61">
        <v>2014</v>
      </c>
    </row>
    <row r="62" spans="1:4" x14ac:dyDescent="0.3">
      <c r="A62" s="1">
        <v>41821</v>
      </c>
      <c r="B62">
        <v>7</v>
      </c>
      <c r="C62" t="s">
        <v>32</v>
      </c>
      <c r="D62">
        <v>2014</v>
      </c>
    </row>
    <row r="63" spans="1:4" x14ac:dyDescent="0.3">
      <c r="A63" s="1">
        <v>41883</v>
      </c>
      <c r="B63">
        <v>9</v>
      </c>
      <c r="C63" t="s">
        <v>35</v>
      </c>
      <c r="D63">
        <v>2014</v>
      </c>
    </row>
    <row r="64" spans="1:4" x14ac:dyDescent="0.3">
      <c r="A64" s="1">
        <v>41518</v>
      </c>
      <c r="B64">
        <v>9</v>
      </c>
      <c r="C64" t="s">
        <v>35</v>
      </c>
      <c r="D64">
        <v>2013</v>
      </c>
    </row>
    <row r="65" spans="1:4" x14ac:dyDescent="0.3">
      <c r="A65" s="1">
        <v>41883</v>
      </c>
      <c r="B65">
        <v>9</v>
      </c>
      <c r="C65" t="s">
        <v>35</v>
      </c>
      <c r="D65">
        <v>2014</v>
      </c>
    </row>
    <row r="66" spans="1:4" x14ac:dyDescent="0.3">
      <c r="A66" s="1">
        <v>41548</v>
      </c>
      <c r="B66">
        <v>10</v>
      </c>
      <c r="C66" t="s">
        <v>36</v>
      </c>
      <c r="D66">
        <v>2013</v>
      </c>
    </row>
    <row r="67" spans="1:4" x14ac:dyDescent="0.3">
      <c r="A67" s="1">
        <v>41548</v>
      </c>
      <c r="B67">
        <v>10</v>
      </c>
      <c r="C67" t="s">
        <v>36</v>
      </c>
      <c r="D67">
        <v>2013</v>
      </c>
    </row>
    <row r="68" spans="1:4" x14ac:dyDescent="0.3">
      <c r="A68" s="1">
        <v>41913</v>
      </c>
      <c r="B68">
        <v>10</v>
      </c>
      <c r="C68" t="s">
        <v>36</v>
      </c>
      <c r="D68">
        <v>2014</v>
      </c>
    </row>
    <row r="69" spans="1:4" x14ac:dyDescent="0.3">
      <c r="A69" s="1">
        <v>41974</v>
      </c>
      <c r="B69">
        <v>12</v>
      </c>
      <c r="C69" t="s">
        <v>27</v>
      </c>
      <c r="D69">
        <v>2014</v>
      </c>
    </row>
    <row r="70" spans="1:4" x14ac:dyDescent="0.3">
      <c r="A70" s="1">
        <v>41699</v>
      </c>
      <c r="B70">
        <v>3</v>
      </c>
      <c r="C70" t="s">
        <v>29</v>
      </c>
      <c r="D70">
        <v>2014</v>
      </c>
    </row>
    <row r="71" spans="1:4" x14ac:dyDescent="0.3">
      <c r="A71" s="1">
        <v>41730</v>
      </c>
      <c r="B71">
        <v>4</v>
      </c>
      <c r="C71" t="s">
        <v>43</v>
      </c>
      <c r="D71">
        <v>2014</v>
      </c>
    </row>
    <row r="72" spans="1:4" x14ac:dyDescent="0.3">
      <c r="A72" s="1">
        <v>41821</v>
      </c>
      <c r="B72">
        <v>7</v>
      </c>
      <c r="C72" t="s">
        <v>32</v>
      </c>
      <c r="D72">
        <v>2014</v>
      </c>
    </row>
    <row r="73" spans="1:4" x14ac:dyDescent="0.3">
      <c r="A73" s="1">
        <v>41852</v>
      </c>
      <c r="B73">
        <v>8</v>
      </c>
      <c r="C73" t="s">
        <v>34</v>
      </c>
      <c r="D73">
        <v>2014</v>
      </c>
    </row>
    <row r="74" spans="1:4" x14ac:dyDescent="0.3">
      <c r="A74" s="1">
        <v>41518</v>
      </c>
      <c r="B74">
        <v>9</v>
      </c>
      <c r="C74" t="s">
        <v>35</v>
      </c>
      <c r="D74">
        <v>2013</v>
      </c>
    </row>
    <row r="75" spans="1:4" x14ac:dyDescent="0.3">
      <c r="A75" s="1">
        <v>41548</v>
      </c>
      <c r="B75">
        <v>10</v>
      </c>
      <c r="C75" t="s">
        <v>36</v>
      </c>
      <c r="D75">
        <v>2013</v>
      </c>
    </row>
    <row r="76" spans="1:4" x14ac:dyDescent="0.3">
      <c r="A76" s="1">
        <v>41671</v>
      </c>
      <c r="B76">
        <v>2</v>
      </c>
      <c r="C76" t="s">
        <v>39</v>
      </c>
      <c r="D76">
        <v>2014</v>
      </c>
    </row>
    <row r="77" spans="1:4" x14ac:dyDescent="0.3">
      <c r="A77" s="1">
        <v>41730</v>
      </c>
      <c r="B77">
        <v>4</v>
      </c>
      <c r="C77" t="s">
        <v>43</v>
      </c>
      <c r="D77">
        <v>2014</v>
      </c>
    </row>
    <row r="78" spans="1:4" x14ac:dyDescent="0.3">
      <c r="A78" s="1">
        <v>41791</v>
      </c>
      <c r="B78">
        <v>6</v>
      </c>
      <c r="C78" t="s">
        <v>25</v>
      </c>
      <c r="D78">
        <v>2014</v>
      </c>
    </row>
    <row r="79" spans="1:4" x14ac:dyDescent="0.3">
      <c r="A79" s="1">
        <v>41791</v>
      </c>
      <c r="B79">
        <v>6</v>
      </c>
      <c r="C79" t="s">
        <v>25</v>
      </c>
      <c r="D79">
        <v>2014</v>
      </c>
    </row>
    <row r="80" spans="1:4" x14ac:dyDescent="0.3">
      <c r="A80" s="1">
        <v>41821</v>
      </c>
      <c r="B80">
        <v>7</v>
      </c>
      <c r="C80" t="s">
        <v>32</v>
      </c>
      <c r="D80">
        <v>2014</v>
      </c>
    </row>
    <row r="81" spans="1:4" x14ac:dyDescent="0.3">
      <c r="A81" s="1">
        <v>41883</v>
      </c>
      <c r="B81">
        <v>9</v>
      </c>
      <c r="C81" t="s">
        <v>35</v>
      </c>
      <c r="D81">
        <v>2014</v>
      </c>
    </row>
    <row r="82" spans="1:4" x14ac:dyDescent="0.3">
      <c r="A82" s="1">
        <v>41548</v>
      </c>
      <c r="B82">
        <v>10</v>
      </c>
      <c r="C82" t="s">
        <v>36</v>
      </c>
      <c r="D82">
        <v>2013</v>
      </c>
    </row>
    <row r="83" spans="1:4" x14ac:dyDescent="0.3">
      <c r="A83" s="1">
        <v>41944</v>
      </c>
      <c r="B83">
        <v>11</v>
      </c>
      <c r="C83" t="s">
        <v>40</v>
      </c>
      <c r="D83">
        <v>2014</v>
      </c>
    </row>
    <row r="84" spans="1:4" x14ac:dyDescent="0.3">
      <c r="A84" s="1">
        <v>41974</v>
      </c>
      <c r="B84">
        <v>12</v>
      </c>
      <c r="C84" t="s">
        <v>27</v>
      </c>
      <c r="D84">
        <v>2014</v>
      </c>
    </row>
    <row r="85" spans="1:4" x14ac:dyDescent="0.3">
      <c r="A85" s="1">
        <v>41730</v>
      </c>
      <c r="B85">
        <v>4</v>
      </c>
      <c r="C85" t="s">
        <v>43</v>
      </c>
      <c r="D85">
        <v>2014</v>
      </c>
    </row>
    <row r="86" spans="1:4" x14ac:dyDescent="0.3">
      <c r="A86" s="1">
        <v>41760</v>
      </c>
      <c r="B86">
        <v>5</v>
      </c>
      <c r="C86" t="s">
        <v>46</v>
      </c>
      <c r="D86">
        <v>2014</v>
      </c>
    </row>
    <row r="87" spans="1:4" x14ac:dyDescent="0.3">
      <c r="A87" s="1">
        <v>41852</v>
      </c>
      <c r="B87">
        <v>8</v>
      </c>
      <c r="C87" t="s">
        <v>34</v>
      </c>
      <c r="D87">
        <v>2014</v>
      </c>
    </row>
    <row r="88" spans="1:4" x14ac:dyDescent="0.3">
      <c r="A88" s="1">
        <v>41548</v>
      </c>
      <c r="B88">
        <v>10</v>
      </c>
      <c r="C88" t="s">
        <v>36</v>
      </c>
      <c r="D88">
        <v>2013</v>
      </c>
    </row>
    <row r="89" spans="1:4" x14ac:dyDescent="0.3">
      <c r="A89" s="1">
        <v>41579</v>
      </c>
      <c r="B89">
        <v>11</v>
      </c>
      <c r="C89" t="s">
        <v>40</v>
      </c>
      <c r="D89">
        <v>2013</v>
      </c>
    </row>
    <row r="90" spans="1:4" x14ac:dyDescent="0.3">
      <c r="A90" s="1">
        <v>41699</v>
      </c>
      <c r="B90">
        <v>3</v>
      </c>
      <c r="C90" t="s">
        <v>29</v>
      </c>
      <c r="D90">
        <v>2014</v>
      </c>
    </row>
    <row r="91" spans="1:4" x14ac:dyDescent="0.3">
      <c r="A91" s="1">
        <v>41730</v>
      </c>
      <c r="B91">
        <v>4</v>
      </c>
      <c r="C91" t="s">
        <v>43</v>
      </c>
      <c r="D91">
        <v>2014</v>
      </c>
    </row>
    <row r="92" spans="1:4" x14ac:dyDescent="0.3">
      <c r="A92" s="1">
        <v>41791</v>
      </c>
      <c r="B92">
        <v>6</v>
      </c>
      <c r="C92" t="s">
        <v>25</v>
      </c>
      <c r="D92">
        <v>2014</v>
      </c>
    </row>
    <row r="93" spans="1:4" x14ac:dyDescent="0.3">
      <c r="A93" s="1">
        <v>41791</v>
      </c>
      <c r="B93">
        <v>6</v>
      </c>
      <c r="C93" t="s">
        <v>25</v>
      </c>
      <c r="D93">
        <v>2014</v>
      </c>
    </row>
    <row r="94" spans="1:4" x14ac:dyDescent="0.3">
      <c r="A94" s="1">
        <v>41883</v>
      </c>
      <c r="B94">
        <v>9</v>
      </c>
      <c r="C94" t="s">
        <v>35</v>
      </c>
      <c r="D94">
        <v>2014</v>
      </c>
    </row>
    <row r="95" spans="1:4" x14ac:dyDescent="0.3">
      <c r="A95" s="1">
        <v>41548</v>
      </c>
      <c r="B95">
        <v>10</v>
      </c>
      <c r="C95" t="s">
        <v>36</v>
      </c>
      <c r="D95">
        <v>2013</v>
      </c>
    </row>
    <row r="96" spans="1:4" x14ac:dyDescent="0.3">
      <c r="A96" s="1">
        <v>41913</v>
      </c>
      <c r="B96">
        <v>10</v>
      </c>
      <c r="C96" t="s">
        <v>36</v>
      </c>
      <c r="D96">
        <v>2014</v>
      </c>
    </row>
    <row r="97" spans="1:4" x14ac:dyDescent="0.3">
      <c r="A97" s="1">
        <v>41944</v>
      </c>
      <c r="B97">
        <v>11</v>
      </c>
      <c r="C97" t="s">
        <v>40</v>
      </c>
      <c r="D97">
        <v>2014</v>
      </c>
    </row>
    <row r="98" spans="1:4" x14ac:dyDescent="0.3">
      <c r="A98" s="1">
        <v>41518</v>
      </c>
      <c r="B98">
        <v>9</v>
      </c>
      <c r="C98" t="s">
        <v>35</v>
      </c>
      <c r="D98">
        <v>2013</v>
      </c>
    </row>
    <row r="99" spans="1:4" x14ac:dyDescent="0.3">
      <c r="A99" s="1">
        <v>41579</v>
      </c>
      <c r="B99">
        <v>11</v>
      </c>
      <c r="C99" t="s">
        <v>40</v>
      </c>
      <c r="D99">
        <v>2013</v>
      </c>
    </row>
    <row r="100" spans="1:4" x14ac:dyDescent="0.3">
      <c r="A100" s="1">
        <v>41730</v>
      </c>
      <c r="B100">
        <v>4</v>
      </c>
      <c r="C100" t="s">
        <v>43</v>
      </c>
      <c r="D100">
        <v>2014</v>
      </c>
    </row>
    <row r="101" spans="1:4" x14ac:dyDescent="0.3">
      <c r="A101" s="1">
        <v>41913</v>
      </c>
      <c r="B101">
        <v>10</v>
      </c>
      <c r="C101" t="s">
        <v>36</v>
      </c>
      <c r="D101">
        <v>2014</v>
      </c>
    </row>
    <row r="102" spans="1:4" x14ac:dyDescent="0.3">
      <c r="A102" s="1">
        <v>41548</v>
      </c>
      <c r="B102">
        <v>10</v>
      </c>
      <c r="C102" t="s">
        <v>36</v>
      </c>
      <c r="D102">
        <v>2013</v>
      </c>
    </row>
    <row r="103" spans="1:4" x14ac:dyDescent="0.3">
      <c r="A103" s="1">
        <v>41579</v>
      </c>
      <c r="B103">
        <v>11</v>
      </c>
      <c r="C103" t="s">
        <v>40</v>
      </c>
      <c r="D103">
        <v>2013</v>
      </c>
    </row>
    <row r="104" spans="1:4" x14ac:dyDescent="0.3">
      <c r="A104" s="1">
        <v>41974</v>
      </c>
      <c r="B104">
        <v>12</v>
      </c>
      <c r="C104" t="s">
        <v>27</v>
      </c>
      <c r="D104">
        <v>2014</v>
      </c>
    </row>
    <row r="105" spans="1:4" x14ac:dyDescent="0.3">
      <c r="A105" s="1">
        <v>41791</v>
      </c>
      <c r="B105">
        <v>6</v>
      </c>
      <c r="C105" t="s">
        <v>25</v>
      </c>
      <c r="D105">
        <v>2014</v>
      </c>
    </row>
    <row r="106" spans="1:4" x14ac:dyDescent="0.3">
      <c r="A106" s="1">
        <v>41913</v>
      </c>
      <c r="B106">
        <v>10</v>
      </c>
      <c r="C106" t="s">
        <v>36</v>
      </c>
      <c r="D106">
        <v>2014</v>
      </c>
    </row>
    <row r="107" spans="1:4" x14ac:dyDescent="0.3">
      <c r="A107" s="1">
        <v>41944</v>
      </c>
      <c r="B107">
        <v>11</v>
      </c>
      <c r="C107" t="s">
        <v>40</v>
      </c>
      <c r="D107">
        <v>2014</v>
      </c>
    </row>
    <row r="108" spans="1:4" x14ac:dyDescent="0.3">
      <c r="A108" s="1">
        <v>41579</v>
      </c>
      <c r="B108">
        <v>11</v>
      </c>
      <c r="C108" t="s">
        <v>40</v>
      </c>
      <c r="D108">
        <v>2013</v>
      </c>
    </row>
    <row r="109" spans="1:4" x14ac:dyDescent="0.3">
      <c r="A109" s="1">
        <v>41671</v>
      </c>
      <c r="B109">
        <v>2</v>
      </c>
      <c r="C109" t="s">
        <v>39</v>
      </c>
      <c r="D109">
        <v>2014</v>
      </c>
    </row>
    <row r="110" spans="1:4" x14ac:dyDescent="0.3">
      <c r="A110" s="1">
        <v>41760</v>
      </c>
      <c r="B110">
        <v>5</v>
      </c>
      <c r="C110" t="s">
        <v>46</v>
      </c>
      <c r="D110">
        <v>2014</v>
      </c>
    </row>
    <row r="111" spans="1:4" x14ac:dyDescent="0.3">
      <c r="A111" s="1">
        <v>41760</v>
      </c>
      <c r="B111">
        <v>5</v>
      </c>
      <c r="C111" t="s">
        <v>46</v>
      </c>
      <c r="D111">
        <v>2014</v>
      </c>
    </row>
    <row r="112" spans="1:4" x14ac:dyDescent="0.3">
      <c r="A112" s="1">
        <v>41791</v>
      </c>
      <c r="B112">
        <v>6</v>
      </c>
      <c r="C112" t="s">
        <v>25</v>
      </c>
      <c r="D112">
        <v>2014</v>
      </c>
    </row>
    <row r="113" spans="1:4" x14ac:dyDescent="0.3">
      <c r="A113" s="1">
        <v>41791</v>
      </c>
      <c r="B113">
        <v>6</v>
      </c>
      <c r="C113" t="s">
        <v>25</v>
      </c>
      <c r="D113">
        <v>2014</v>
      </c>
    </row>
    <row r="114" spans="1:4" x14ac:dyDescent="0.3">
      <c r="A114" s="1">
        <v>41913</v>
      </c>
      <c r="B114">
        <v>10</v>
      </c>
      <c r="C114" t="s">
        <v>36</v>
      </c>
      <c r="D114">
        <v>2014</v>
      </c>
    </row>
    <row r="115" spans="1:4" x14ac:dyDescent="0.3">
      <c r="A115" s="1">
        <v>41548</v>
      </c>
      <c r="B115">
        <v>10</v>
      </c>
      <c r="C115" t="s">
        <v>36</v>
      </c>
      <c r="D115">
        <v>2013</v>
      </c>
    </row>
    <row r="116" spans="1:4" x14ac:dyDescent="0.3">
      <c r="A116" s="1">
        <v>41548</v>
      </c>
      <c r="B116">
        <v>10</v>
      </c>
      <c r="C116" t="s">
        <v>36</v>
      </c>
      <c r="D116">
        <v>2013</v>
      </c>
    </row>
    <row r="117" spans="1:4" x14ac:dyDescent="0.3">
      <c r="A117" s="1">
        <v>41579</v>
      </c>
      <c r="B117">
        <v>11</v>
      </c>
      <c r="C117" t="s">
        <v>40</v>
      </c>
      <c r="D117">
        <v>2013</v>
      </c>
    </row>
    <row r="118" spans="1:4" x14ac:dyDescent="0.3">
      <c r="A118" s="1">
        <v>41974</v>
      </c>
      <c r="B118">
        <v>12</v>
      </c>
      <c r="C118" t="s">
        <v>27</v>
      </c>
      <c r="D118">
        <v>2014</v>
      </c>
    </row>
    <row r="119" spans="1:4" x14ac:dyDescent="0.3">
      <c r="A119" s="1">
        <v>41974</v>
      </c>
      <c r="B119">
        <v>12</v>
      </c>
      <c r="C119" t="s">
        <v>27</v>
      </c>
      <c r="D119">
        <v>2014</v>
      </c>
    </row>
    <row r="120" spans="1:4" x14ac:dyDescent="0.3">
      <c r="A120" s="1">
        <v>41974</v>
      </c>
      <c r="B120">
        <v>12</v>
      </c>
      <c r="C120" t="s">
        <v>27</v>
      </c>
      <c r="D120">
        <v>2014</v>
      </c>
    </row>
    <row r="121" spans="1:4" x14ac:dyDescent="0.3">
      <c r="A121" s="1">
        <v>41609</v>
      </c>
      <c r="B121">
        <v>12</v>
      </c>
      <c r="C121" t="s">
        <v>27</v>
      </c>
      <c r="D121">
        <v>2013</v>
      </c>
    </row>
    <row r="122" spans="1:4" x14ac:dyDescent="0.3">
      <c r="A122" s="1">
        <v>41609</v>
      </c>
      <c r="B122">
        <v>12</v>
      </c>
      <c r="C122" t="s">
        <v>27</v>
      </c>
      <c r="D122">
        <v>2013</v>
      </c>
    </row>
    <row r="123" spans="1:4" x14ac:dyDescent="0.3">
      <c r="A123" s="1">
        <v>41974</v>
      </c>
      <c r="B123">
        <v>12</v>
      </c>
      <c r="C123" t="s">
        <v>27</v>
      </c>
      <c r="D123">
        <v>2014</v>
      </c>
    </row>
    <row r="124" spans="1:4" x14ac:dyDescent="0.3">
      <c r="A124" s="1">
        <v>41974</v>
      </c>
      <c r="B124">
        <v>12</v>
      </c>
      <c r="C124" t="s">
        <v>27</v>
      </c>
      <c r="D124">
        <v>2014</v>
      </c>
    </row>
    <row r="125" spans="1:4" x14ac:dyDescent="0.3">
      <c r="A125" s="1">
        <v>41913</v>
      </c>
      <c r="B125">
        <v>10</v>
      </c>
      <c r="C125" t="s">
        <v>36</v>
      </c>
      <c r="D125">
        <v>2014</v>
      </c>
    </row>
    <row r="126" spans="1:4" x14ac:dyDescent="0.3">
      <c r="A126" s="1">
        <v>41548</v>
      </c>
      <c r="B126">
        <v>10</v>
      </c>
      <c r="C126" t="s">
        <v>36</v>
      </c>
      <c r="D126">
        <v>2013</v>
      </c>
    </row>
    <row r="127" spans="1:4" x14ac:dyDescent="0.3">
      <c r="A127" s="1">
        <v>41913</v>
      </c>
      <c r="B127">
        <v>10</v>
      </c>
      <c r="C127" t="s">
        <v>36</v>
      </c>
      <c r="D127">
        <v>2014</v>
      </c>
    </row>
    <row r="128" spans="1:4" x14ac:dyDescent="0.3">
      <c r="A128" s="1">
        <v>41548</v>
      </c>
      <c r="B128">
        <v>10</v>
      </c>
      <c r="C128" t="s">
        <v>36</v>
      </c>
      <c r="D128">
        <v>2013</v>
      </c>
    </row>
    <row r="129" spans="1:4" x14ac:dyDescent="0.3">
      <c r="A129" s="1">
        <v>41548</v>
      </c>
      <c r="B129">
        <v>10</v>
      </c>
      <c r="C129" t="s">
        <v>36</v>
      </c>
      <c r="D129">
        <v>2013</v>
      </c>
    </row>
    <row r="130" spans="1:4" x14ac:dyDescent="0.3">
      <c r="A130" s="1">
        <v>41974</v>
      </c>
      <c r="B130">
        <v>12</v>
      </c>
      <c r="C130" t="s">
        <v>27</v>
      </c>
      <c r="D130">
        <v>2014</v>
      </c>
    </row>
    <row r="131" spans="1:4" x14ac:dyDescent="0.3">
      <c r="A131" s="1">
        <v>41609</v>
      </c>
      <c r="B131">
        <v>12</v>
      </c>
      <c r="C131" t="s">
        <v>27</v>
      </c>
      <c r="D131">
        <v>2013</v>
      </c>
    </row>
    <row r="132" spans="1:4" x14ac:dyDescent="0.3">
      <c r="A132" s="1">
        <v>41974</v>
      </c>
      <c r="B132">
        <v>12</v>
      </c>
      <c r="C132" t="s">
        <v>27</v>
      </c>
      <c r="D132">
        <v>2014</v>
      </c>
    </row>
    <row r="133" spans="1:4" x14ac:dyDescent="0.3">
      <c r="A133" s="1">
        <v>41791</v>
      </c>
      <c r="B133">
        <v>6</v>
      </c>
      <c r="C133" t="s">
        <v>25</v>
      </c>
      <c r="D133">
        <v>2014</v>
      </c>
    </row>
    <row r="134" spans="1:4" x14ac:dyDescent="0.3">
      <c r="A134" s="1">
        <v>41548</v>
      </c>
      <c r="B134">
        <v>10</v>
      </c>
      <c r="C134" t="s">
        <v>36</v>
      </c>
      <c r="D134">
        <v>2013</v>
      </c>
    </row>
    <row r="135" spans="1:4" x14ac:dyDescent="0.3">
      <c r="A135" s="1">
        <v>41913</v>
      </c>
      <c r="B135">
        <v>10</v>
      </c>
      <c r="C135" t="s">
        <v>36</v>
      </c>
      <c r="D135">
        <v>2014</v>
      </c>
    </row>
    <row r="136" spans="1:4" x14ac:dyDescent="0.3">
      <c r="A136" s="1">
        <v>41974</v>
      </c>
      <c r="B136">
        <v>12</v>
      </c>
      <c r="C136" t="s">
        <v>27</v>
      </c>
      <c r="D136">
        <v>2014</v>
      </c>
    </row>
    <row r="137" spans="1:4" x14ac:dyDescent="0.3">
      <c r="A137" s="1">
        <v>41609</v>
      </c>
      <c r="B137">
        <v>12</v>
      </c>
      <c r="C137" t="s">
        <v>27</v>
      </c>
      <c r="D137">
        <v>2013</v>
      </c>
    </row>
    <row r="138" spans="1:4" x14ac:dyDescent="0.3">
      <c r="A138" s="1">
        <v>41609</v>
      </c>
      <c r="B138">
        <v>12</v>
      </c>
      <c r="C138" t="s">
        <v>27</v>
      </c>
      <c r="D138">
        <v>2013</v>
      </c>
    </row>
    <row r="139" spans="1:4" x14ac:dyDescent="0.3">
      <c r="A139" s="1">
        <v>41699</v>
      </c>
      <c r="B139">
        <v>3</v>
      </c>
      <c r="C139" t="s">
        <v>29</v>
      </c>
      <c r="D139">
        <v>2014</v>
      </c>
    </row>
    <row r="140" spans="1:4" x14ac:dyDescent="0.3">
      <c r="A140" s="1">
        <v>41699</v>
      </c>
      <c r="B140">
        <v>3</v>
      </c>
      <c r="C140" t="s">
        <v>29</v>
      </c>
      <c r="D140">
        <v>2014</v>
      </c>
    </row>
    <row r="141" spans="1:4" x14ac:dyDescent="0.3">
      <c r="A141" s="1">
        <v>41760</v>
      </c>
      <c r="B141">
        <v>5</v>
      </c>
      <c r="C141" t="s">
        <v>46</v>
      </c>
      <c r="D141">
        <v>2014</v>
      </c>
    </row>
    <row r="142" spans="1:4" x14ac:dyDescent="0.3">
      <c r="A142" s="1">
        <v>41548</v>
      </c>
      <c r="B142">
        <v>10</v>
      </c>
      <c r="C142" t="s">
        <v>36</v>
      </c>
      <c r="D142">
        <v>2013</v>
      </c>
    </row>
    <row r="143" spans="1:4" x14ac:dyDescent="0.3">
      <c r="A143" s="1">
        <v>41944</v>
      </c>
      <c r="B143">
        <v>11</v>
      </c>
      <c r="C143" t="s">
        <v>40</v>
      </c>
      <c r="D143">
        <v>2014</v>
      </c>
    </row>
    <row r="144" spans="1:4" x14ac:dyDescent="0.3">
      <c r="A144" s="1">
        <v>41944</v>
      </c>
      <c r="B144">
        <v>11</v>
      </c>
      <c r="C144" t="s">
        <v>40</v>
      </c>
      <c r="D144">
        <v>2014</v>
      </c>
    </row>
    <row r="145" spans="1:4" x14ac:dyDescent="0.3">
      <c r="A145" s="1">
        <v>41974</v>
      </c>
      <c r="B145">
        <v>12</v>
      </c>
      <c r="C145" t="s">
        <v>27</v>
      </c>
      <c r="D145">
        <v>2014</v>
      </c>
    </row>
    <row r="146" spans="1:4" x14ac:dyDescent="0.3">
      <c r="A146" s="1">
        <v>41730</v>
      </c>
      <c r="B146">
        <v>4</v>
      </c>
      <c r="C146" t="s">
        <v>43</v>
      </c>
      <c r="D146">
        <v>2014</v>
      </c>
    </row>
    <row r="147" spans="1:4" x14ac:dyDescent="0.3">
      <c r="A147" s="1">
        <v>41730</v>
      </c>
      <c r="B147">
        <v>4</v>
      </c>
      <c r="C147" t="s">
        <v>43</v>
      </c>
      <c r="D147">
        <v>2014</v>
      </c>
    </row>
    <row r="148" spans="1:4" x14ac:dyDescent="0.3">
      <c r="A148" s="1">
        <v>41791</v>
      </c>
      <c r="B148">
        <v>6</v>
      </c>
      <c r="C148" t="s">
        <v>25</v>
      </c>
      <c r="D148">
        <v>2014</v>
      </c>
    </row>
    <row r="149" spans="1:4" x14ac:dyDescent="0.3">
      <c r="A149" s="1">
        <v>41883</v>
      </c>
      <c r="B149">
        <v>9</v>
      </c>
      <c r="C149" t="s">
        <v>35</v>
      </c>
      <c r="D149">
        <v>2014</v>
      </c>
    </row>
    <row r="150" spans="1:4" x14ac:dyDescent="0.3">
      <c r="A150" s="1">
        <v>41609</v>
      </c>
      <c r="B150">
        <v>12</v>
      </c>
      <c r="C150" t="s">
        <v>27</v>
      </c>
      <c r="D150">
        <v>2013</v>
      </c>
    </row>
    <row r="151" spans="1:4" x14ac:dyDescent="0.3">
      <c r="A151" s="1">
        <v>41671</v>
      </c>
      <c r="B151">
        <v>2</v>
      </c>
      <c r="C151" t="s">
        <v>39</v>
      </c>
      <c r="D151">
        <v>2014</v>
      </c>
    </row>
    <row r="152" spans="1:4" x14ac:dyDescent="0.3">
      <c r="A152" s="1">
        <v>41791</v>
      </c>
      <c r="B152">
        <v>6</v>
      </c>
      <c r="C152" t="s">
        <v>25</v>
      </c>
      <c r="D152">
        <v>2014</v>
      </c>
    </row>
    <row r="153" spans="1:4" x14ac:dyDescent="0.3">
      <c r="A153" s="1">
        <v>41883</v>
      </c>
      <c r="B153">
        <v>9</v>
      </c>
      <c r="C153" t="s">
        <v>35</v>
      </c>
      <c r="D153">
        <v>2014</v>
      </c>
    </row>
    <row r="154" spans="1:4" x14ac:dyDescent="0.3">
      <c r="A154" s="1">
        <v>41518</v>
      </c>
      <c r="B154">
        <v>9</v>
      </c>
      <c r="C154" t="s">
        <v>35</v>
      </c>
      <c r="D154">
        <v>2013</v>
      </c>
    </row>
    <row r="155" spans="1:4" x14ac:dyDescent="0.3">
      <c r="A155" s="1">
        <v>41974</v>
      </c>
      <c r="B155">
        <v>12</v>
      </c>
      <c r="C155" t="s">
        <v>27</v>
      </c>
      <c r="D155">
        <v>2014</v>
      </c>
    </row>
    <row r="156" spans="1:4" x14ac:dyDescent="0.3">
      <c r="A156" s="1">
        <v>41974</v>
      </c>
      <c r="B156">
        <v>12</v>
      </c>
      <c r="C156" t="s">
        <v>27</v>
      </c>
      <c r="D156">
        <v>2014</v>
      </c>
    </row>
    <row r="157" spans="1:4" x14ac:dyDescent="0.3">
      <c r="A157" s="1">
        <v>41640</v>
      </c>
      <c r="B157">
        <v>1</v>
      </c>
      <c r="C157" t="s">
        <v>21</v>
      </c>
      <c r="D157">
        <v>2014</v>
      </c>
    </row>
    <row r="158" spans="1:4" x14ac:dyDescent="0.3">
      <c r="A158" s="1">
        <v>41699</v>
      </c>
      <c r="B158">
        <v>3</v>
      </c>
      <c r="C158" t="s">
        <v>29</v>
      </c>
      <c r="D158">
        <v>2014</v>
      </c>
    </row>
    <row r="159" spans="1:4" x14ac:dyDescent="0.3">
      <c r="A159" s="1">
        <v>41791</v>
      </c>
      <c r="B159">
        <v>6</v>
      </c>
      <c r="C159" t="s">
        <v>25</v>
      </c>
      <c r="D159">
        <v>2014</v>
      </c>
    </row>
    <row r="160" spans="1:4" x14ac:dyDescent="0.3">
      <c r="A160" s="1">
        <v>41791</v>
      </c>
      <c r="B160">
        <v>6</v>
      </c>
      <c r="C160" t="s">
        <v>25</v>
      </c>
      <c r="D160">
        <v>2014</v>
      </c>
    </row>
    <row r="161" spans="1:4" x14ac:dyDescent="0.3">
      <c r="A161" s="1">
        <v>41791</v>
      </c>
      <c r="B161">
        <v>6</v>
      </c>
      <c r="C161" t="s">
        <v>25</v>
      </c>
      <c r="D161">
        <v>2014</v>
      </c>
    </row>
    <row r="162" spans="1:4" x14ac:dyDescent="0.3">
      <c r="A162" s="1">
        <v>41821</v>
      </c>
      <c r="B162">
        <v>7</v>
      </c>
      <c r="C162" t="s">
        <v>32</v>
      </c>
      <c r="D162">
        <v>2014</v>
      </c>
    </row>
    <row r="163" spans="1:4" x14ac:dyDescent="0.3">
      <c r="A163" s="1">
        <v>41913</v>
      </c>
      <c r="B163">
        <v>10</v>
      </c>
      <c r="C163" t="s">
        <v>36</v>
      </c>
      <c r="D163">
        <v>2014</v>
      </c>
    </row>
    <row r="164" spans="1:4" x14ac:dyDescent="0.3">
      <c r="A164" s="1">
        <v>41548</v>
      </c>
      <c r="B164">
        <v>10</v>
      </c>
      <c r="C164" t="s">
        <v>36</v>
      </c>
      <c r="D164">
        <v>2013</v>
      </c>
    </row>
    <row r="165" spans="1:4" x14ac:dyDescent="0.3">
      <c r="A165" s="1">
        <v>41974</v>
      </c>
      <c r="B165">
        <v>12</v>
      </c>
      <c r="C165" t="s">
        <v>27</v>
      </c>
      <c r="D165">
        <v>2014</v>
      </c>
    </row>
    <row r="166" spans="1:4" x14ac:dyDescent="0.3">
      <c r="A166" s="1">
        <v>41974</v>
      </c>
      <c r="B166">
        <v>12</v>
      </c>
      <c r="C166" t="s">
        <v>27</v>
      </c>
      <c r="D166">
        <v>2014</v>
      </c>
    </row>
    <row r="167" spans="1:4" x14ac:dyDescent="0.3">
      <c r="A167" s="1">
        <v>41913</v>
      </c>
      <c r="B167">
        <v>10</v>
      </c>
      <c r="C167" t="s">
        <v>36</v>
      </c>
      <c r="D167">
        <v>2014</v>
      </c>
    </row>
    <row r="168" spans="1:4" x14ac:dyDescent="0.3">
      <c r="A168" s="1">
        <v>41671</v>
      </c>
      <c r="B168">
        <v>2</v>
      </c>
      <c r="C168" t="s">
        <v>39</v>
      </c>
      <c r="D168">
        <v>2014</v>
      </c>
    </row>
    <row r="169" spans="1:4" x14ac:dyDescent="0.3">
      <c r="A169" s="1">
        <v>41730</v>
      </c>
      <c r="B169">
        <v>4</v>
      </c>
      <c r="C169" t="s">
        <v>43</v>
      </c>
      <c r="D169">
        <v>2014</v>
      </c>
    </row>
    <row r="170" spans="1:4" x14ac:dyDescent="0.3">
      <c r="A170" s="1">
        <v>41791</v>
      </c>
      <c r="B170">
        <v>6</v>
      </c>
      <c r="C170" t="s">
        <v>25</v>
      </c>
      <c r="D170">
        <v>2014</v>
      </c>
    </row>
    <row r="171" spans="1:4" x14ac:dyDescent="0.3">
      <c r="A171" s="1">
        <v>41852</v>
      </c>
      <c r="B171">
        <v>8</v>
      </c>
      <c r="C171" t="s">
        <v>34</v>
      </c>
      <c r="D171">
        <v>2014</v>
      </c>
    </row>
    <row r="172" spans="1:4" x14ac:dyDescent="0.3">
      <c r="A172" s="1">
        <v>41852</v>
      </c>
      <c r="B172">
        <v>8</v>
      </c>
      <c r="C172" t="s">
        <v>34</v>
      </c>
      <c r="D172">
        <v>2014</v>
      </c>
    </row>
    <row r="173" spans="1:4" x14ac:dyDescent="0.3">
      <c r="A173" s="1">
        <v>41548</v>
      </c>
      <c r="B173">
        <v>10</v>
      </c>
      <c r="C173" t="s">
        <v>36</v>
      </c>
      <c r="D173">
        <v>2013</v>
      </c>
    </row>
    <row r="174" spans="1:4" x14ac:dyDescent="0.3">
      <c r="A174" s="1">
        <v>41760</v>
      </c>
      <c r="B174">
        <v>5</v>
      </c>
      <c r="C174" t="s">
        <v>46</v>
      </c>
      <c r="D174">
        <v>2014</v>
      </c>
    </row>
    <row r="175" spans="1:4" x14ac:dyDescent="0.3">
      <c r="A175" s="1">
        <v>41518</v>
      </c>
      <c r="B175">
        <v>9</v>
      </c>
      <c r="C175" t="s">
        <v>35</v>
      </c>
      <c r="D175">
        <v>2013</v>
      </c>
    </row>
    <row r="176" spans="1:4" x14ac:dyDescent="0.3">
      <c r="A176" s="1">
        <v>41730</v>
      </c>
      <c r="B176">
        <v>4</v>
      </c>
      <c r="C176" t="s">
        <v>43</v>
      </c>
      <c r="D176">
        <v>2014</v>
      </c>
    </row>
    <row r="177" spans="1:4" x14ac:dyDescent="0.3">
      <c r="A177" s="1">
        <v>41640</v>
      </c>
      <c r="B177">
        <v>1</v>
      </c>
      <c r="C177" t="s">
        <v>21</v>
      </c>
      <c r="D177">
        <v>2014</v>
      </c>
    </row>
    <row r="178" spans="1:4" x14ac:dyDescent="0.3">
      <c r="A178" s="1">
        <v>41913</v>
      </c>
      <c r="B178">
        <v>10</v>
      </c>
      <c r="C178" t="s">
        <v>36</v>
      </c>
      <c r="D178">
        <v>2014</v>
      </c>
    </row>
    <row r="179" spans="1:4" x14ac:dyDescent="0.3">
      <c r="A179" s="1">
        <v>41913</v>
      </c>
      <c r="B179">
        <v>10</v>
      </c>
      <c r="C179" t="s">
        <v>36</v>
      </c>
      <c r="D179">
        <v>2014</v>
      </c>
    </row>
    <row r="180" spans="1:4" x14ac:dyDescent="0.3">
      <c r="A180" s="1">
        <v>41609</v>
      </c>
      <c r="B180">
        <v>12</v>
      </c>
      <c r="C180" t="s">
        <v>27</v>
      </c>
      <c r="D180">
        <v>2013</v>
      </c>
    </row>
    <row r="181" spans="1:4" x14ac:dyDescent="0.3">
      <c r="A181" s="1">
        <v>41518</v>
      </c>
      <c r="B181">
        <v>9</v>
      </c>
      <c r="C181" t="s">
        <v>35</v>
      </c>
      <c r="D181">
        <v>2013</v>
      </c>
    </row>
    <row r="182" spans="1:4" x14ac:dyDescent="0.3">
      <c r="A182" s="1">
        <v>41548</v>
      </c>
      <c r="B182">
        <v>10</v>
      </c>
      <c r="C182" t="s">
        <v>36</v>
      </c>
      <c r="D182">
        <v>2013</v>
      </c>
    </row>
    <row r="183" spans="1:4" x14ac:dyDescent="0.3">
      <c r="A183" s="1">
        <v>41913</v>
      </c>
      <c r="B183">
        <v>10</v>
      </c>
      <c r="C183" t="s">
        <v>36</v>
      </c>
      <c r="D183">
        <v>2014</v>
      </c>
    </row>
    <row r="184" spans="1:4" x14ac:dyDescent="0.3">
      <c r="A184" s="1">
        <v>41974</v>
      </c>
      <c r="B184">
        <v>12</v>
      </c>
      <c r="C184" t="s">
        <v>27</v>
      </c>
      <c r="D184">
        <v>2014</v>
      </c>
    </row>
    <row r="185" spans="1:4" x14ac:dyDescent="0.3">
      <c r="A185" s="1">
        <v>41699</v>
      </c>
      <c r="B185">
        <v>3</v>
      </c>
      <c r="C185" t="s">
        <v>29</v>
      </c>
      <c r="D185">
        <v>2014</v>
      </c>
    </row>
    <row r="186" spans="1:4" x14ac:dyDescent="0.3">
      <c r="A186" s="1">
        <v>41852</v>
      </c>
      <c r="B186">
        <v>8</v>
      </c>
      <c r="C186" t="s">
        <v>34</v>
      </c>
      <c r="D186">
        <v>2014</v>
      </c>
    </row>
    <row r="187" spans="1:4" x14ac:dyDescent="0.3">
      <c r="A187" s="1">
        <v>41548</v>
      </c>
      <c r="B187">
        <v>10</v>
      </c>
      <c r="C187" t="s">
        <v>36</v>
      </c>
      <c r="D187">
        <v>2013</v>
      </c>
    </row>
    <row r="188" spans="1:4" x14ac:dyDescent="0.3">
      <c r="A188" s="1">
        <v>41913</v>
      </c>
      <c r="B188">
        <v>10</v>
      </c>
      <c r="C188" t="s">
        <v>36</v>
      </c>
      <c r="D188">
        <v>2014</v>
      </c>
    </row>
    <row r="189" spans="1:4" x14ac:dyDescent="0.3">
      <c r="A189" s="1">
        <v>41974</v>
      </c>
      <c r="B189">
        <v>12</v>
      </c>
      <c r="C189" t="s">
        <v>27</v>
      </c>
      <c r="D189">
        <v>2014</v>
      </c>
    </row>
    <row r="190" spans="1:4" x14ac:dyDescent="0.3">
      <c r="A190" s="1">
        <v>41640</v>
      </c>
      <c r="B190">
        <v>1</v>
      </c>
      <c r="C190" t="s">
        <v>21</v>
      </c>
      <c r="D190">
        <v>2014</v>
      </c>
    </row>
    <row r="191" spans="1:4" x14ac:dyDescent="0.3">
      <c r="A191" s="1">
        <v>41699</v>
      </c>
      <c r="B191">
        <v>3</v>
      </c>
      <c r="C191" t="s">
        <v>29</v>
      </c>
      <c r="D191">
        <v>2014</v>
      </c>
    </row>
    <row r="192" spans="1:4" x14ac:dyDescent="0.3">
      <c r="A192" s="1">
        <v>41730</v>
      </c>
      <c r="B192">
        <v>4</v>
      </c>
      <c r="C192" t="s">
        <v>43</v>
      </c>
      <c r="D192">
        <v>2014</v>
      </c>
    </row>
    <row r="193" spans="1:4" x14ac:dyDescent="0.3">
      <c r="A193" s="1">
        <v>41760</v>
      </c>
      <c r="B193">
        <v>5</v>
      </c>
      <c r="C193" t="s">
        <v>46</v>
      </c>
      <c r="D193">
        <v>2014</v>
      </c>
    </row>
    <row r="194" spans="1:4" x14ac:dyDescent="0.3">
      <c r="A194" s="1">
        <v>41821</v>
      </c>
      <c r="B194">
        <v>7</v>
      </c>
      <c r="C194" t="s">
        <v>32</v>
      </c>
      <c r="D194">
        <v>2014</v>
      </c>
    </row>
    <row r="195" spans="1:4" x14ac:dyDescent="0.3">
      <c r="A195" s="1">
        <v>41821</v>
      </c>
      <c r="B195">
        <v>7</v>
      </c>
      <c r="C195" t="s">
        <v>32</v>
      </c>
      <c r="D195">
        <v>2014</v>
      </c>
    </row>
    <row r="196" spans="1:4" x14ac:dyDescent="0.3">
      <c r="A196" s="1">
        <v>41883</v>
      </c>
      <c r="B196">
        <v>9</v>
      </c>
      <c r="C196" t="s">
        <v>35</v>
      </c>
      <c r="D196">
        <v>2014</v>
      </c>
    </row>
    <row r="197" spans="1:4" x14ac:dyDescent="0.3">
      <c r="A197" s="1">
        <v>41883</v>
      </c>
      <c r="B197">
        <v>9</v>
      </c>
      <c r="C197" t="s">
        <v>35</v>
      </c>
      <c r="D197">
        <v>2014</v>
      </c>
    </row>
    <row r="198" spans="1:4" x14ac:dyDescent="0.3">
      <c r="A198" s="1">
        <v>41883</v>
      </c>
      <c r="B198">
        <v>9</v>
      </c>
      <c r="C198" t="s">
        <v>35</v>
      </c>
      <c r="D198">
        <v>2014</v>
      </c>
    </row>
    <row r="199" spans="1:4" x14ac:dyDescent="0.3">
      <c r="A199" s="1">
        <v>41548</v>
      </c>
      <c r="B199">
        <v>10</v>
      </c>
      <c r="C199" t="s">
        <v>36</v>
      </c>
      <c r="D199">
        <v>2013</v>
      </c>
    </row>
    <row r="200" spans="1:4" x14ac:dyDescent="0.3">
      <c r="A200" s="1">
        <v>41548</v>
      </c>
      <c r="B200">
        <v>10</v>
      </c>
      <c r="C200" t="s">
        <v>36</v>
      </c>
      <c r="D200">
        <v>2013</v>
      </c>
    </row>
    <row r="201" spans="1:4" x14ac:dyDescent="0.3">
      <c r="A201" s="1">
        <v>41974</v>
      </c>
      <c r="B201">
        <v>12</v>
      </c>
      <c r="C201" t="s">
        <v>27</v>
      </c>
      <c r="D201">
        <v>2014</v>
      </c>
    </row>
    <row r="202" spans="1:4" x14ac:dyDescent="0.3">
      <c r="A202" s="1">
        <v>41974</v>
      </c>
      <c r="B202">
        <v>12</v>
      </c>
      <c r="C202" t="s">
        <v>27</v>
      </c>
      <c r="D202">
        <v>2014</v>
      </c>
    </row>
    <row r="203" spans="1:4" x14ac:dyDescent="0.3">
      <c r="A203" s="1">
        <v>41699</v>
      </c>
      <c r="B203">
        <v>3</v>
      </c>
      <c r="C203" t="s">
        <v>29</v>
      </c>
      <c r="D203">
        <v>2014</v>
      </c>
    </row>
    <row r="204" spans="1:4" x14ac:dyDescent="0.3">
      <c r="A204" s="1">
        <v>41518</v>
      </c>
      <c r="B204">
        <v>9</v>
      </c>
      <c r="C204" t="s">
        <v>35</v>
      </c>
      <c r="D204">
        <v>2013</v>
      </c>
    </row>
    <row r="205" spans="1:4" x14ac:dyDescent="0.3">
      <c r="A205" s="1">
        <v>41913</v>
      </c>
      <c r="B205">
        <v>10</v>
      </c>
      <c r="C205" t="s">
        <v>36</v>
      </c>
      <c r="D205">
        <v>2014</v>
      </c>
    </row>
    <row r="206" spans="1:4" x14ac:dyDescent="0.3">
      <c r="A206" s="1">
        <v>41760</v>
      </c>
      <c r="B206">
        <v>5</v>
      </c>
      <c r="C206" t="s">
        <v>46</v>
      </c>
      <c r="D206">
        <v>2014</v>
      </c>
    </row>
    <row r="207" spans="1:4" x14ac:dyDescent="0.3">
      <c r="A207" s="1">
        <v>41518</v>
      </c>
      <c r="B207">
        <v>9</v>
      </c>
      <c r="C207" t="s">
        <v>35</v>
      </c>
      <c r="D207">
        <v>2013</v>
      </c>
    </row>
    <row r="208" spans="1:4" x14ac:dyDescent="0.3">
      <c r="A208" s="1">
        <v>41913</v>
      </c>
      <c r="B208">
        <v>10</v>
      </c>
      <c r="C208" t="s">
        <v>36</v>
      </c>
      <c r="D208">
        <v>2014</v>
      </c>
    </row>
    <row r="209" spans="1:4" x14ac:dyDescent="0.3">
      <c r="A209" s="1">
        <v>41548</v>
      </c>
      <c r="B209">
        <v>10</v>
      </c>
      <c r="C209" t="s">
        <v>36</v>
      </c>
      <c r="D209">
        <v>2013</v>
      </c>
    </row>
    <row r="210" spans="1:4" x14ac:dyDescent="0.3">
      <c r="A210" s="1">
        <v>41671</v>
      </c>
      <c r="B210">
        <v>2</v>
      </c>
      <c r="C210" t="s">
        <v>39</v>
      </c>
      <c r="D210">
        <v>2014</v>
      </c>
    </row>
    <row r="211" spans="1:4" x14ac:dyDescent="0.3">
      <c r="A211" s="1">
        <v>41730</v>
      </c>
      <c r="B211">
        <v>4</v>
      </c>
      <c r="C211" t="s">
        <v>43</v>
      </c>
      <c r="D211">
        <v>2014</v>
      </c>
    </row>
    <row r="212" spans="1:4" x14ac:dyDescent="0.3">
      <c r="A212" s="1">
        <v>41883</v>
      </c>
      <c r="B212">
        <v>9</v>
      </c>
      <c r="C212" t="s">
        <v>35</v>
      </c>
      <c r="D212">
        <v>2014</v>
      </c>
    </row>
    <row r="213" spans="1:4" x14ac:dyDescent="0.3">
      <c r="A213" s="1">
        <v>41548</v>
      </c>
      <c r="B213">
        <v>10</v>
      </c>
      <c r="C213" t="s">
        <v>36</v>
      </c>
      <c r="D213">
        <v>2013</v>
      </c>
    </row>
    <row r="214" spans="1:4" x14ac:dyDescent="0.3">
      <c r="A214" s="1">
        <v>41609</v>
      </c>
      <c r="B214">
        <v>12</v>
      </c>
      <c r="C214" t="s">
        <v>27</v>
      </c>
      <c r="D214">
        <v>2013</v>
      </c>
    </row>
    <row r="215" spans="1:4" x14ac:dyDescent="0.3">
      <c r="A215" s="1">
        <v>41548</v>
      </c>
      <c r="B215">
        <v>10</v>
      </c>
      <c r="C215" t="s">
        <v>36</v>
      </c>
      <c r="D215">
        <v>2013</v>
      </c>
    </row>
    <row r="216" spans="1:4" x14ac:dyDescent="0.3">
      <c r="A216" s="1">
        <v>41640</v>
      </c>
      <c r="B216">
        <v>1</v>
      </c>
      <c r="C216" t="s">
        <v>21</v>
      </c>
      <c r="D216">
        <v>2014</v>
      </c>
    </row>
    <row r="217" spans="1:4" x14ac:dyDescent="0.3">
      <c r="A217" s="1">
        <v>41518</v>
      </c>
      <c r="B217">
        <v>9</v>
      </c>
      <c r="C217" t="s">
        <v>35</v>
      </c>
      <c r="D217">
        <v>2013</v>
      </c>
    </row>
    <row r="218" spans="1:4" x14ac:dyDescent="0.3">
      <c r="A218" s="1">
        <v>41913</v>
      </c>
      <c r="B218">
        <v>10</v>
      </c>
      <c r="C218" t="s">
        <v>36</v>
      </c>
      <c r="D218">
        <v>2014</v>
      </c>
    </row>
    <row r="219" spans="1:4" x14ac:dyDescent="0.3">
      <c r="A219" s="1">
        <v>41974</v>
      </c>
      <c r="B219">
        <v>12</v>
      </c>
      <c r="C219" t="s">
        <v>27</v>
      </c>
      <c r="D219">
        <v>2014</v>
      </c>
    </row>
    <row r="220" spans="1:4" x14ac:dyDescent="0.3">
      <c r="A220" s="1">
        <v>41974</v>
      </c>
      <c r="B220">
        <v>12</v>
      </c>
      <c r="C220" t="s">
        <v>27</v>
      </c>
      <c r="D220">
        <v>2014</v>
      </c>
    </row>
    <row r="221" spans="1:4" x14ac:dyDescent="0.3">
      <c r="A221" s="1">
        <v>41913</v>
      </c>
      <c r="B221">
        <v>10</v>
      </c>
      <c r="C221" t="s">
        <v>36</v>
      </c>
      <c r="D221">
        <v>2014</v>
      </c>
    </row>
    <row r="222" spans="1:4" x14ac:dyDescent="0.3">
      <c r="A222" s="1">
        <v>41821</v>
      </c>
      <c r="B222">
        <v>7</v>
      </c>
      <c r="C222" t="s">
        <v>32</v>
      </c>
      <c r="D222">
        <v>2014</v>
      </c>
    </row>
    <row r="223" spans="1:4" x14ac:dyDescent="0.3">
      <c r="A223" s="1">
        <v>41852</v>
      </c>
      <c r="B223">
        <v>8</v>
      </c>
      <c r="C223" t="s">
        <v>34</v>
      </c>
      <c r="D223">
        <v>2014</v>
      </c>
    </row>
    <row r="224" spans="1:4" x14ac:dyDescent="0.3">
      <c r="A224" s="1">
        <v>41548</v>
      </c>
      <c r="B224">
        <v>10</v>
      </c>
      <c r="C224" t="s">
        <v>36</v>
      </c>
      <c r="D224">
        <v>2013</v>
      </c>
    </row>
    <row r="225" spans="1:4" x14ac:dyDescent="0.3">
      <c r="A225" s="1">
        <v>41671</v>
      </c>
      <c r="B225">
        <v>2</v>
      </c>
      <c r="C225" t="s">
        <v>39</v>
      </c>
      <c r="D225">
        <v>2014</v>
      </c>
    </row>
    <row r="226" spans="1:4" x14ac:dyDescent="0.3">
      <c r="A226" s="1">
        <v>41671</v>
      </c>
      <c r="B226">
        <v>2</v>
      </c>
      <c r="C226" t="s">
        <v>39</v>
      </c>
      <c r="D226">
        <v>2014</v>
      </c>
    </row>
    <row r="227" spans="1:4" x14ac:dyDescent="0.3">
      <c r="A227" s="1">
        <v>41760</v>
      </c>
      <c r="B227">
        <v>5</v>
      </c>
      <c r="C227" t="s">
        <v>46</v>
      </c>
      <c r="D227">
        <v>2014</v>
      </c>
    </row>
    <row r="228" spans="1:4" x14ac:dyDescent="0.3">
      <c r="A228" s="1">
        <v>41791</v>
      </c>
      <c r="B228">
        <v>6</v>
      </c>
      <c r="C228" t="s">
        <v>25</v>
      </c>
      <c r="D228">
        <v>2014</v>
      </c>
    </row>
    <row r="229" spans="1:4" x14ac:dyDescent="0.3">
      <c r="A229" s="1">
        <v>41579</v>
      </c>
      <c r="B229">
        <v>11</v>
      </c>
      <c r="C229" t="s">
        <v>40</v>
      </c>
      <c r="D229">
        <v>2013</v>
      </c>
    </row>
    <row r="230" spans="1:4" x14ac:dyDescent="0.3">
      <c r="A230" s="1">
        <v>41944</v>
      </c>
      <c r="B230">
        <v>11</v>
      </c>
      <c r="C230" t="s">
        <v>40</v>
      </c>
      <c r="D230">
        <v>2014</v>
      </c>
    </row>
    <row r="231" spans="1:4" x14ac:dyDescent="0.3">
      <c r="A231" s="1">
        <v>41974</v>
      </c>
      <c r="B231">
        <v>12</v>
      </c>
      <c r="C231" t="s">
        <v>27</v>
      </c>
      <c r="D231">
        <v>2014</v>
      </c>
    </row>
    <row r="232" spans="1:4" x14ac:dyDescent="0.3">
      <c r="A232" s="1">
        <v>41974</v>
      </c>
      <c r="B232">
        <v>12</v>
      </c>
      <c r="C232" t="s">
        <v>27</v>
      </c>
      <c r="D232">
        <v>2014</v>
      </c>
    </row>
    <row r="233" spans="1:4" x14ac:dyDescent="0.3">
      <c r="A233" s="1">
        <v>41640</v>
      </c>
      <c r="B233">
        <v>1</v>
      </c>
      <c r="C233" t="s">
        <v>21</v>
      </c>
      <c r="D233">
        <v>2014</v>
      </c>
    </row>
    <row r="234" spans="1:4" x14ac:dyDescent="0.3">
      <c r="A234" s="1">
        <v>41821</v>
      </c>
      <c r="B234">
        <v>7</v>
      </c>
      <c r="C234" t="s">
        <v>32</v>
      </c>
      <c r="D234">
        <v>2014</v>
      </c>
    </row>
    <row r="235" spans="1:4" x14ac:dyDescent="0.3">
      <c r="A235" s="1">
        <v>41518</v>
      </c>
      <c r="B235">
        <v>9</v>
      </c>
      <c r="C235" t="s">
        <v>35</v>
      </c>
      <c r="D235">
        <v>2013</v>
      </c>
    </row>
    <row r="236" spans="1:4" x14ac:dyDescent="0.3">
      <c r="A236" s="1">
        <v>41944</v>
      </c>
      <c r="B236">
        <v>11</v>
      </c>
      <c r="C236" t="s">
        <v>40</v>
      </c>
      <c r="D236">
        <v>2014</v>
      </c>
    </row>
    <row r="237" spans="1:4" x14ac:dyDescent="0.3">
      <c r="A237" s="1">
        <v>41609</v>
      </c>
      <c r="B237">
        <v>12</v>
      </c>
      <c r="C237" t="s">
        <v>27</v>
      </c>
      <c r="D237">
        <v>2013</v>
      </c>
    </row>
    <row r="238" spans="1:4" x14ac:dyDescent="0.3">
      <c r="A238" s="1">
        <v>41671</v>
      </c>
      <c r="B238">
        <v>2</v>
      </c>
      <c r="C238" t="s">
        <v>39</v>
      </c>
      <c r="D238">
        <v>2014</v>
      </c>
    </row>
    <row r="239" spans="1:4" x14ac:dyDescent="0.3">
      <c r="A239" s="1">
        <v>41699</v>
      </c>
      <c r="B239">
        <v>3</v>
      </c>
      <c r="C239" t="s">
        <v>29</v>
      </c>
      <c r="D239">
        <v>2014</v>
      </c>
    </row>
    <row r="240" spans="1:4" x14ac:dyDescent="0.3">
      <c r="A240" s="1">
        <v>41699</v>
      </c>
      <c r="B240">
        <v>3</v>
      </c>
      <c r="C240" t="s">
        <v>29</v>
      </c>
      <c r="D240">
        <v>2014</v>
      </c>
    </row>
    <row r="241" spans="1:4" x14ac:dyDescent="0.3">
      <c r="A241" s="1">
        <v>41730</v>
      </c>
      <c r="B241">
        <v>4</v>
      </c>
      <c r="C241" t="s">
        <v>43</v>
      </c>
      <c r="D241">
        <v>2014</v>
      </c>
    </row>
    <row r="242" spans="1:4" x14ac:dyDescent="0.3">
      <c r="A242" s="1">
        <v>41760</v>
      </c>
      <c r="B242">
        <v>5</v>
      </c>
      <c r="C242" t="s">
        <v>46</v>
      </c>
      <c r="D242">
        <v>2014</v>
      </c>
    </row>
    <row r="243" spans="1:4" x14ac:dyDescent="0.3">
      <c r="A243" s="1">
        <v>41791</v>
      </c>
      <c r="B243">
        <v>6</v>
      </c>
      <c r="C243" t="s">
        <v>25</v>
      </c>
      <c r="D243">
        <v>2014</v>
      </c>
    </row>
    <row r="244" spans="1:4" x14ac:dyDescent="0.3">
      <c r="A244" s="1">
        <v>41791</v>
      </c>
      <c r="B244">
        <v>6</v>
      </c>
      <c r="C244" t="s">
        <v>25</v>
      </c>
      <c r="D244">
        <v>2014</v>
      </c>
    </row>
    <row r="245" spans="1:4" x14ac:dyDescent="0.3">
      <c r="A245" s="1">
        <v>41883</v>
      </c>
      <c r="B245">
        <v>9</v>
      </c>
      <c r="C245" t="s">
        <v>35</v>
      </c>
      <c r="D245">
        <v>2014</v>
      </c>
    </row>
    <row r="246" spans="1:4" x14ac:dyDescent="0.3">
      <c r="A246" s="1">
        <v>41548</v>
      </c>
      <c r="B246">
        <v>10</v>
      </c>
      <c r="C246" t="s">
        <v>36</v>
      </c>
      <c r="D246">
        <v>2013</v>
      </c>
    </row>
    <row r="247" spans="1:4" x14ac:dyDescent="0.3">
      <c r="A247" s="1">
        <v>41548</v>
      </c>
      <c r="B247">
        <v>10</v>
      </c>
      <c r="C247" t="s">
        <v>36</v>
      </c>
      <c r="D247">
        <v>2013</v>
      </c>
    </row>
    <row r="248" spans="1:4" x14ac:dyDescent="0.3">
      <c r="A248" s="1">
        <v>41913</v>
      </c>
      <c r="B248">
        <v>10</v>
      </c>
      <c r="C248" t="s">
        <v>36</v>
      </c>
      <c r="D248">
        <v>2014</v>
      </c>
    </row>
    <row r="249" spans="1:4" x14ac:dyDescent="0.3">
      <c r="A249" s="1">
        <v>41548</v>
      </c>
      <c r="B249">
        <v>10</v>
      </c>
      <c r="C249" t="s">
        <v>36</v>
      </c>
      <c r="D249">
        <v>2013</v>
      </c>
    </row>
    <row r="250" spans="1:4" x14ac:dyDescent="0.3">
      <c r="A250" s="1">
        <v>41609</v>
      </c>
      <c r="B250">
        <v>12</v>
      </c>
      <c r="C250" t="s">
        <v>27</v>
      </c>
      <c r="D250">
        <v>2013</v>
      </c>
    </row>
    <row r="251" spans="1:4" x14ac:dyDescent="0.3">
      <c r="A251" s="1">
        <v>41974</v>
      </c>
      <c r="B251">
        <v>12</v>
      </c>
      <c r="C251" t="s">
        <v>27</v>
      </c>
      <c r="D251">
        <v>2014</v>
      </c>
    </row>
    <row r="252" spans="1:4" x14ac:dyDescent="0.3">
      <c r="A252" s="1">
        <v>41609</v>
      </c>
      <c r="B252">
        <v>12</v>
      </c>
      <c r="C252" t="s">
        <v>27</v>
      </c>
      <c r="D252">
        <v>2013</v>
      </c>
    </row>
    <row r="253" spans="1:4" x14ac:dyDescent="0.3">
      <c r="A253" s="1">
        <v>41609</v>
      </c>
      <c r="B253">
        <v>12</v>
      </c>
      <c r="C253" t="s">
        <v>27</v>
      </c>
      <c r="D253">
        <v>2013</v>
      </c>
    </row>
    <row r="254" spans="1:4" x14ac:dyDescent="0.3">
      <c r="A254" s="1">
        <v>41640</v>
      </c>
      <c r="B254">
        <v>1</v>
      </c>
      <c r="C254" t="s">
        <v>21</v>
      </c>
      <c r="D254">
        <v>2014</v>
      </c>
    </row>
    <row r="255" spans="1:4" x14ac:dyDescent="0.3">
      <c r="A255" s="1">
        <v>41640</v>
      </c>
      <c r="B255">
        <v>1</v>
      </c>
      <c r="C255" t="s">
        <v>21</v>
      </c>
      <c r="D255">
        <v>2014</v>
      </c>
    </row>
    <row r="256" spans="1:4" x14ac:dyDescent="0.3">
      <c r="A256" s="1">
        <v>41671</v>
      </c>
      <c r="B256">
        <v>2</v>
      </c>
      <c r="C256" t="s">
        <v>39</v>
      </c>
      <c r="D256">
        <v>2014</v>
      </c>
    </row>
    <row r="257" spans="1:4" x14ac:dyDescent="0.3">
      <c r="A257" s="1">
        <v>41791</v>
      </c>
      <c r="B257">
        <v>6</v>
      </c>
      <c r="C257" t="s">
        <v>25</v>
      </c>
      <c r="D257">
        <v>2014</v>
      </c>
    </row>
    <row r="258" spans="1:4" x14ac:dyDescent="0.3">
      <c r="A258" s="1">
        <v>41852</v>
      </c>
      <c r="B258">
        <v>8</v>
      </c>
      <c r="C258" t="s">
        <v>34</v>
      </c>
      <c r="D258">
        <v>2014</v>
      </c>
    </row>
    <row r="259" spans="1:4" x14ac:dyDescent="0.3">
      <c r="A259" s="1">
        <v>41852</v>
      </c>
      <c r="B259">
        <v>8</v>
      </c>
      <c r="C259" t="s">
        <v>34</v>
      </c>
      <c r="D259">
        <v>2014</v>
      </c>
    </row>
    <row r="260" spans="1:4" x14ac:dyDescent="0.3">
      <c r="A260" s="1">
        <v>41913</v>
      </c>
      <c r="B260">
        <v>10</v>
      </c>
      <c r="C260" t="s">
        <v>36</v>
      </c>
      <c r="D260">
        <v>2014</v>
      </c>
    </row>
    <row r="261" spans="1:4" x14ac:dyDescent="0.3">
      <c r="A261" s="1">
        <v>41548</v>
      </c>
      <c r="B261">
        <v>10</v>
      </c>
      <c r="C261" t="s">
        <v>36</v>
      </c>
      <c r="D261">
        <v>2013</v>
      </c>
    </row>
    <row r="262" spans="1:4" x14ac:dyDescent="0.3">
      <c r="A262" s="1">
        <v>41609</v>
      </c>
      <c r="B262">
        <v>12</v>
      </c>
      <c r="C262" t="s">
        <v>27</v>
      </c>
      <c r="D262">
        <v>2013</v>
      </c>
    </row>
    <row r="263" spans="1:4" x14ac:dyDescent="0.3">
      <c r="A263" s="1">
        <v>41974</v>
      </c>
      <c r="B263">
        <v>12</v>
      </c>
      <c r="C263" t="s">
        <v>27</v>
      </c>
      <c r="D263">
        <v>2014</v>
      </c>
    </row>
    <row r="264" spans="1:4" x14ac:dyDescent="0.3">
      <c r="A264" s="1">
        <v>41548</v>
      </c>
      <c r="B264">
        <v>10</v>
      </c>
      <c r="C264" t="s">
        <v>36</v>
      </c>
      <c r="D264">
        <v>2013</v>
      </c>
    </row>
    <row r="265" spans="1:4" x14ac:dyDescent="0.3">
      <c r="A265" s="1">
        <v>41579</v>
      </c>
      <c r="B265">
        <v>11</v>
      </c>
      <c r="C265" t="s">
        <v>40</v>
      </c>
      <c r="D265">
        <v>2013</v>
      </c>
    </row>
    <row r="266" spans="1:4" x14ac:dyDescent="0.3">
      <c r="A266" s="1">
        <v>41579</v>
      </c>
      <c r="B266">
        <v>11</v>
      </c>
      <c r="C266" t="s">
        <v>40</v>
      </c>
      <c r="D266">
        <v>2013</v>
      </c>
    </row>
    <row r="267" spans="1:4" x14ac:dyDescent="0.3">
      <c r="A267" s="1">
        <v>41974</v>
      </c>
      <c r="B267">
        <v>12</v>
      </c>
      <c r="C267" t="s">
        <v>27</v>
      </c>
      <c r="D267">
        <v>2014</v>
      </c>
    </row>
    <row r="268" spans="1:4" x14ac:dyDescent="0.3">
      <c r="A268" s="1">
        <v>41974</v>
      </c>
      <c r="B268">
        <v>12</v>
      </c>
      <c r="C268" t="s">
        <v>27</v>
      </c>
      <c r="D268">
        <v>2014</v>
      </c>
    </row>
    <row r="269" spans="1:4" x14ac:dyDescent="0.3">
      <c r="A269" s="1">
        <v>41974</v>
      </c>
      <c r="B269">
        <v>12</v>
      </c>
      <c r="C269" t="s">
        <v>27</v>
      </c>
      <c r="D269">
        <v>2014</v>
      </c>
    </row>
    <row r="270" spans="1:4" x14ac:dyDescent="0.3">
      <c r="A270" s="1">
        <v>41671</v>
      </c>
      <c r="B270">
        <v>2</v>
      </c>
      <c r="C270" t="s">
        <v>39</v>
      </c>
      <c r="D270">
        <v>2014</v>
      </c>
    </row>
    <row r="271" spans="1:4" x14ac:dyDescent="0.3">
      <c r="A271" s="1">
        <v>41852</v>
      </c>
      <c r="B271">
        <v>8</v>
      </c>
      <c r="C271" t="s">
        <v>34</v>
      </c>
      <c r="D271">
        <v>2014</v>
      </c>
    </row>
    <row r="272" spans="1:4" x14ac:dyDescent="0.3">
      <c r="A272" s="1">
        <v>41548</v>
      </c>
      <c r="B272">
        <v>10</v>
      </c>
      <c r="C272" t="s">
        <v>36</v>
      </c>
      <c r="D272">
        <v>2013</v>
      </c>
    </row>
    <row r="273" spans="1:4" x14ac:dyDescent="0.3">
      <c r="A273" s="1">
        <v>41974</v>
      </c>
      <c r="B273">
        <v>12</v>
      </c>
      <c r="C273" t="s">
        <v>27</v>
      </c>
      <c r="D273">
        <v>2014</v>
      </c>
    </row>
    <row r="274" spans="1:4" x14ac:dyDescent="0.3">
      <c r="A274" s="1">
        <v>41730</v>
      </c>
      <c r="B274">
        <v>4</v>
      </c>
      <c r="C274" t="s">
        <v>43</v>
      </c>
      <c r="D274">
        <v>2014</v>
      </c>
    </row>
    <row r="275" spans="1:4" x14ac:dyDescent="0.3">
      <c r="A275" s="1">
        <v>41640</v>
      </c>
      <c r="B275">
        <v>1</v>
      </c>
      <c r="C275" t="s">
        <v>21</v>
      </c>
      <c r="D275">
        <v>2014</v>
      </c>
    </row>
    <row r="276" spans="1:4" x14ac:dyDescent="0.3">
      <c r="A276" s="1">
        <v>41791</v>
      </c>
      <c r="B276">
        <v>6</v>
      </c>
      <c r="C276" t="s">
        <v>25</v>
      </c>
      <c r="D276">
        <v>2014</v>
      </c>
    </row>
    <row r="277" spans="1:4" x14ac:dyDescent="0.3">
      <c r="A277" s="1">
        <v>41883</v>
      </c>
      <c r="B277">
        <v>9</v>
      </c>
      <c r="C277" t="s">
        <v>35</v>
      </c>
      <c r="D277">
        <v>2014</v>
      </c>
    </row>
    <row r="278" spans="1:4" x14ac:dyDescent="0.3">
      <c r="A278" s="1">
        <v>41548</v>
      </c>
      <c r="B278">
        <v>10</v>
      </c>
      <c r="C278" t="s">
        <v>36</v>
      </c>
      <c r="D278">
        <v>2013</v>
      </c>
    </row>
    <row r="279" spans="1:4" x14ac:dyDescent="0.3">
      <c r="A279" s="1">
        <v>41944</v>
      </c>
      <c r="B279">
        <v>11</v>
      </c>
      <c r="C279" t="s">
        <v>40</v>
      </c>
      <c r="D279">
        <v>2014</v>
      </c>
    </row>
    <row r="280" spans="1:4" x14ac:dyDescent="0.3">
      <c r="A280" s="1">
        <v>41579</v>
      </c>
      <c r="B280">
        <v>11</v>
      </c>
      <c r="C280" t="s">
        <v>40</v>
      </c>
      <c r="D280">
        <v>2013</v>
      </c>
    </row>
    <row r="281" spans="1:4" x14ac:dyDescent="0.3">
      <c r="A281" s="1">
        <v>41609</v>
      </c>
      <c r="B281">
        <v>12</v>
      </c>
      <c r="C281" t="s">
        <v>27</v>
      </c>
      <c r="D281">
        <v>2013</v>
      </c>
    </row>
    <row r="282" spans="1:4" x14ac:dyDescent="0.3">
      <c r="A282" s="1">
        <v>41730</v>
      </c>
      <c r="B282">
        <v>4</v>
      </c>
      <c r="C282" t="s">
        <v>43</v>
      </c>
      <c r="D282">
        <v>2014</v>
      </c>
    </row>
    <row r="283" spans="1:4" x14ac:dyDescent="0.3">
      <c r="A283" s="1">
        <v>41760</v>
      </c>
      <c r="B283">
        <v>5</v>
      </c>
      <c r="C283" t="s">
        <v>46</v>
      </c>
      <c r="D283">
        <v>2014</v>
      </c>
    </row>
    <row r="284" spans="1:4" x14ac:dyDescent="0.3">
      <c r="A284" s="1">
        <v>41548</v>
      </c>
      <c r="B284">
        <v>10</v>
      </c>
      <c r="C284" t="s">
        <v>36</v>
      </c>
      <c r="D284">
        <v>2013</v>
      </c>
    </row>
    <row r="285" spans="1:4" x14ac:dyDescent="0.3">
      <c r="A285" s="1">
        <v>41944</v>
      </c>
      <c r="B285">
        <v>11</v>
      </c>
      <c r="C285" t="s">
        <v>40</v>
      </c>
      <c r="D285">
        <v>2014</v>
      </c>
    </row>
    <row r="286" spans="1:4" x14ac:dyDescent="0.3">
      <c r="A286" s="1">
        <v>41791</v>
      </c>
      <c r="B286">
        <v>6</v>
      </c>
      <c r="C286" t="s">
        <v>25</v>
      </c>
      <c r="D286">
        <v>2014</v>
      </c>
    </row>
    <row r="287" spans="1:4" x14ac:dyDescent="0.3">
      <c r="A287" s="1">
        <v>41548</v>
      </c>
      <c r="B287">
        <v>10</v>
      </c>
      <c r="C287" t="s">
        <v>36</v>
      </c>
      <c r="D287">
        <v>2013</v>
      </c>
    </row>
    <row r="288" spans="1:4" x14ac:dyDescent="0.3">
      <c r="A288" s="1">
        <v>41548</v>
      </c>
      <c r="B288">
        <v>10</v>
      </c>
      <c r="C288" t="s">
        <v>36</v>
      </c>
      <c r="D288">
        <v>2013</v>
      </c>
    </row>
    <row r="289" spans="1:4" x14ac:dyDescent="0.3">
      <c r="A289" s="1">
        <v>41671</v>
      </c>
      <c r="B289">
        <v>2</v>
      </c>
      <c r="C289" t="s">
        <v>39</v>
      </c>
      <c r="D289">
        <v>2014</v>
      </c>
    </row>
    <row r="290" spans="1:4" x14ac:dyDescent="0.3">
      <c r="A290" s="1">
        <v>41671</v>
      </c>
      <c r="B290">
        <v>2</v>
      </c>
      <c r="C290" t="s">
        <v>39</v>
      </c>
      <c r="D290">
        <v>2014</v>
      </c>
    </row>
    <row r="291" spans="1:4" x14ac:dyDescent="0.3">
      <c r="A291" s="1">
        <v>41760</v>
      </c>
      <c r="B291">
        <v>5</v>
      </c>
      <c r="C291" t="s">
        <v>46</v>
      </c>
      <c r="D291">
        <v>2014</v>
      </c>
    </row>
    <row r="292" spans="1:4" x14ac:dyDescent="0.3">
      <c r="A292" s="1">
        <v>41791</v>
      </c>
      <c r="B292">
        <v>6</v>
      </c>
      <c r="C292" t="s">
        <v>25</v>
      </c>
      <c r="D292">
        <v>2014</v>
      </c>
    </row>
    <row r="293" spans="1:4" x14ac:dyDescent="0.3">
      <c r="A293" s="1">
        <v>41791</v>
      </c>
      <c r="B293">
        <v>6</v>
      </c>
      <c r="C293" t="s">
        <v>25</v>
      </c>
      <c r="D293">
        <v>2014</v>
      </c>
    </row>
    <row r="294" spans="1:4" x14ac:dyDescent="0.3">
      <c r="A294" s="1">
        <v>41548</v>
      </c>
      <c r="B294">
        <v>10</v>
      </c>
      <c r="C294" t="s">
        <v>36</v>
      </c>
      <c r="D294">
        <v>2013</v>
      </c>
    </row>
    <row r="295" spans="1:4" x14ac:dyDescent="0.3">
      <c r="A295" s="1">
        <v>41548</v>
      </c>
      <c r="B295">
        <v>10</v>
      </c>
      <c r="C295" t="s">
        <v>36</v>
      </c>
      <c r="D295">
        <v>2013</v>
      </c>
    </row>
    <row r="296" spans="1:4" x14ac:dyDescent="0.3">
      <c r="A296" s="1">
        <v>41791</v>
      </c>
      <c r="B296">
        <v>6</v>
      </c>
      <c r="C296" t="s">
        <v>25</v>
      </c>
      <c r="D296">
        <v>2014</v>
      </c>
    </row>
    <row r="297" spans="1:4" x14ac:dyDescent="0.3">
      <c r="A297" s="1">
        <v>41791</v>
      </c>
      <c r="B297">
        <v>6</v>
      </c>
      <c r="C297" t="s">
        <v>25</v>
      </c>
      <c r="D297">
        <v>2014</v>
      </c>
    </row>
    <row r="298" spans="1:4" x14ac:dyDescent="0.3">
      <c r="A298" s="1">
        <v>41548</v>
      </c>
      <c r="B298">
        <v>10</v>
      </c>
      <c r="C298" t="s">
        <v>36</v>
      </c>
      <c r="D298">
        <v>2013</v>
      </c>
    </row>
    <row r="299" spans="1:4" x14ac:dyDescent="0.3">
      <c r="A299" s="1">
        <v>41579</v>
      </c>
      <c r="B299">
        <v>11</v>
      </c>
      <c r="C299" t="s">
        <v>40</v>
      </c>
      <c r="D299">
        <v>2013</v>
      </c>
    </row>
    <row r="300" spans="1:4" x14ac:dyDescent="0.3">
      <c r="A300" s="1">
        <v>41609</v>
      </c>
      <c r="B300">
        <v>12</v>
      </c>
      <c r="C300" t="s">
        <v>27</v>
      </c>
      <c r="D300">
        <v>2013</v>
      </c>
    </row>
    <row r="301" spans="1:4" x14ac:dyDescent="0.3">
      <c r="A301" s="1">
        <v>41640</v>
      </c>
      <c r="B301">
        <v>1</v>
      </c>
      <c r="C301" t="s">
        <v>21</v>
      </c>
      <c r="D301">
        <v>2014</v>
      </c>
    </row>
    <row r="302" spans="1:4" x14ac:dyDescent="0.3">
      <c r="A302" s="1">
        <v>41883</v>
      </c>
      <c r="B302">
        <v>9</v>
      </c>
      <c r="C302" t="s">
        <v>35</v>
      </c>
      <c r="D302">
        <v>2014</v>
      </c>
    </row>
    <row r="303" spans="1:4" x14ac:dyDescent="0.3">
      <c r="A303" s="1">
        <v>41548</v>
      </c>
      <c r="B303">
        <v>10</v>
      </c>
      <c r="C303" t="s">
        <v>36</v>
      </c>
      <c r="D303">
        <v>2013</v>
      </c>
    </row>
    <row r="304" spans="1:4" x14ac:dyDescent="0.3">
      <c r="A304" s="1">
        <v>41548</v>
      </c>
      <c r="B304">
        <v>10</v>
      </c>
      <c r="C304" t="s">
        <v>36</v>
      </c>
      <c r="D304">
        <v>2013</v>
      </c>
    </row>
    <row r="305" spans="1:4" x14ac:dyDescent="0.3">
      <c r="A305" s="1">
        <v>41548</v>
      </c>
      <c r="B305">
        <v>10</v>
      </c>
      <c r="C305" t="s">
        <v>36</v>
      </c>
      <c r="D305">
        <v>2013</v>
      </c>
    </row>
    <row r="306" spans="1:4" x14ac:dyDescent="0.3">
      <c r="A306" s="1">
        <v>41548</v>
      </c>
      <c r="B306">
        <v>10</v>
      </c>
      <c r="C306" t="s">
        <v>36</v>
      </c>
      <c r="D306">
        <v>2013</v>
      </c>
    </row>
    <row r="307" spans="1:4" x14ac:dyDescent="0.3">
      <c r="A307" s="1">
        <v>41852</v>
      </c>
      <c r="B307">
        <v>8</v>
      </c>
      <c r="C307" t="s">
        <v>34</v>
      </c>
      <c r="D307">
        <v>2014</v>
      </c>
    </row>
    <row r="308" spans="1:4" x14ac:dyDescent="0.3">
      <c r="A308" s="1">
        <v>41852</v>
      </c>
      <c r="B308">
        <v>8</v>
      </c>
      <c r="C308" t="s">
        <v>34</v>
      </c>
      <c r="D308">
        <v>2014</v>
      </c>
    </row>
    <row r="309" spans="1:4" x14ac:dyDescent="0.3">
      <c r="A309" s="1">
        <v>41913</v>
      </c>
      <c r="B309">
        <v>10</v>
      </c>
      <c r="C309" t="s">
        <v>36</v>
      </c>
      <c r="D309">
        <v>2014</v>
      </c>
    </row>
    <row r="310" spans="1:4" x14ac:dyDescent="0.3">
      <c r="A310" s="1">
        <v>41548</v>
      </c>
      <c r="B310">
        <v>10</v>
      </c>
      <c r="C310" t="s">
        <v>36</v>
      </c>
      <c r="D310">
        <v>2013</v>
      </c>
    </row>
    <row r="311" spans="1:4" x14ac:dyDescent="0.3">
      <c r="A311" s="1">
        <v>41852</v>
      </c>
      <c r="B311">
        <v>8</v>
      </c>
      <c r="C311" t="s">
        <v>34</v>
      </c>
      <c r="D311">
        <v>2014</v>
      </c>
    </row>
    <row r="312" spans="1:4" x14ac:dyDescent="0.3">
      <c r="A312" s="1">
        <v>41944</v>
      </c>
      <c r="B312">
        <v>11</v>
      </c>
      <c r="C312" t="s">
        <v>40</v>
      </c>
      <c r="D312">
        <v>2014</v>
      </c>
    </row>
    <row r="313" spans="1:4" x14ac:dyDescent="0.3">
      <c r="A313" s="1">
        <v>41913</v>
      </c>
      <c r="B313">
        <v>10</v>
      </c>
      <c r="C313" t="s">
        <v>36</v>
      </c>
      <c r="D313">
        <v>2014</v>
      </c>
    </row>
    <row r="314" spans="1:4" x14ac:dyDescent="0.3">
      <c r="A314" s="1">
        <v>41671</v>
      </c>
      <c r="B314">
        <v>2</v>
      </c>
      <c r="C314" t="s">
        <v>39</v>
      </c>
      <c r="D314">
        <v>2014</v>
      </c>
    </row>
    <row r="315" spans="1:4" x14ac:dyDescent="0.3">
      <c r="A315" s="1">
        <v>41852</v>
      </c>
      <c r="B315">
        <v>8</v>
      </c>
      <c r="C315" t="s">
        <v>34</v>
      </c>
      <c r="D315">
        <v>2014</v>
      </c>
    </row>
    <row r="316" spans="1:4" x14ac:dyDescent="0.3">
      <c r="A316" s="1">
        <v>41518</v>
      </c>
      <c r="B316">
        <v>9</v>
      </c>
      <c r="C316" t="s">
        <v>35</v>
      </c>
      <c r="D316">
        <v>2013</v>
      </c>
    </row>
    <row r="317" spans="1:4" x14ac:dyDescent="0.3">
      <c r="A317" s="1">
        <v>41640</v>
      </c>
      <c r="B317">
        <v>1</v>
      </c>
      <c r="C317" t="s">
        <v>21</v>
      </c>
      <c r="D317">
        <v>2014</v>
      </c>
    </row>
    <row r="318" spans="1:4" x14ac:dyDescent="0.3">
      <c r="A318" s="1">
        <v>41944</v>
      </c>
      <c r="B318">
        <v>11</v>
      </c>
      <c r="C318" t="s">
        <v>40</v>
      </c>
      <c r="D318">
        <v>2014</v>
      </c>
    </row>
    <row r="319" spans="1:4" x14ac:dyDescent="0.3">
      <c r="A319" s="1">
        <v>41518</v>
      </c>
      <c r="B319">
        <v>9</v>
      </c>
      <c r="C319" t="s">
        <v>35</v>
      </c>
      <c r="D319">
        <v>2013</v>
      </c>
    </row>
    <row r="320" spans="1:4" x14ac:dyDescent="0.3">
      <c r="A320" s="1">
        <v>41760</v>
      </c>
      <c r="B320">
        <v>5</v>
      </c>
      <c r="C320" t="s">
        <v>46</v>
      </c>
      <c r="D320">
        <v>2014</v>
      </c>
    </row>
    <row r="321" spans="1:4" x14ac:dyDescent="0.3">
      <c r="A321" s="1">
        <v>41791</v>
      </c>
      <c r="B321">
        <v>6</v>
      </c>
      <c r="C321" t="s">
        <v>25</v>
      </c>
      <c r="D321">
        <v>2014</v>
      </c>
    </row>
    <row r="322" spans="1:4" x14ac:dyDescent="0.3">
      <c r="A322" s="1">
        <v>41944</v>
      </c>
      <c r="B322">
        <v>11</v>
      </c>
      <c r="C322" t="s">
        <v>40</v>
      </c>
      <c r="D322">
        <v>2014</v>
      </c>
    </row>
    <row r="323" spans="1:4" x14ac:dyDescent="0.3">
      <c r="A323" s="1">
        <v>41974</v>
      </c>
      <c r="B323">
        <v>12</v>
      </c>
      <c r="C323" t="s">
        <v>27</v>
      </c>
      <c r="D323">
        <v>2014</v>
      </c>
    </row>
    <row r="324" spans="1:4" x14ac:dyDescent="0.3">
      <c r="A324" s="1">
        <v>41730</v>
      </c>
      <c r="B324">
        <v>4</v>
      </c>
      <c r="C324" t="s">
        <v>43</v>
      </c>
      <c r="D324">
        <v>2014</v>
      </c>
    </row>
    <row r="325" spans="1:4" x14ac:dyDescent="0.3">
      <c r="A325" s="1">
        <v>41518</v>
      </c>
      <c r="B325">
        <v>9</v>
      </c>
      <c r="C325" t="s">
        <v>35</v>
      </c>
      <c r="D325">
        <v>2013</v>
      </c>
    </row>
    <row r="326" spans="1:4" x14ac:dyDescent="0.3">
      <c r="A326" s="1">
        <v>41974</v>
      </c>
      <c r="B326">
        <v>12</v>
      </c>
      <c r="C326" t="s">
        <v>27</v>
      </c>
      <c r="D326">
        <v>2014</v>
      </c>
    </row>
    <row r="327" spans="1:4" x14ac:dyDescent="0.3">
      <c r="A327" s="1">
        <v>41791</v>
      </c>
      <c r="B327">
        <v>6</v>
      </c>
      <c r="C327" t="s">
        <v>25</v>
      </c>
      <c r="D327">
        <v>2014</v>
      </c>
    </row>
    <row r="328" spans="1:4" x14ac:dyDescent="0.3">
      <c r="A328" s="1">
        <v>41699</v>
      </c>
      <c r="B328">
        <v>3</v>
      </c>
      <c r="C328" t="s">
        <v>29</v>
      </c>
      <c r="D328">
        <v>2014</v>
      </c>
    </row>
    <row r="329" spans="1:4" x14ac:dyDescent="0.3">
      <c r="A329" s="1">
        <v>41791</v>
      </c>
      <c r="B329">
        <v>6</v>
      </c>
      <c r="C329" t="s">
        <v>25</v>
      </c>
      <c r="D329">
        <v>2014</v>
      </c>
    </row>
    <row r="330" spans="1:4" x14ac:dyDescent="0.3">
      <c r="A330" s="1">
        <v>41913</v>
      </c>
      <c r="B330">
        <v>10</v>
      </c>
      <c r="C330" t="s">
        <v>36</v>
      </c>
      <c r="D330">
        <v>2014</v>
      </c>
    </row>
    <row r="331" spans="1:4" x14ac:dyDescent="0.3">
      <c r="A331" s="1">
        <v>41913</v>
      </c>
      <c r="B331">
        <v>10</v>
      </c>
      <c r="C331" t="s">
        <v>36</v>
      </c>
      <c r="D331">
        <v>2014</v>
      </c>
    </row>
    <row r="332" spans="1:4" x14ac:dyDescent="0.3">
      <c r="A332" s="1">
        <v>41913</v>
      </c>
      <c r="B332">
        <v>10</v>
      </c>
      <c r="C332" t="s">
        <v>36</v>
      </c>
      <c r="D332">
        <v>2014</v>
      </c>
    </row>
    <row r="333" spans="1:4" x14ac:dyDescent="0.3">
      <c r="A333" s="1">
        <v>41579</v>
      </c>
      <c r="B333">
        <v>11</v>
      </c>
      <c r="C333" t="s">
        <v>40</v>
      </c>
      <c r="D333">
        <v>2013</v>
      </c>
    </row>
    <row r="334" spans="1:4" x14ac:dyDescent="0.3">
      <c r="A334" s="1">
        <v>41760</v>
      </c>
      <c r="B334">
        <v>5</v>
      </c>
      <c r="C334" t="s">
        <v>46</v>
      </c>
      <c r="D334">
        <v>2014</v>
      </c>
    </row>
    <row r="335" spans="1:4" x14ac:dyDescent="0.3">
      <c r="A335" s="1">
        <v>41791</v>
      </c>
      <c r="B335">
        <v>6</v>
      </c>
      <c r="C335" t="s">
        <v>25</v>
      </c>
      <c r="D335">
        <v>2014</v>
      </c>
    </row>
    <row r="336" spans="1:4" x14ac:dyDescent="0.3">
      <c r="A336" s="1">
        <v>41821</v>
      </c>
      <c r="B336">
        <v>7</v>
      </c>
      <c r="C336" t="s">
        <v>32</v>
      </c>
      <c r="D336">
        <v>2014</v>
      </c>
    </row>
    <row r="337" spans="1:4" x14ac:dyDescent="0.3">
      <c r="A337" s="1">
        <v>41852</v>
      </c>
      <c r="B337">
        <v>8</v>
      </c>
      <c r="C337" t="s">
        <v>34</v>
      </c>
      <c r="D337">
        <v>2014</v>
      </c>
    </row>
    <row r="338" spans="1:4" x14ac:dyDescent="0.3">
      <c r="A338" s="1">
        <v>41518</v>
      </c>
      <c r="B338">
        <v>9</v>
      </c>
      <c r="C338" t="s">
        <v>35</v>
      </c>
      <c r="D338">
        <v>2013</v>
      </c>
    </row>
    <row r="339" spans="1:4" x14ac:dyDescent="0.3">
      <c r="A339" s="1">
        <v>41883</v>
      </c>
      <c r="B339">
        <v>9</v>
      </c>
      <c r="C339" t="s">
        <v>35</v>
      </c>
      <c r="D339">
        <v>2014</v>
      </c>
    </row>
    <row r="340" spans="1:4" x14ac:dyDescent="0.3">
      <c r="A340" s="1">
        <v>41518</v>
      </c>
      <c r="B340">
        <v>9</v>
      </c>
      <c r="C340" t="s">
        <v>35</v>
      </c>
      <c r="D340">
        <v>2013</v>
      </c>
    </row>
    <row r="341" spans="1:4" x14ac:dyDescent="0.3">
      <c r="A341" s="1">
        <v>41579</v>
      </c>
      <c r="B341">
        <v>11</v>
      </c>
      <c r="C341" t="s">
        <v>40</v>
      </c>
      <c r="D341">
        <v>2013</v>
      </c>
    </row>
    <row r="342" spans="1:4" x14ac:dyDescent="0.3">
      <c r="A342" s="1">
        <v>41579</v>
      </c>
      <c r="B342">
        <v>11</v>
      </c>
      <c r="C342" t="s">
        <v>40</v>
      </c>
      <c r="D342">
        <v>2013</v>
      </c>
    </row>
    <row r="343" spans="1:4" x14ac:dyDescent="0.3">
      <c r="A343" s="1">
        <v>41609</v>
      </c>
      <c r="B343">
        <v>12</v>
      </c>
      <c r="C343" t="s">
        <v>27</v>
      </c>
      <c r="D343">
        <v>2013</v>
      </c>
    </row>
    <row r="344" spans="1:4" x14ac:dyDescent="0.3">
      <c r="A344" s="1">
        <v>41821</v>
      </c>
      <c r="B344">
        <v>7</v>
      </c>
      <c r="C344" t="s">
        <v>32</v>
      </c>
      <c r="D344">
        <v>2014</v>
      </c>
    </row>
    <row r="345" spans="1:4" x14ac:dyDescent="0.3">
      <c r="A345" s="1">
        <v>41852</v>
      </c>
      <c r="B345">
        <v>8</v>
      </c>
      <c r="C345" t="s">
        <v>34</v>
      </c>
      <c r="D345">
        <v>2014</v>
      </c>
    </row>
    <row r="346" spans="1:4" x14ac:dyDescent="0.3">
      <c r="A346" s="1">
        <v>41883</v>
      </c>
      <c r="B346">
        <v>9</v>
      </c>
      <c r="C346" t="s">
        <v>35</v>
      </c>
      <c r="D346">
        <v>2014</v>
      </c>
    </row>
    <row r="347" spans="1:4" x14ac:dyDescent="0.3">
      <c r="A347" s="1">
        <v>41913</v>
      </c>
      <c r="B347">
        <v>10</v>
      </c>
      <c r="C347" t="s">
        <v>36</v>
      </c>
      <c r="D347">
        <v>2014</v>
      </c>
    </row>
    <row r="348" spans="1:4" x14ac:dyDescent="0.3">
      <c r="A348" s="1">
        <v>41609</v>
      </c>
      <c r="B348">
        <v>12</v>
      </c>
      <c r="C348" t="s">
        <v>27</v>
      </c>
      <c r="D348">
        <v>2013</v>
      </c>
    </row>
    <row r="349" spans="1:4" x14ac:dyDescent="0.3">
      <c r="A349" s="1">
        <v>41974</v>
      </c>
      <c r="B349">
        <v>12</v>
      </c>
      <c r="C349" t="s">
        <v>27</v>
      </c>
      <c r="D349">
        <v>2014</v>
      </c>
    </row>
    <row r="350" spans="1:4" x14ac:dyDescent="0.3">
      <c r="A350" s="1">
        <v>41609</v>
      </c>
      <c r="B350">
        <v>12</v>
      </c>
      <c r="C350" t="s">
        <v>27</v>
      </c>
      <c r="D350">
        <v>2013</v>
      </c>
    </row>
    <row r="351" spans="1:4" x14ac:dyDescent="0.3">
      <c r="A351" s="1">
        <v>41640</v>
      </c>
      <c r="B351">
        <v>1</v>
      </c>
      <c r="C351" t="s">
        <v>21</v>
      </c>
      <c r="D351">
        <v>2014</v>
      </c>
    </row>
    <row r="352" spans="1:4" x14ac:dyDescent="0.3">
      <c r="A352" s="1">
        <v>41671</v>
      </c>
      <c r="B352">
        <v>2</v>
      </c>
      <c r="C352" t="s">
        <v>39</v>
      </c>
      <c r="D352">
        <v>2014</v>
      </c>
    </row>
    <row r="353" spans="1:4" x14ac:dyDescent="0.3">
      <c r="A353" s="1">
        <v>41671</v>
      </c>
      <c r="B353">
        <v>2</v>
      </c>
      <c r="C353" t="s">
        <v>39</v>
      </c>
      <c r="D353">
        <v>2014</v>
      </c>
    </row>
    <row r="354" spans="1:4" x14ac:dyDescent="0.3">
      <c r="A354" s="1">
        <v>41760</v>
      </c>
      <c r="B354">
        <v>5</v>
      </c>
      <c r="C354" t="s">
        <v>46</v>
      </c>
      <c r="D354">
        <v>2014</v>
      </c>
    </row>
    <row r="355" spans="1:4" x14ac:dyDescent="0.3">
      <c r="A355" s="1">
        <v>41883</v>
      </c>
      <c r="B355">
        <v>9</v>
      </c>
      <c r="C355" t="s">
        <v>35</v>
      </c>
      <c r="D355">
        <v>2014</v>
      </c>
    </row>
    <row r="356" spans="1:4" x14ac:dyDescent="0.3">
      <c r="A356" s="1">
        <v>41518</v>
      </c>
      <c r="B356">
        <v>9</v>
      </c>
      <c r="C356" t="s">
        <v>35</v>
      </c>
      <c r="D356">
        <v>2013</v>
      </c>
    </row>
    <row r="357" spans="1:4" x14ac:dyDescent="0.3">
      <c r="A357" s="1">
        <v>41944</v>
      </c>
      <c r="B357">
        <v>11</v>
      </c>
      <c r="C357" t="s">
        <v>40</v>
      </c>
      <c r="D357">
        <v>2014</v>
      </c>
    </row>
    <row r="358" spans="1:4" x14ac:dyDescent="0.3">
      <c r="A358" s="1">
        <v>41974</v>
      </c>
      <c r="B358">
        <v>12</v>
      </c>
      <c r="C358" t="s">
        <v>27</v>
      </c>
      <c r="D358">
        <v>2014</v>
      </c>
    </row>
    <row r="359" spans="1:4" x14ac:dyDescent="0.3">
      <c r="A359" s="1">
        <v>41671</v>
      </c>
      <c r="B359">
        <v>2</v>
      </c>
      <c r="C359" t="s">
        <v>39</v>
      </c>
      <c r="D359">
        <v>2014</v>
      </c>
    </row>
    <row r="360" spans="1:4" x14ac:dyDescent="0.3">
      <c r="A360" s="1">
        <v>41791</v>
      </c>
      <c r="B360">
        <v>6</v>
      </c>
      <c r="C360" t="s">
        <v>25</v>
      </c>
      <c r="D360">
        <v>2014</v>
      </c>
    </row>
    <row r="361" spans="1:4" x14ac:dyDescent="0.3">
      <c r="A361" s="1">
        <v>41760</v>
      </c>
      <c r="B361">
        <v>5</v>
      </c>
      <c r="C361" t="s">
        <v>46</v>
      </c>
      <c r="D361">
        <v>2014</v>
      </c>
    </row>
    <row r="362" spans="1:4" x14ac:dyDescent="0.3">
      <c r="A362" s="1">
        <v>41791</v>
      </c>
      <c r="B362">
        <v>6</v>
      </c>
      <c r="C362" t="s">
        <v>25</v>
      </c>
      <c r="D362">
        <v>2014</v>
      </c>
    </row>
    <row r="363" spans="1:4" x14ac:dyDescent="0.3">
      <c r="A363" s="1">
        <v>41852</v>
      </c>
      <c r="B363">
        <v>8</v>
      </c>
      <c r="C363" t="s">
        <v>34</v>
      </c>
      <c r="D363">
        <v>2014</v>
      </c>
    </row>
    <row r="364" spans="1:4" x14ac:dyDescent="0.3">
      <c r="A364" s="1">
        <v>41944</v>
      </c>
      <c r="B364">
        <v>11</v>
      </c>
      <c r="C364" t="s">
        <v>40</v>
      </c>
      <c r="D364">
        <v>2014</v>
      </c>
    </row>
    <row r="365" spans="1:4" x14ac:dyDescent="0.3">
      <c r="A365" s="1">
        <v>41974</v>
      </c>
      <c r="B365">
        <v>12</v>
      </c>
      <c r="C365" t="s">
        <v>27</v>
      </c>
      <c r="D365">
        <v>2014</v>
      </c>
    </row>
    <row r="366" spans="1:4" x14ac:dyDescent="0.3">
      <c r="A366" s="1">
        <v>41699</v>
      </c>
      <c r="B366">
        <v>3</v>
      </c>
      <c r="C366" t="s">
        <v>29</v>
      </c>
      <c r="D366">
        <v>2014</v>
      </c>
    </row>
    <row r="367" spans="1:4" x14ac:dyDescent="0.3">
      <c r="A367" s="1">
        <v>41791</v>
      </c>
      <c r="B367">
        <v>6</v>
      </c>
      <c r="C367" t="s">
        <v>25</v>
      </c>
      <c r="D367">
        <v>2014</v>
      </c>
    </row>
    <row r="368" spans="1:4" x14ac:dyDescent="0.3">
      <c r="A368" s="1">
        <v>41821</v>
      </c>
      <c r="B368">
        <v>7</v>
      </c>
      <c r="C368" t="s">
        <v>32</v>
      </c>
      <c r="D368">
        <v>2014</v>
      </c>
    </row>
    <row r="369" spans="1:4" x14ac:dyDescent="0.3">
      <c r="A369" s="1">
        <v>41852</v>
      </c>
      <c r="B369">
        <v>8</v>
      </c>
      <c r="C369" t="s">
        <v>34</v>
      </c>
      <c r="D369">
        <v>2014</v>
      </c>
    </row>
    <row r="370" spans="1:4" x14ac:dyDescent="0.3">
      <c r="A370" s="1">
        <v>41518</v>
      </c>
      <c r="B370">
        <v>9</v>
      </c>
      <c r="C370" t="s">
        <v>35</v>
      </c>
      <c r="D370">
        <v>2013</v>
      </c>
    </row>
    <row r="371" spans="1:4" x14ac:dyDescent="0.3">
      <c r="A371" s="1">
        <v>41974</v>
      </c>
      <c r="B371">
        <v>12</v>
      </c>
      <c r="C371" t="s">
        <v>27</v>
      </c>
      <c r="D371">
        <v>2014</v>
      </c>
    </row>
    <row r="372" spans="1:4" x14ac:dyDescent="0.3">
      <c r="A372" s="1">
        <v>41699</v>
      </c>
      <c r="B372">
        <v>3</v>
      </c>
      <c r="C372" t="s">
        <v>29</v>
      </c>
      <c r="D372">
        <v>2014</v>
      </c>
    </row>
    <row r="373" spans="1:4" x14ac:dyDescent="0.3">
      <c r="A373" s="1">
        <v>41730</v>
      </c>
      <c r="B373">
        <v>4</v>
      </c>
      <c r="C373" t="s">
        <v>43</v>
      </c>
      <c r="D373">
        <v>2014</v>
      </c>
    </row>
    <row r="374" spans="1:4" x14ac:dyDescent="0.3">
      <c r="A374" s="1">
        <v>41760</v>
      </c>
      <c r="B374">
        <v>5</v>
      </c>
      <c r="C374" t="s">
        <v>46</v>
      </c>
      <c r="D374">
        <v>2014</v>
      </c>
    </row>
    <row r="375" spans="1:4" x14ac:dyDescent="0.3">
      <c r="A375" s="1">
        <v>41791</v>
      </c>
      <c r="B375">
        <v>6</v>
      </c>
      <c r="C375" t="s">
        <v>25</v>
      </c>
      <c r="D375">
        <v>2014</v>
      </c>
    </row>
    <row r="376" spans="1:4" x14ac:dyDescent="0.3">
      <c r="A376" s="1">
        <v>41791</v>
      </c>
      <c r="B376">
        <v>6</v>
      </c>
      <c r="C376" t="s">
        <v>25</v>
      </c>
      <c r="D376">
        <v>2014</v>
      </c>
    </row>
    <row r="377" spans="1:4" x14ac:dyDescent="0.3">
      <c r="A377" s="1">
        <v>41852</v>
      </c>
      <c r="B377">
        <v>8</v>
      </c>
      <c r="C377" t="s">
        <v>34</v>
      </c>
      <c r="D377">
        <v>2014</v>
      </c>
    </row>
    <row r="378" spans="1:4" x14ac:dyDescent="0.3">
      <c r="A378" s="1">
        <v>41852</v>
      </c>
      <c r="B378">
        <v>8</v>
      </c>
      <c r="C378" t="s">
        <v>34</v>
      </c>
      <c r="D378">
        <v>2014</v>
      </c>
    </row>
    <row r="379" spans="1:4" x14ac:dyDescent="0.3">
      <c r="A379" s="1">
        <v>41518</v>
      </c>
      <c r="B379">
        <v>9</v>
      </c>
      <c r="C379" t="s">
        <v>35</v>
      </c>
      <c r="D379">
        <v>2013</v>
      </c>
    </row>
    <row r="380" spans="1:4" x14ac:dyDescent="0.3">
      <c r="A380" s="1">
        <v>41883</v>
      </c>
      <c r="B380">
        <v>9</v>
      </c>
      <c r="C380" t="s">
        <v>35</v>
      </c>
      <c r="D380">
        <v>2014</v>
      </c>
    </row>
    <row r="381" spans="1:4" x14ac:dyDescent="0.3">
      <c r="A381" s="1">
        <v>41883</v>
      </c>
      <c r="B381">
        <v>9</v>
      </c>
      <c r="C381" t="s">
        <v>35</v>
      </c>
      <c r="D381">
        <v>2014</v>
      </c>
    </row>
    <row r="382" spans="1:4" x14ac:dyDescent="0.3">
      <c r="A382" s="1">
        <v>41579</v>
      </c>
      <c r="B382">
        <v>11</v>
      </c>
      <c r="C382" t="s">
        <v>40</v>
      </c>
      <c r="D382">
        <v>2013</v>
      </c>
    </row>
    <row r="383" spans="1:4" x14ac:dyDescent="0.3">
      <c r="A383" s="1">
        <v>41609</v>
      </c>
      <c r="B383">
        <v>12</v>
      </c>
      <c r="C383" t="s">
        <v>27</v>
      </c>
      <c r="D383">
        <v>2013</v>
      </c>
    </row>
    <row r="384" spans="1:4" x14ac:dyDescent="0.3">
      <c r="A384" s="1">
        <v>41974</v>
      </c>
      <c r="B384">
        <v>12</v>
      </c>
      <c r="C384" t="s">
        <v>27</v>
      </c>
      <c r="D384">
        <v>2014</v>
      </c>
    </row>
    <row r="385" spans="1:4" x14ac:dyDescent="0.3">
      <c r="A385" s="1">
        <v>41699</v>
      </c>
      <c r="B385">
        <v>3</v>
      </c>
      <c r="C385" t="s">
        <v>29</v>
      </c>
      <c r="D385">
        <v>2014</v>
      </c>
    </row>
    <row r="386" spans="1:4" x14ac:dyDescent="0.3">
      <c r="A386" s="1">
        <v>41791</v>
      </c>
      <c r="B386">
        <v>6</v>
      </c>
      <c r="C386" t="s">
        <v>25</v>
      </c>
      <c r="D386">
        <v>2014</v>
      </c>
    </row>
    <row r="387" spans="1:4" x14ac:dyDescent="0.3">
      <c r="A387" s="1">
        <v>41791</v>
      </c>
      <c r="B387">
        <v>6</v>
      </c>
      <c r="C387" t="s">
        <v>25</v>
      </c>
      <c r="D387">
        <v>2014</v>
      </c>
    </row>
    <row r="388" spans="1:4" x14ac:dyDescent="0.3">
      <c r="A388" s="1">
        <v>41579</v>
      </c>
      <c r="B388">
        <v>11</v>
      </c>
      <c r="C388" t="s">
        <v>40</v>
      </c>
      <c r="D388">
        <v>2013</v>
      </c>
    </row>
    <row r="389" spans="1:4" x14ac:dyDescent="0.3">
      <c r="A389" s="1">
        <v>41974</v>
      </c>
      <c r="B389">
        <v>12</v>
      </c>
      <c r="C389" t="s">
        <v>27</v>
      </c>
      <c r="D389">
        <v>2014</v>
      </c>
    </row>
    <row r="390" spans="1:4" x14ac:dyDescent="0.3">
      <c r="A390" s="1">
        <v>41730</v>
      </c>
      <c r="B390">
        <v>4</v>
      </c>
      <c r="C390" t="s">
        <v>43</v>
      </c>
      <c r="D390">
        <v>2014</v>
      </c>
    </row>
    <row r="391" spans="1:4" x14ac:dyDescent="0.3">
      <c r="A391" s="1">
        <v>41791</v>
      </c>
      <c r="B391">
        <v>6</v>
      </c>
      <c r="C391" t="s">
        <v>25</v>
      </c>
      <c r="D391">
        <v>2014</v>
      </c>
    </row>
    <row r="392" spans="1:4" x14ac:dyDescent="0.3">
      <c r="A392" s="1">
        <v>41852</v>
      </c>
      <c r="B392">
        <v>8</v>
      </c>
      <c r="C392" t="s">
        <v>34</v>
      </c>
      <c r="D392">
        <v>2014</v>
      </c>
    </row>
    <row r="393" spans="1:4" x14ac:dyDescent="0.3">
      <c r="A393" s="1">
        <v>41852</v>
      </c>
      <c r="B393">
        <v>8</v>
      </c>
      <c r="C393" t="s">
        <v>34</v>
      </c>
      <c r="D393">
        <v>2014</v>
      </c>
    </row>
    <row r="394" spans="1:4" x14ac:dyDescent="0.3">
      <c r="A394" s="1">
        <v>41883</v>
      </c>
      <c r="B394">
        <v>9</v>
      </c>
      <c r="C394" t="s">
        <v>35</v>
      </c>
      <c r="D394">
        <v>2014</v>
      </c>
    </row>
    <row r="395" spans="1:4" x14ac:dyDescent="0.3">
      <c r="A395" s="1">
        <v>41609</v>
      </c>
      <c r="B395">
        <v>12</v>
      </c>
      <c r="C395" t="s">
        <v>27</v>
      </c>
      <c r="D395">
        <v>2013</v>
      </c>
    </row>
    <row r="396" spans="1:4" x14ac:dyDescent="0.3">
      <c r="A396" s="1">
        <v>41791</v>
      </c>
      <c r="B396">
        <v>6</v>
      </c>
      <c r="C396" t="s">
        <v>25</v>
      </c>
      <c r="D396">
        <v>2014</v>
      </c>
    </row>
    <row r="397" spans="1:4" x14ac:dyDescent="0.3">
      <c r="A397" s="1">
        <v>41791</v>
      </c>
      <c r="B397">
        <v>6</v>
      </c>
      <c r="C397" t="s">
        <v>25</v>
      </c>
      <c r="D397">
        <v>2014</v>
      </c>
    </row>
    <row r="398" spans="1:4" x14ac:dyDescent="0.3">
      <c r="A398" s="1">
        <v>41791</v>
      </c>
      <c r="B398">
        <v>6</v>
      </c>
      <c r="C398" t="s">
        <v>25</v>
      </c>
      <c r="D398">
        <v>2014</v>
      </c>
    </row>
    <row r="399" spans="1:4" x14ac:dyDescent="0.3">
      <c r="A399" s="1">
        <v>41791</v>
      </c>
      <c r="B399">
        <v>6</v>
      </c>
      <c r="C399" t="s">
        <v>25</v>
      </c>
      <c r="D399">
        <v>2014</v>
      </c>
    </row>
    <row r="400" spans="1:4" x14ac:dyDescent="0.3">
      <c r="A400" s="1">
        <v>41944</v>
      </c>
      <c r="B400">
        <v>11</v>
      </c>
      <c r="C400" t="s">
        <v>40</v>
      </c>
      <c r="D400">
        <v>2014</v>
      </c>
    </row>
    <row r="401" spans="1:4" x14ac:dyDescent="0.3">
      <c r="A401" s="1">
        <v>41974</v>
      </c>
      <c r="B401">
        <v>12</v>
      </c>
      <c r="C401" t="s">
        <v>27</v>
      </c>
      <c r="D401">
        <v>2014</v>
      </c>
    </row>
    <row r="402" spans="1:4" x14ac:dyDescent="0.3">
      <c r="A402" s="1">
        <v>41609</v>
      </c>
      <c r="B402">
        <v>12</v>
      </c>
      <c r="C402" t="s">
        <v>27</v>
      </c>
      <c r="D402">
        <v>2013</v>
      </c>
    </row>
    <row r="403" spans="1:4" x14ac:dyDescent="0.3">
      <c r="A403" s="1">
        <v>41974</v>
      </c>
      <c r="B403">
        <v>12</v>
      </c>
      <c r="C403" t="s">
        <v>27</v>
      </c>
      <c r="D403">
        <v>2014</v>
      </c>
    </row>
    <row r="404" spans="1:4" x14ac:dyDescent="0.3">
      <c r="A404" s="1">
        <v>41821</v>
      </c>
      <c r="B404">
        <v>7</v>
      </c>
      <c r="C404" t="s">
        <v>32</v>
      </c>
      <c r="D404">
        <v>2014</v>
      </c>
    </row>
    <row r="405" spans="1:4" x14ac:dyDescent="0.3">
      <c r="A405" s="1">
        <v>41791</v>
      </c>
      <c r="B405">
        <v>6</v>
      </c>
      <c r="C405" t="s">
        <v>25</v>
      </c>
      <c r="D405">
        <v>2014</v>
      </c>
    </row>
    <row r="406" spans="1:4" x14ac:dyDescent="0.3">
      <c r="A406" s="1">
        <v>41548</v>
      </c>
      <c r="B406">
        <v>10</v>
      </c>
      <c r="C406" t="s">
        <v>36</v>
      </c>
      <c r="D406">
        <v>2013</v>
      </c>
    </row>
    <row r="407" spans="1:4" x14ac:dyDescent="0.3">
      <c r="A407" s="1">
        <v>41730</v>
      </c>
      <c r="B407">
        <v>4</v>
      </c>
      <c r="C407" t="s">
        <v>43</v>
      </c>
      <c r="D407">
        <v>2014</v>
      </c>
    </row>
    <row r="408" spans="1:4" x14ac:dyDescent="0.3">
      <c r="A408" s="1">
        <v>41760</v>
      </c>
      <c r="B408">
        <v>5</v>
      </c>
      <c r="C408" t="s">
        <v>46</v>
      </c>
      <c r="D408">
        <v>2014</v>
      </c>
    </row>
    <row r="409" spans="1:4" x14ac:dyDescent="0.3">
      <c r="A409" s="1">
        <v>41518</v>
      </c>
      <c r="B409">
        <v>9</v>
      </c>
      <c r="C409" t="s">
        <v>35</v>
      </c>
      <c r="D409">
        <v>2013</v>
      </c>
    </row>
    <row r="410" spans="1:4" x14ac:dyDescent="0.3">
      <c r="A410" s="1">
        <v>41944</v>
      </c>
      <c r="B410">
        <v>11</v>
      </c>
      <c r="C410" t="s">
        <v>40</v>
      </c>
      <c r="D410">
        <v>2014</v>
      </c>
    </row>
    <row r="411" spans="1:4" x14ac:dyDescent="0.3">
      <c r="A411" s="1">
        <v>41579</v>
      </c>
      <c r="B411">
        <v>11</v>
      </c>
      <c r="C411" t="s">
        <v>40</v>
      </c>
      <c r="D411">
        <v>2013</v>
      </c>
    </row>
    <row r="412" spans="1:4" x14ac:dyDescent="0.3">
      <c r="A412" s="1">
        <v>41609</v>
      </c>
      <c r="B412">
        <v>12</v>
      </c>
      <c r="C412" t="s">
        <v>27</v>
      </c>
      <c r="D412">
        <v>2013</v>
      </c>
    </row>
    <row r="413" spans="1:4" x14ac:dyDescent="0.3">
      <c r="A413" s="1">
        <v>41974</v>
      </c>
      <c r="B413">
        <v>12</v>
      </c>
      <c r="C413" t="s">
        <v>27</v>
      </c>
      <c r="D413">
        <v>2014</v>
      </c>
    </row>
    <row r="414" spans="1:4" x14ac:dyDescent="0.3">
      <c r="A414" s="1">
        <v>41609</v>
      </c>
      <c r="B414">
        <v>12</v>
      </c>
      <c r="C414" t="s">
        <v>27</v>
      </c>
      <c r="D414">
        <v>2013</v>
      </c>
    </row>
    <row r="415" spans="1:4" x14ac:dyDescent="0.3">
      <c r="A415" s="1">
        <v>41640</v>
      </c>
      <c r="B415">
        <v>1</v>
      </c>
      <c r="C415" t="s">
        <v>21</v>
      </c>
      <c r="D415">
        <v>2014</v>
      </c>
    </row>
    <row r="416" spans="1:4" x14ac:dyDescent="0.3">
      <c r="A416" s="1">
        <v>41640</v>
      </c>
      <c r="B416">
        <v>1</v>
      </c>
      <c r="C416" t="s">
        <v>21</v>
      </c>
      <c r="D416">
        <v>2014</v>
      </c>
    </row>
    <row r="417" spans="1:4" x14ac:dyDescent="0.3">
      <c r="A417" s="1">
        <v>41730</v>
      </c>
      <c r="B417">
        <v>4</v>
      </c>
      <c r="C417" t="s">
        <v>43</v>
      </c>
      <c r="D417">
        <v>2014</v>
      </c>
    </row>
    <row r="418" spans="1:4" x14ac:dyDescent="0.3">
      <c r="A418" s="1">
        <v>41791</v>
      </c>
      <c r="B418">
        <v>6</v>
      </c>
      <c r="C418" t="s">
        <v>25</v>
      </c>
      <c r="D418">
        <v>2014</v>
      </c>
    </row>
    <row r="419" spans="1:4" x14ac:dyDescent="0.3">
      <c r="A419" s="1">
        <v>41913</v>
      </c>
      <c r="B419">
        <v>10</v>
      </c>
      <c r="C419" t="s">
        <v>36</v>
      </c>
      <c r="D419">
        <v>2014</v>
      </c>
    </row>
    <row r="420" spans="1:4" x14ac:dyDescent="0.3">
      <c r="A420" s="1">
        <v>41548</v>
      </c>
      <c r="B420">
        <v>10</v>
      </c>
      <c r="C420" t="s">
        <v>36</v>
      </c>
      <c r="D420">
        <v>2013</v>
      </c>
    </row>
    <row r="421" spans="1:4" x14ac:dyDescent="0.3">
      <c r="A421" s="1">
        <v>41944</v>
      </c>
      <c r="B421">
        <v>11</v>
      </c>
      <c r="C421" t="s">
        <v>40</v>
      </c>
      <c r="D421">
        <v>2014</v>
      </c>
    </row>
    <row r="422" spans="1:4" x14ac:dyDescent="0.3">
      <c r="A422" s="1">
        <v>41579</v>
      </c>
      <c r="B422">
        <v>11</v>
      </c>
      <c r="C422" t="s">
        <v>40</v>
      </c>
      <c r="D422">
        <v>2013</v>
      </c>
    </row>
    <row r="423" spans="1:4" x14ac:dyDescent="0.3">
      <c r="A423" s="1">
        <v>41974</v>
      </c>
      <c r="B423">
        <v>12</v>
      </c>
      <c r="C423" t="s">
        <v>27</v>
      </c>
      <c r="D423">
        <v>2014</v>
      </c>
    </row>
    <row r="424" spans="1:4" x14ac:dyDescent="0.3">
      <c r="A424" s="1">
        <v>41760</v>
      </c>
      <c r="B424">
        <v>5</v>
      </c>
      <c r="C424" t="s">
        <v>46</v>
      </c>
      <c r="D424">
        <v>2014</v>
      </c>
    </row>
    <row r="425" spans="1:4" x14ac:dyDescent="0.3">
      <c r="A425" s="1">
        <v>41821</v>
      </c>
      <c r="B425">
        <v>7</v>
      </c>
      <c r="C425" t="s">
        <v>32</v>
      </c>
      <c r="D425">
        <v>2014</v>
      </c>
    </row>
    <row r="426" spans="1:4" x14ac:dyDescent="0.3">
      <c r="A426" s="1">
        <v>41821</v>
      </c>
      <c r="B426">
        <v>7</v>
      </c>
      <c r="C426" t="s">
        <v>32</v>
      </c>
      <c r="D426">
        <v>2014</v>
      </c>
    </row>
    <row r="427" spans="1:4" x14ac:dyDescent="0.3">
      <c r="A427" s="1">
        <v>41883</v>
      </c>
      <c r="B427">
        <v>9</v>
      </c>
      <c r="C427" t="s">
        <v>35</v>
      </c>
      <c r="D427">
        <v>2014</v>
      </c>
    </row>
    <row r="428" spans="1:4" x14ac:dyDescent="0.3">
      <c r="A428" s="1">
        <v>41883</v>
      </c>
      <c r="B428">
        <v>9</v>
      </c>
      <c r="C428" t="s">
        <v>35</v>
      </c>
      <c r="D428">
        <v>2014</v>
      </c>
    </row>
    <row r="429" spans="1:4" x14ac:dyDescent="0.3">
      <c r="A429" s="1">
        <v>41913</v>
      </c>
      <c r="B429">
        <v>10</v>
      </c>
      <c r="C429" t="s">
        <v>36</v>
      </c>
      <c r="D429">
        <v>2014</v>
      </c>
    </row>
    <row r="430" spans="1:4" x14ac:dyDescent="0.3">
      <c r="A430" s="1">
        <v>41640</v>
      </c>
      <c r="B430">
        <v>1</v>
      </c>
      <c r="C430" t="s">
        <v>21</v>
      </c>
      <c r="D430">
        <v>2014</v>
      </c>
    </row>
    <row r="431" spans="1:4" x14ac:dyDescent="0.3">
      <c r="A431" s="1">
        <v>41671</v>
      </c>
      <c r="B431">
        <v>2</v>
      </c>
      <c r="C431" t="s">
        <v>39</v>
      </c>
      <c r="D431">
        <v>2014</v>
      </c>
    </row>
    <row r="432" spans="1:4" x14ac:dyDescent="0.3">
      <c r="A432" s="1">
        <v>41730</v>
      </c>
      <c r="B432">
        <v>4</v>
      </c>
      <c r="C432" t="s">
        <v>43</v>
      </c>
      <c r="D432">
        <v>2014</v>
      </c>
    </row>
    <row r="433" spans="1:4" x14ac:dyDescent="0.3">
      <c r="A433" s="1">
        <v>41760</v>
      </c>
      <c r="B433">
        <v>5</v>
      </c>
      <c r="C433" t="s">
        <v>46</v>
      </c>
      <c r="D433">
        <v>2014</v>
      </c>
    </row>
    <row r="434" spans="1:4" x14ac:dyDescent="0.3">
      <c r="A434" s="1">
        <v>41883</v>
      </c>
      <c r="B434">
        <v>9</v>
      </c>
      <c r="C434" t="s">
        <v>35</v>
      </c>
      <c r="D434">
        <v>2014</v>
      </c>
    </row>
    <row r="435" spans="1:4" x14ac:dyDescent="0.3">
      <c r="A435" s="1">
        <v>41518</v>
      </c>
      <c r="B435">
        <v>9</v>
      </c>
      <c r="C435" t="s">
        <v>35</v>
      </c>
      <c r="D435">
        <v>2013</v>
      </c>
    </row>
    <row r="436" spans="1:4" x14ac:dyDescent="0.3">
      <c r="A436" s="1">
        <v>41913</v>
      </c>
      <c r="B436">
        <v>10</v>
      </c>
      <c r="C436" t="s">
        <v>36</v>
      </c>
      <c r="D436">
        <v>2014</v>
      </c>
    </row>
    <row r="437" spans="1:4" x14ac:dyDescent="0.3">
      <c r="A437" s="1">
        <v>41944</v>
      </c>
      <c r="B437">
        <v>11</v>
      </c>
      <c r="C437" t="s">
        <v>40</v>
      </c>
      <c r="D437">
        <v>2014</v>
      </c>
    </row>
    <row r="438" spans="1:4" x14ac:dyDescent="0.3">
      <c r="A438" s="1">
        <v>41883</v>
      </c>
      <c r="B438">
        <v>9</v>
      </c>
      <c r="C438" t="s">
        <v>35</v>
      </c>
      <c r="D438">
        <v>2014</v>
      </c>
    </row>
    <row r="439" spans="1:4" x14ac:dyDescent="0.3">
      <c r="A439" s="1">
        <v>41913</v>
      </c>
      <c r="B439">
        <v>10</v>
      </c>
      <c r="C439" t="s">
        <v>36</v>
      </c>
      <c r="D439">
        <v>2014</v>
      </c>
    </row>
    <row r="440" spans="1:4" x14ac:dyDescent="0.3">
      <c r="A440" s="1">
        <v>41579</v>
      </c>
      <c r="B440">
        <v>11</v>
      </c>
      <c r="C440" t="s">
        <v>40</v>
      </c>
      <c r="D440">
        <v>2013</v>
      </c>
    </row>
    <row r="441" spans="1:4" x14ac:dyDescent="0.3">
      <c r="A441" s="1">
        <v>41944</v>
      </c>
      <c r="B441">
        <v>11</v>
      </c>
      <c r="C441" t="s">
        <v>40</v>
      </c>
      <c r="D441">
        <v>2014</v>
      </c>
    </row>
    <row r="442" spans="1:4" x14ac:dyDescent="0.3">
      <c r="A442" s="1">
        <v>41760</v>
      </c>
      <c r="B442">
        <v>5</v>
      </c>
      <c r="C442" t="s">
        <v>46</v>
      </c>
      <c r="D442">
        <v>2014</v>
      </c>
    </row>
    <row r="443" spans="1:4" x14ac:dyDescent="0.3">
      <c r="A443" s="1">
        <v>41821</v>
      </c>
      <c r="B443">
        <v>7</v>
      </c>
      <c r="C443" t="s">
        <v>32</v>
      </c>
      <c r="D443">
        <v>2014</v>
      </c>
    </row>
    <row r="444" spans="1:4" x14ac:dyDescent="0.3">
      <c r="A444" s="1">
        <v>41883</v>
      </c>
      <c r="B444">
        <v>9</v>
      </c>
      <c r="C444" t="s">
        <v>35</v>
      </c>
      <c r="D444">
        <v>2014</v>
      </c>
    </row>
    <row r="445" spans="1:4" x14ac:dyDescent="0.3">
      <c r="A445" s="1">
        <v>41974</v>
      </c>
      <c r="B445">
        <v>12</v>
      </c>
      <c r="C445" t="s">
        <v>27</v>
      </c>
      <c r="D445">
        <v>2014</v>
      </c>
    </row>
    <row r="446" spans="1:4" x14ac:dyDescent="0.3">
      <c r="A446" s="1">
        <v>41699</v>
      </c>
      <c r="B446">
        <v>3</v>
      </c>
      <c r="C446" t="s">
        <v>29</v>
      </c>
      <c r="D446">
        <v>2014</v>
      </c>
    </row>
    <row r="447" spans="1:4" x14ac:dyDescent="0.3">
      <c r="A447" s="1">
        <v>41791</v>
      </c>
      <c r="B447">
        <v>6</v>
      </c>
      <c r="C447" t="s">
        <v>25</v>
      </c>
      <c r="D447">
        <v>2014</v>
      </c>
    </row>
    <row r="448" spans="1:4" x14ac:dyDescent="0.3">
      <c r="A448" s="1">
        <v>41913</v>
      </c>
      <c r="B448">
        <v>10</v>
      </c>
      <c r="C448" t="s">
        <v>36</v>
      </c>
      <c r="D448">
        <v>2014</v>
      </c>
    </row>
    <row r="449" spans="1:4" x14ac:dyDescent="0.3">
      <c r="A449" s="1">
        <v>41699</v>
      </c>
      <c r="B449">
        <v>3</v>
      </c>
      <c r="C449" t="s">
        <v>29</v>
      </c>
      <c r="D449">
        <v>2014</v>
      </c>
    </row>
    <row r="450" spans="1:4" x14ac:dyDescent="0.3">
      <c r="A450" s="1">
        <v>41730</v>
      </c>
      <c r="B450">
        <v>4</v>
      </c>
      <c r="C450" t="s">
        <v>43</v>
      </c>
      <c r="D450">
        <v>2014</v>
      </c>
    </row>
    <row r="451" spans="1:4" x14ac:dyDescent="0.3">
      <c r="A451" s="1">
        <v>41913</v>
      </c>
      <c r="B451">
        <v>10</v>
      </c>
      <c r="C451" t="s">
        <v>36</v>
      </c>
      <c r="D451">
        <v>2014</v>
      </c>
    </row>
    <row r="452" spans="1:4" x14ac:dyDescent="0.3">
      <c r="A452" s="1">
        <v>41579</v>
      </c>
      <c r="B452">
        <v>11</v>
      </c>
      <c r="C452" t="s">
        <v>40</v>
      </c>
      <c r="D452">
        <v>2013</v>
      </c>
    </row>
    <row r="453" spans="1:4" x14ac:dyDescent="0.3">
      <c r="A453" s="1">
        <v>41974</v>
      </c>
      <c r="B453">
        <v>12</v>
      </c>
      <c r="C453" t="s">
        <v>27</v>
      </c>
      <c r="D453">
        <v>2014</v>
      </c>
    </row>
    <row r="454" spans="1:4" x14ac:dyDescent="0.3">
      <c r="A454" s="1">
        <v>41791</v>
      </c>
      <c r="B454">
        <v>6</v>
      </c>
      <c r="C454" t="s">
        <v>25</v>
      </c>
      <c r="D454">
        <v>2014</v>
      </c>
    </row>
    <row r="455" spans="1:4" x14ac:dyDescent="0.3">
      <c r="A455" s="1">
        <v>41821</v>
      </c>
      <c r="B455">
        <v>7</v>
      </c>
      <c r="C455" t="s">
        <v>32</v>
      </c>
      <c r="D455">
        <v>2014</v>
      </c>
    </row>
    <row r="456" spans="1:4" x14ac:dyDescent="0.3">
      <c r="A456" s="1">
        <v>41609</v>
      </c>
      <c r="B456">
        <v>12</v>
      </c>
      <c r="C456" t="s">
        <v>27</v>
      </c>
      <c r="D456">
        <v>2013</v>
      </c>
    </row>
    <row r="457" spans="1:4" x14ac:dyDescent="0.3">
      <c r="A457" s="1">
        <v>41548</v>
      </c>
      <c r="B457">
        <v>10</v>
      </c>
      <c r="C457" t="s">
        <v>36</v>
      </c>
      <c r="D457">
        <v>2013</v>
      </c>
    </row>
    <row r="458" spans="1:4" x14ac:dyDescent="0.3">
      <c r="A458" s="1">
        <v>41883</v>
      </c>
      <c r="B458">
        <v>9</v>
      </c>
      <c r="C458" t="s">
        <v>35</v>
      </c>
      <c r="D458">
        <v>2014</v>
      </c>
    </row>
    <row r="459" spans="1:4" x14ac:dyDescent="0.3">
      <c r="A459" s="1">
        <v>41548</v>
      </c>
      <c r="B459">
        <v>10</v>
      </c>
      <c r="C459" t="s">
        <v>36</v>
      </c>
      <c r="D459">
        <v>2013</v>
      </c>
    </row>
    <row r="460" spans="1:4" x14ac:dyDescent="0.3">
      <c r="A460" s="1">
        <v>41730</v>
      </c>
      <c r="B460">
        <v>4</v>
      </c>
      <c r="C460" t="s">
        <v>43</v>
      </c>
      <c r="D460">
        <v>2014</v>
      </c>
    </row>
    <row r="461" spans="1:4" x14ac:dyDescent="0.3">
      <c r="A461" s="1">
        <v>41609</v>
      </c>
      <c r="B461">
        <v>12</v>
      </c>
      <c r="C461" t="s">
        <v>27</v>
      </c>
      <c r="D461">
        <v>2013</v>
      </c>
    </row>
    <row r="462" spans="1:4" x14ac:dyDescent="0.3">
      <c r="A462" s="1">
        <v>41760</v>
      </c>
      <c r="B462">
        <v>5</v>
      </c>
      <c r="C462" t="s">
        <v>46</v>
      </c>
      <c r="D462">
        <v>2014</v>
      </c>
    </row>
    <row r="463" spans="1:4" x14ac:dyDescent="0.3">
      <c r="A463" s="1">
        <v>41579</v>
      </c>
      <c r="B463">
        <v>11</v>
      </c>
      <c r="C463" t="s">
        <v>40</v>
      </c>
      <c r="D463">
        <v>2013</v>
      </c>
    </row>
    <row r="464" spans="1:4" x14ac:dyDescent="0.3">
      <c r="A464" s="1">
        <v>41974</v>
      </c>
      <c r="B464">
        <v>12</v>
      </c>
      <c r="C464" t="s">
        <v>27</v>
      </c>
      <c r="D464">
        <v>2014</v>
      </c>
    </row>
    <row r="465" spans="1:4" x14ac:dyDescent="0.3">
      <c r="A465" s="1">
        <v>41699</v>
      </c>
      <c r="B465">
        <v>3</v>
      </c>
      <c r="C465" t="s">
        <v>29</v>
      </c>
      <c r="D465">
        <v>2014</v>
      </c>
    </row>
    <row r="466" spans="1:4" x14ac:dyDescent="0.3">
      <c r="A466" s="1">
        <v>41760</v>
      </c>
      <c r="B466">
        <v>5</v>
      </c>
      <c r="C466" t="s">
        <v>46</v>
      </c>
      <c r="D466">
        <v>2014</v>
      </c>
    </row>
    <row r="467" spans="1:4" x14ac:dyDescent="0.3">
      <c r="A467" s="1">
        <v>41548</v>
      </c>
      <c r="B467">
        <v>10</v>
      </c>
      <c r="C467" t="s">
        <v>36</v>
      </c>
      <c r="D467">
        <v>2013</v>
      </c>
    </row>
    <row r="468" spans="1:4" x14ac:dyDescent="0.3">
      <c r="A468" s="1">
        <v>41913</v>
      </c>
      <c r="B468">
        <v>10</v>
      </c>
      <c r="C468" t="s">
        <v>36</v>
      </c>
      <c r="D468">
        <v>2014</v>
      </c>
    </row>
    <row r="469" spans="1:4" x14ac:dyDescent="0.3">
      <c r="A469" s="1">
        <v>41640</v>
      </c>
      <c r="B469">
        <v>1</v>
      </c>
      <c r="C469" t="s">
        <v>21</v>
      </c>
      <c r="D469">
        <v>2014</v>
      </c>
    </row>
    <row r="470" spans="1:4" x14ac:dyDescent="0.3">
      <c r="A470" s="1">
        <v>41730</v>
      </c>
      <c r="B470">
        <v>4</v>
      </c>
      <c r="C470" t="s">
        <v>43</v>
      </c>
      <c r="D470">
        <v>2014</v>
      </c>
    </row>
    <row r="471" spans="1:4" x14ac:dyDescent="0.3">
      <c r="A471" s="1">
        <v>41760</v>
      </c>
      <c r="B471">
        <v>5</v>
      </c>
      <c r="C471" t="s">
        <v>46</v>
      </c>
      <c r="D471">
        <v>2014</v>
      </c>
    </row>
    <row r="472" spans="1:4" x14ac:dyDescent="0.3">
      <c r="A472" s="1">
        <v>41821</v>
      </c>
      <c r="B472">
        <v>7</v>
      </c>
      <c r="C472" t="s">
        <v>32</v>
      </c>
      <c r="D472">
        <v>2014</v>
      </c>
    </row>
    <row r="473" spans="1:4" x14ac:dyDescent="0.3">
      <c r="A473" s="1">
        <v>41883</v>
      </c>
      <c r="B473">
        <v>9</v>
      </c>
      <c r="C473" t="s">
        <v>35</v>
      </c>
      <c r="D473">
        <v>2014</v>
      </c>
    </row>
    <row r="474" spans="1:4" x14ac:dyDescent="0.3">
      <c r="A474" s="1">
        <v>41548</v>
      </c>
      <c r="B474">
        <v>10</v>
      </c>
      <c r="C474" t="s">
        <v>36</v>
      </c>
      <c r="D474">
        <v>2013</v>
      </c>
    </row>
    <row r="475" spans="1:4" x14ac:dyDescent="0.3">
      <c r="A475" s="1">
        <v>41913</v>
      </c>
      <c r="B475">
        <v>10</v>
      </c>
      <c r="C475" t="s">
        <v>36</v>
      </c>
      <c r="D475">
        <v>2014</v>
      </c>
    </row>
    <row r="476" spans="1:4" x14ac:dyDescent="0.3">
      <c r="A476" s="1">
        <v>41944</v>
      </c>
      <c r="B476">
        <v>11</v>
      </c>
      <c r="C476" t="s">
        <v>40</v>
      </c>
      <c r="D476">
        <v>2014</v>
      </c>
    </row>
    <row r="477" spans="1:4" x14ac:dyDescent="0.3">
      <c r="A477" s="1">
        <v>41609</v>
      </c>
      <c r="B477">
        <v>12</v>
      </c>
      <c r="C477" t="s">
        <v>27</v>
      </c>
      <c r="D477">
        <v>2013</v>
      </c>
    </row>
    <row r="478" spans="1:4" x14ac:dyDescent="0.3">
      <c r="A478" s="1">
        <v>41974</v>
      </c>
      <c r="B478">
        <v>12</v>
      </c>
      <c r="C478" t="s">
        <v>27</v>
      </c>
      <c r="D478">
        <v>2014</v>
      </c>
    </row>
    <row r="479" spans="1:4" x14ac:dyDescent="0.3">
      <c r="A479" s="1">
        <v>41760</v>
      </c>
      <c r="B479">
        <v>5</v>
      </c>
      <c r="C479" t="s">
        <v>46</v>
      </c>
      <c r="D479">
        <v>2014</v>
      </c>
    </row>
    <row r="480" spans="1:4" x14ac:dyDescent="0.3">
      <c r="A480" s="1">
        <v>41821</v>
      </c>
      <c r="B480">
        <v>7</v>
      </c>
      <c r="C480" t="s">
        <v>32</v>
      </c>
      <c r="D480">
        <v>2014</v>
      </c>
    </row>
    <row r="481" spans="1:4" x14ac:dyDescent="0.3">
      <c r="A481" s="1">
        <v>41852</v>
      </c>
      <c r="B481">
        <v>8</v>
      </c>
      <c r="C481" t="s">
        <v>34</v>
      </c>
      <c r="D481">
        <v>2014</v>
      </c>
    </row>
    <row r="482" spans="1:4" x14ac:dyDescent="0.3">
      <c r="A482" s="1">
        <v>41883</v>
      </c>
      <c r="B482">
        <v>9</v>
      </c>
      <c r="C482" t="s">
        <v>35</v>
      </c>
      <c r="D482">
        <v>2014</v>
      </c>
    </row>
    <row r="483" spans="1:4" x14ac:dyDescent="0.3">
      <c r="A483" s="1">
        <v>41548</v>
      </c>
      <c r="B483">
        <v>10</v>
      </c>
      <c r="C483" t="s">
        <v>36</v>
      </c>
      <c r="D483">
        <v>2013</v>
      </c>
    </row>
    <row r="484" spans="1:4" x14ac:dyDescent="0.3">
      <c r="A484" s="1">
        <v>41548</v>
      </c>
      <c r="B484">
        <v>10</v>
      </c>
      <c r="C484" t="s">
        <v>36</v>
      </c>
      <c r="D484">
        <v>2013</v>
      </c>
    </row>
    <row r="485" spans="1:4" x14ac:dyDescent="0.3">
      <c r="A485" s="1">
        <v>41944</v>
      </c>
      <c r="B485">
        <v>11</v>
      </c>
      <c r="C485" t="s">
        <v>40</v>
      </c>
      <c r="D485">
        <v>2014</v>
      </c>
    </row>
    <row r="486" spans="1:4" x14ac:dyDescent="0.3">
      <c r="A486" s="1">
        <v>41609</v>
      </c>
      <c r="B486">
        <v>12</v>
      </c>
      <c r="C486" t="s">
        <v>27</v>
      </c>
      <c r="D486">
        <v>2013</v>
      </c>
    </row>
    <row r="487" spans="1:4" x14ac:dyDescent="0.3">
      <c r="A487" s="1">
        <v>41640</v>
      </c>
      <c r="B487">
        <v>1</v>
      </c>
      <c r="C487" t="s">
        <v>21</v>
      </c>
      <c r="D487">
        <v>2014</v>
      </c>
    </row>
    <row r="488" spans="1:4" x14ac:dyDescent="0.3">
      <c r="A488" s="1">
        <v>41671</v>
      </c>
      <c r="B488">
        <v>2</v>
      </c>
      <c r="C488" t="s">
        <v>39</v>
      </c>
      <c r="D488">
        <v>2014</v>
      </c>
    </row>
    <row r="489" spans="1:4" x14ac:dyDescent="0.3">
      <c r="A489" s="1">
        <v>41699</v>
      </c>
      <c r="B489">
        <v>3</v>
      </c>
      <c r="C489" t="s">
        <v>29</v>
      </c>
      <c r="D489">
        <v>2014</v>
      </c>
    </row>
    <row r="490" spans="1:4" x14ac:dyDescent="0.3">
      <c r="A490" s="1">
        <v>41730</v>
      </c>
      <c r="B490">
        <v>4</v>
      </c>
      <c r="C490" t="s">
        <v>43</v>
      </c>
      <c r="D490">
        <v>2014</v>
      </c>
    </row>
    <row r="491" spans="1:4" x14ac:dyDescent="0.3">
      <c r="A491" s="1">
        <v>41760</v>
      </c>
      <c r="B491">
        <v>5</v>
      </c>
      <c r="C491" t="s">
        <v>46</v>
      </c>
      <c r="D491">
        <v>2014</v>
      </c>
    </row>
    <row r="492" spans="1:4" x14ac:dyDescent="0.3">
      <c r="A492" s="1">
        <v>41852</v>
      </c>
      <c r="B492">
        <v>8</v>
      </c>
      <c r="C492" t="s">
        <v>34</v>
      </c>
      <c r="D492">
        <v>2014</v>
      </c>
    </row>
    <row r="493" spans="1:4" x14ac:dyDescent="0.3">
      <c r="A493" s="1">
        <v>41883</v>
      </c>
      <c r="B493">
        <v>9</v>
      </c>
      <c r="C493" t="s">
        <v>35</v>
      </c>
      <c r="D493">
        <v>2014</v>
      </c>
    </row>
    <row r="494" spans="1:4" x14ac:dyDescent="0.3">
      <c r="A494" s="1">
        <v>41974</v>
      </c>
      <c r="B494">
        <v>12</v>
      </c>
      <c r="C494" t="s">
        <v>27</v>
      </c>
      <c r="D494">
        <v>2014</v>
      </c>
    </row>
    <row r="495" spans="1:4" x14ac:dyDescent="0.3">
      <c r="A495" s="1">
        <v>41974</v>
      </c>
      <c r="B495">
        <v>12</v>
      </c>
      <c r="C495" t="s">
        <v>27</v>
      </c>
      <c r="D495">
        <v>2014</v>
      </c>
    </row>
    <row r="496" spans="1:4" x14ac:dyDescent="0.3">
      <c r="A496" s="1">
        <v>41548</v>
      </c>
      <c r="B496">
        <v>10</v>
      </c>
      <c r="C496" t="s">
        <v>36</v>
      </c>
      <c r="D496">
        <v>2013</v>
      </c>
    </row>
    <row r="497" spans="1:4" x14ac:dyDescent="0.3">
      <c r="A497" s="1">
        <v>41730</v>
      </c>
      <c r="B497">
        <v>4</v>
      </c>
      <c r="C497" t="s">
        <v>43</v>
      </c>
      <c r="D497">
        <v>2014</v>
      </c>
    </row>
    <row r="498" spans="1:4" x14ac:dyDescent="0.3">
      <c r="A498" s="1">
        <v>41548</v>
      </c>
      <c r="B498">
        <v>10</v>
      </c>
      <c r="C498" t="s">
        <v>36</v>
      </c>
      <c r="D498">
        <v>2013</v>
      </c>
    </row>
    <row r="499" spans="1:4" x14ac:dyDescent="0.3">
      <c r="A499" s="1">
        <v>41640</v>
      </c>
      <c r="B499">
        <v>1</v>
      </c>
      <c r="C499" t="s">
        <v>21</v>
      </c>
      <c r="D499">
        <v>2014</v>
      </c>
    </row>
    <row r="500" spans="1:4" x14ac:dyDescent="0.3">
      <c r="A500" s="1">
        <v>41913</v>
      </c>
      <c r="B500">
        <v>10</v>
      </c>
      <c r="C500" t="s">
        <v>36</v>
      </c>
      <c r="D500">
        <v>2014</v>
      </c>
    </row>
    <row r="501" spans="1:4" x14ac:dyDescent="0.3">
      <c r="A501" s="1">
        <v>41699</v>
      </c>
      <c r="B501">
        <v>3</v>
      </c>
      <c r="C501" t="s">
        <v>29</v>
      </c>
      <c r="D501">
        <v>2014</v>
      </c>
    </row>
    <row r="502" spans="1:4" x14ac:dyDescent="0.3">
      <c r="A502" s="1">
        <v>41518</v>
      </c>
      <c r="B502">
        <v>9</v>
      </c>
      <c r="C502" t="s">
        <v>35</v>
      </c>
      <c r="D502">
        <v>2013</v>
      </c>
    </row>
    <row r="503" spans="1:4" x14ac:dyDescent="0.3">
      <c r="A503" s="1">
        <v>41821</v>
      </c>
      <c r="B503">
        <v>7</v>
      </c>
      <c r="C503" t="s">
        <v>32</v>
      </c>
      <c r="D503">
        <v>2014</v>
      </c>
    </row>
    <row r="504" spans="1:4" x14ac:dyDescent="0.3">
      <c r="A504" s="1">
        <v>41913</v>
      </c>
      <c r="B504">
        <v>10</v>
      </c>
      <c r="C504" t="s">
        <v>36</v>
      </c>
      <c r="D504">
        <v>2014</v>
      </c>
    </row>
    <row r="505" spans="1:4" x14ac:dyDescent="0.3">
      <c r="A505" s="1">
        <v>41671</v>
      </c>
      <c r="B505">
        <v>2</v>
      </c>
      <c r="C505" t="s">
        <v>39</v>
      </c>
      <c r="D505">
        <v>2014</v>
      </c>
    </row>
    <row r="506" spans="1:4" x14ac:dyDescent="0.3">
      <c r="A506" s="1">
        <v>41699</v>
      </c>
      <c r="B506">
        <v>3</v>
      </c>
      <c r="C506" t="s">
        <v>29</v>
      </c>
      <c r="D506">
        <v>2014</v>
      </c>
    </row>
    <row r="507" spans="1:4" x14ac:dyDescent="0.3">
      <c r="A507" s="1">
        <v>41821</v>
      </c>
      <c r="B507">
        <v>7</v>
      </c>
      <c r="C507" t="s">
        <v>32</v>
      </c>
      <c r="D507">
        <v>2014</v>
      </c>
    </row>
    <row r="508" spans="1:4" x14ac:dyDescent="0.3">
      <c r="A508" s="1">
        <v>41913</v>
      </c>
      <c r="B508">
        <v>10</v>
      </c>
      <c r="C508" t="s">
        <v>36</v>
      </c>
      <c r="D508">
        <v>2014</v>
      </c>
    </row>
    <row r="509" spans="1:4" x14ac:dyDescent="0.3">
      <c r="A509" s="1">
        <v>41579</v>
      </c>
      <c r="B509">
        <v>11</v>
      </c>
      <c r="C509" t="s">
        <v>40</v>
      </c>
      <c r="D509">
        <v>2013</v>
      </c>
    </row>
    <row r="510" spans="1:4" x14ac:dyDescent="0.3">
      <c r="A510" s="1">
        <v>41579</v>
      </c>
      <c r="B510">
        <v>11</v>
      </c>
      <c r="C510" t="s">
        <v>40</v>
      </c>
      <c r="D510">
        <v>2013</v>
      </c>
    </row>
    <row r="511" spans="1:4" x14ac:dyDescent="0.3">
      <c r="A511" s="1">
        <v>41640</v>
      </c>
      <c r="B511">
        <v>1</v>
      </c>
      <c r="C511" t="s">
        <v>21</v>
      </c>
      <c r="D511">
        <v>2014</v>
      </c>
    </row>
    <row r="512" spans="1:4" x14ac:dyDescent="0.3">
      <c r="A512" s="1">
        <v>41548</v>
      </c>
      <c r="B512">
        <v>10</v>
      </c>
      <c r="C512" t="s">
        <v>36</v>
      </c>
      <c r="D512">
        <v>2013</v>
      </c>
    </row>
    <row r="513" spans="1:4" x14ac:dyDescent="0.3">
      <c r="A513" s="1">
        <v>41974</v>
      </c>
      <c r="B513">
        <v>12</v>
      </c>
      <c r="C513" t="s">
        <v>27</v>
      </c>
      <c r="D513">
        <v>2014</v>
      </c>
    </row>
    <row r="514" spans="1:4" x14ac:dyDescent="0.3">
      <c r="A514" s="1">
        <v>41640</v>
      </c>
      <c r="B514">
        <v>1</v>
      </c>
      <c r="C514" t="s">
        <v>21</v>
      </c>
      <c r="D514">
        <v>2014</v>
      </c>
    </row>
    <row r="515" spans="1:4" x14ac:dyDescent="0.3">
      <c r="A515" s="1">
        <v>41699</v>
      </c>
      <c r="B515">
        <v>3</v>
      </c>
      <c r="C515" t="s">
        <v>29</v>
      </c>
      <c r="D515">
        <v>2014</v>
      </c>
    </row>
    <row r="516" spans="1:4" x14ac:dyDescent="0.3">
      <c r="A516" s="1">
        <v>41821</v>
      </c>
      <c r="B516">
        <v>7</v>
      </c>
      <c r="C516" t="s">
        <v>32</v>
      </c>
      <c r="D516">
        <v>2014</v>
      </c>
    </row>
    <row r="517" spans="1:4" x14ac:dyDescent="0.3">
      <c r="A517" s="1">
        <v>41821</v>
      </c>
      <c r="B517">
        <v>7</v>
      </c>
      <c r="C517" t="s">
        <v>32</v>
      </c>
      <c r="D517">
        <v>2014</v>
      </c>
    </row>
    <row r="518" spans="1:4" x14ac:dyDescent="0.3">
      <c r="A518" s="1">
        <v>41821</v>
      </c>
      <c r="B518">
        <v>7</v>
      </c>
      <c r="C518" t="s">
        <v>32</v>
      </c>
      <c r="D518">
        <v>2014</v>
      </c>
    </row>
    <row r="519" spans="1:4" x14ac:dyDescent="0.3">
      <c r="A519" s="1">
        <v>41852</v>
      </c>
      <c r="B519">
        <v>8</v>
      </c>
      <c r="C519" t="s">
        <v>34</v>
      </c>
      <c r="D519">
        <v>2014</v>
      </c>
    </row>
    <row r="520" spans="1:4" x14ac:dyDescent="0.3">
      <c r="A520" s="1">
        <v>41852</v>
      </c>
      <c r="B520">
        <v>8</v>
      </c>
      <c r="C520" t="s">
        <v>34</v>
      </c>
      <c r="D520">
        <v>2014</v>
      </c>
    </row>
    <row r="521" spans="1:4" x14ac:dyDescent="0.3">
      <c r="A521" s="1">
        <v>41913</v>
      </c>
      <c r="B521">
        <v>10</v>
      </c>
      <c r="C521" t="s">
        <v>36</v>
      </c>
      <c r="D521">
        <v>2014</v>
      </c>
    </row>
    <row r="522" spans="1:4" x14ac:dyDescent="0.3">
      <c r="A522" s="1">
        <v>41548</v>
      </c>
      <c r="B522">
        <v>10</v>
      </c>
      <c r="C522" t="s">
        <v>36</v>
      </c>
      <c r="D522">
        <v>2013</v>
      </c>
    </row>
    <row r="523" spans="1:4" x14ac:dyDescent="0.3">
      <c r="A523" s="1">
        <v>41944</v>
      </c>
      <c r="B523">
        <v>11</v>
      </c>
      <c r="C523" t="s">
        <v>40</v>
      </c>
      <c r="D523">
        <v>2014</v>
      </c>
    </row>
    <row r="524" spans="1:4" x14ac:dyDescent="0.3">
      <c r="A524" s="1">
        <v>41518</v>
      </c>
      <c r="B524">
        <v>9</v>
      </c>
      <c r="C524" t="s">
        <v>35</v>
      </c>
      <c r="D524">
        <v>2013</v>
      </c>
    </row>
    <row r="525" spans="1:4" x14ac:dyDescent="0.3">
      <c r="A525" s="1">
        <v>41518</v>
      </c>
      <c r="B525">
        <v>9</v>
      </c>
      <c r="C525" t="s">
        <v>35</v>
      </c>
      <c r="D525">
        <v>2013</v>
      </c>
    </row>
    <row r="526" spans="1:4" x14ac:dyDescent="0.3">
      <c r="A526" s="1">
        <v>41548</v>
      </c>
      <c r="B526">
        <v>10</v>
      </c>
      <c r="C526" t="s">
        <v>36</v>
      </c>
      <c r="D526">
        <v>2013</v>
      </c>
    </row>
    <row r="527" spans="1:4" x14ac:dyDescent="0.3">
      <c r="A527" s="1">
        <v>41944</v>
      </c>
      <c r="B527">
        <v>11</v>
      </c>
      <c r="C527" t="s">
        <v>40</v>
      </c>
      <c r="D527">
        <v>2014</v>
      </c>
    </row>
    <row r="528" spans="1:4" x14ac:dyDescent="0.3">
      <c r="A528" s="1">
        <v>41640</v>
      </c>
      <c r="B528">
        <v>1</v>
      </c>
      <c r="C528" t="s">
        <v>21</v>
      </c>
      <c r="D528">
        <v>2014</v>
      </c>
    </row>
    <row r="529" spans="1:4" x14ac:dyDescent="0.3">
      <c r="A529" s="1">
        <v>41640</v>
      </c>
      <c r="B529">
        <v>1</v>
      </c>
      <c r="C529" t="s">
        <v>21</v>
      </c>
      <c r="D529">
        <v>2014</v>
      </c>
    </row>
    <row r="530" spans="1:4" x14ac:dyDescent="0.3">
      <c r="A530" s="1">
        <v>41579</v>
      </c>
      <c r="B530">
        <v>11</v>
      </c>
      <c r="C530" t="s">
        <v>40</v>
      </c>
      <c r="D530">
        <v>2013</v>
      </c>
    </row>
    <row r="531" spans="1:4" x14ac:dyDescent="0.3">
      <c r="A531" s="1">
        <v>41640</v>
      </c>
      <c r="B531">
        <v>1</v>
      </c>
      <c r="C531" t="s">
        <v>21</v>
      </c>
      <c r="D531">
        <v>2014</v>
      </c>
    </row>
    <row r="532" spans="1:4" x14ac:dyDescent="0.3">
      <c r="A532" s="1">
        <v>41640</v>
      </c>
      <c r="B532">
        <v>1</v>
      </c>
      <c r="C532" t="s">
        <v>21</v>
      </c>
      <c r="D532">
        <v>2014</v>
      </c>
    </row>
    <row r="533" spans="1:4" x14ac:dyDescent="0.3">
      <c r="A533" s="1">
        <v>41760</v>
      </c>
      <c r="B533">
        <v>5</v>
      </c>
      <c r="C533" t="s">
        <v>46</v>
      </c>
      <c r="D533">
        <v>2014</v>
      </c>
    </row>
    <row r="534" spans="1:4" x14ac:dyDescent="0.3">
      <c r="A534" s="1">
        <v>41518</v>
      </c>
      <c r="B534">
        <v>9</v>
      </c>
      <c r="C534" t="s">
        <v>35</v>
      </c>
      <c r="D534">
        <v>2013</v>
      </c>
    </row>
    <row r="535" spans="1:4" x14ac:dyDescent="0.3">
      <c r="A535" s="1">
        <v>41548</v>
      </c>
      <c r="B535">
        <v>10</v>
      </c>
      <c r="C535" t="s">
        <v>36</v>
      </c>
      <c r="D535">
        <v>2013</v>
      </c>
    </row>
    <row r="536" spans="1:4" x14ac:dyDescent="0.3">
      <c r="A536" s="1">
        <v>41974</v>
      </c>
      <c r="B536">
        <v>12</v>
      </c>
      <c r="C536" t="s">
        <v>27</v>
      </c>
      <c r="D536">
        <v>2014</v>
      </c>
    </row>
    <row r="537" spans="1:4" x14ac:dyDescent="0.3">
      <c r="A537" s="1">
        <v>41518</v>
      </c>
      <c r="B537">
        <v>9</v>
      </c>
      <c r="C537" t="s">
        <v>35</v>
      </c>
      <c r="D537">
        <v>2013</v>
      </c>
    </row>
    <row r="538" spans="1:4" x14ac:dyDescent="0.3">
      <c r="A538" s="1">
        <v>41791</v>
      </c>
      <c r="B538">
        <v>6</v>
      </c>
      <c r="C538" t="s">
        <v>25</v>
      </c>
      <c r="D538">
        <v>2014</v>
      </c>
    </row>
    <row r="539" spans="1:4" x14ac:dyDescent="0.3">
      <c r="A539" s="1">
        <v>41518</v>
      </c>
      <c r="B539">
        <v>9</v>
      </c>
      <c r="C539" t="s">
        <v>35</v>
      </c>
      <c r="D539">
        <v>2013</v>
      </c>
    </row>
    <row r="540" spans="1:4" x14ac:dyDescent="0.3">
      <c r="A540" s="1">
        <v>41913</v>
      </c>
      <c r="B540">
        <v>10</v>
      </c>
      <c r="C540" t="s">
        <v>36</v>
      </c>
      <c r="D540">
        <v>2014</v>
      </c>
    </row>
    <row r="541" spans="1:4" x14ac:dyDescent="0.3">
      <c r="A541" s="1">
        <v>41944</v>
      </c>
      <c r="B541">
        <v>11</v>
      </c>
      <c r="C541" t="s">
        <v>40</v>
      </c>
      <c r="D541">
        <v>2014</v>
      </c>
    </row>
    <row r="542" spans="1:4" x14ac:dyDescent="0.3">
      <c r="A542" s="1">
        <v>41699</v>
      </c>
      <c r="B542">
        <v>3</v>
      </c>
      <c r="C542" t="s">
        <v>29</v>
      </c>
      <c r="D542">
        <v>2014</v>
      </c>
    </row>
    <row r="543" spans="1:4" x14ac:dyDescent="0.3">
      <c r="A543" s="1">
        <v>41730</v>
      </c>
      <c r="B543">
        <v>4</v>
      </c>
      <c r="C543" t="s">
        <v>43</v>
      </c>
      <c r="D543">
        <v>2014</v>
      </c>
    </row>
    <row r="544" spans="1:4" x14ac:dyDescent="0.3">
      <c r="A544" s="1">
        <v>41883</v>
      </c>
      <c r="B544">
        <v>9</v>
      </c>
      <c r="C544" t="s">
        <v>35</v>
      </c>
      <c r="D544">
        <v>2014</v>
      </c>
    </row>
    <row r="545" spans="1:4" x14ac:dyDescent="0.3">
      <c r="A545" s="1">
        <v>41913</v>
      </c>
      <c r="B545">
        <v>10</v>
      </c>
      <c r="C545" t="s">
        <v>36</v>
      </c>
      <c r="D545">
        <v>2014</v>
      </c>
    </row>
    <row r="546" spans="1:4" x14ac:dyDescent="0.3">
      <c r="A546" s="1">
        <v>41548</v>
      </c>
      <c r="B546">
        <v>10</v>
      </c>
      <c r="C546" t="s">
        <v>36</v>
      </c>
      <c r="D546">
        <v>2013</v>
      </c>
    </row>
    <row r="547" spans="1:4" x14ac:dyDescent="0.3">
      <c r="A547" s="1">
        <v>41609</v>
      </c>
      <c r="B547">
        <v>12</v>
      </c>
      <c r="C547" t="s">
        <v>27</v>
      </c>
      <c r="D547">
        <v>2013</v>
      </c>
    </row>
    <row r="548" spans="1:4" x14ac:dyDescent="0.3">
      <c r="A548" s="1">
        <v>41640</v>
      </c>
      <c r="B548">
        <v>1</v>
      </c>
      <c r="C548" t="s">
        <v>21</v>
      </c>
      <c r="D548">
        <v>2014</v>
      </c>
    </row>
    <row r="549" spans="1:4" x14ac:dyDescent="0.3">
      <c r="A549" s="1">
        <v>41791</v>
      </c>
      <c r="B549">
        <v>6</v>
      </c>
      <c r="C549" t="s">
        <v>25</v>
      </c>
      <c r="D549">
        <v>2014</v>
      </c>
    </row>
    <row r="550" spans="1:4" x14ac:dyDescent="0.3">
      <c r="A550" s="1">
        <v>41913</v>
      </c>
      <c r="B550">
        <v>10</v>
      </c>
      <c r="C550" t="s">
        <v>36</v>
      </c>
      <c r="D550">
        <v>2014</v>
      </c>
    </row>
    <row r="551" spans="1:4" x14ac:dyDescent="0.3">
      <c r="A551" s="1">
        <v>41913</v>
      </c>
      <c r="B551">
        <v>10</v>
      </c>
      <c r="C551" t="s">
        <v>36</v>
      </c>
      <c r="D551">
        <v>2014</v>
      </c>
    </row>
    <row r="552" spans="1:4" x14ac:dyDescent="0.3">
      <c r="A552" s="1">
        <v>41548</v>
      </c>
      <c r="B552">
        <v>10</v>
      </c>
      <c r="C552" t="s">
        <v>36</v>
      </c>
      <c r="D552">
        <v>2013</v>
      </c>
    </row>
    <row r="553" spans="1:4" x14ac:dyDescent="0.3">
      <c r="A553" s="1">
        <v>41944</v>
      </c>
      <c r="B553">
        <v>11</v>
      </c>
      <c r="C553" t="s">
        <v>40</v>
      </c>
      <c r="D553">
        <v>2014</v>
      </c>
    </row>
    <row r="554" spans="1:4" x14ac:dyDescent="0.3">
      <c r="A554" s="1">
        <v>41944</v>
      </c>
      <c r="B554">
        <v>11</v>
      </c>
      <c r="C554" t="s">
        <v>40</v>
      </c>
      <c r="D554">
        <v>2014</v>
      </c>
    </row>
    <row r="555" spans="1:4" x14ac:dyDescent="0.3">
      <c r="A555" s="1">
        <v>41944</v>
      </c>
      <c r="B555">
        <v>11</v>
      </c>
      <c r="C555" t="s">
        <v>40</v>
      </c>
      <c r="D555">
        <v>2014</v>
      </c>
    </row>
    <row r="556" spans="1:4" x14ac:dyDescent="0.3">
      <c r="A556" s="1">
        <v>41944</v>
      </c>
      <c r="B556">
        <v>11</v>
      </c>
      <c r="C556" t="s">
        <v>40</v>
      </c>
      <c r="D556">
        <v>2014</v>
      </c>
    </row>
    <row r="557" spans="1:4" x14ac:dyDescent="0.3">
      <c r="A557" s="1">
        <v>41609</v>
      </c>
      <c r="B557">
        <v>12</v>
      </c>
      <c r="C557" t="s">
        <v>27</v>
      </c>
      <c r="D557">
        <v>2013</v>
      </c>
    </row>
    <row r="558" spans="1:4" x14ac:dyDescent="0.3">
      <c r="A558" s="1">
        <v>41974</v>
      </c>
      <c r="B558">
        <v>12</v>
      </c>
      <c r="C558" t="s">
        <v>27</v>
      </c>
      <c r="D558">
        <v>2014</v>
      </c>
    </row>
    <row r="559" spans="1:4" x14ac:dyDescent="0.3">
      <c r="A559" s="1">
        <v>41821</v>
      </c>
      <c r="B559">
        <v>7</v>
      </c>
      <c r="C559" t="s">
        <v>32</v>
      </c>
      <c r="D559">
        <v>2014</v>
      </c>
    </row>
    <row r="560" spans="1:4" x14ac:dyDescent="0.3">
      <c r="A560" s="1">
        <v>41913</v>
      </c>
      <c r="B560">
        <v>10</v>
      </c>
      <c r="C560" t="s">
        <v>36</v>
      </c>
      <c r="D560">
        <v>2014</v>
      </c>
    </row>
    <row r="561" spans="1:4" x14ac:dyDescent="0.3">
      <c r="A561" s="1">
        <v>41913</v>
      </c>
      <c r="B561">
        <v>10</v>
      </c>
      <c r="C561" t="s">
        <v>36</v>
      </c>
      <c r="D561">
        <v>2014</v>
      </c>
    </row>
    <row r="562" spans="1:4" x14ac:dyDescent="0.3">
      <c r="A562" s="1">
        <v>41760</v>
      </c>
      <c r="B562">
        <v>5</v>
      </c>
      <c r="C562" t="s">
        <v>46</v>
      </c>
      <c r="D562">
        <v>2014</v>
      </c>
    </row>
    <row r="563" spans="1:4" x14ac:dyDescent="0.3">
      <c r="A563" s="1">
        <v>41821</v>
      </c>
      <c r="B563">
        <v>7</v>
      </c>
      <c r="C563" t="s">
        <v>32</v>
      </c>
      <c r="D563">
        <v>2014</v>
      </c>
    </row>
    <row r="564" spans="1:4" x14ac:dyDescent="0.3">
      <c r="A564" s="1">
        <v>41518</v>
      </c>
      <c r="B564">
        <v>9</v>
      </c>
      <c r="C564" t="s">
        <v>35</v>
      </c>
      <c r="D564">
        <v>2013</v>
      </c>
    </row>
    <row r="565" spans="1:4" x14ac:dyDescent="0.3">
      <c r="A565" s="1">
        <v>41913</v>
      </c>
      <c r="B565">
        <v>10</v>
      </c>
      <c r="C565" t="s">
        <v>36</v>
      </c>
      <c r="D565">
        <v>2014</v>
      </c>
    </row>
    <row r="566" spans="1:4" x14ac:dyDescent="0.3">
      <c r="A566" s="1">
        <v>41944</v>
      </c>
      <c r="B566">
        <v>11</v>
      </c>
      <c r="C566" t="s">
        <v>40</v>
      </c>
      <c r="D566">
        <v>2014</v>
      </c>
    </row>
    <row r="567" spans="1:4" x14ac:dyDescent="0.3">
      <c r="A567" s="1">
        <v>41974</v>
      </c>
      <c r="B567">
        <v>12</v>
      </c>
      <c r="C567" t="s">
        <v>27</v>
      </c>
      <c r="D567">
        <v>2014</v>
      </c>
    </row>
    <row r="568" spans="1:4" x14ac:dyDescent="0.3">
      <c r="A568" s="1">
        <v>41671</v>
      </c>
      <c r="B568">
        <v>2</v>
      </c>
      <c r="C568" t="s">
        <v>39</v>
      </c>
      <c r="D568">
        <v>2014</v>
      </c>
    </row>
    <row r="569" spans="1:4" x14ac:dyDescent="0.3">
      <c r="A569" s="1">
        <v>41821</v>
      </c>
      <c r="B569">
        <v>7</v>
      </c>
      <c r="C569" t="s">
        <v>32</v>
      </c>
      <c r="D569">
        <v>2014</v>
      </c>
    </row>
    <row r="570" spans="1:4" x14ac:dyDescent="0.3">
      <c r="A570" s="1">
        <v>41913</v>
      </c>
      <c r="B570">
        <v>10</v>
      </c>
      <c r="C570" t="s">
        <v>36</v>
      </c>
      <c r="D570">
        <v>2014</v>
      </c>
    </row>
    <row r="571" spans="1:4" x14ac:dyDescent="0.3">
      <c r="A571" s="1">
        <v>41579</v>
      </c>
      <c r="B571">
        <v>11</v>
      </c>
      <c r="C571" t="s">
        <v>40</v>
      </c>
      <c r="D571">
        <v>2013</v>
      </c>
    </row>
    <row r="572" spans="1:4" x14ac:dyDescent="0.3">
      <c r="A572" s="1">
        <v>41640</v>
      </c>
      <c r="B572">
        <v>1</v>
      </c>
      <c r="C572" t="s">
        <v>21</v>
      </c>
      <c r="D572">
        <v>2014</v>
      </c>
    </row>
    <row r="573" spans="1:4" x14ac:dyDescent="0.3">
      <c r="A573" s="1">
        <v>41760</v>
      </c>
      <c r="B573">
        <v>5</v>
      </c>
      <c r="C573" t="s">
        <v>46</v>
      </c>
      <c r="D573">
        <v>2014</v>
      </c>
    </row>
    <row r="574" spans="1:4" x14ac:dyDescent="0.3">
      <c r="A574" s="1">
        <v>41974</v>
      </c>
      <c r="B574">
        <v>12</v>
      </c>
      <c r="C574" t="s">
        <v>27</v>
      </c>
      <c r="D574">
        <v>2014</v>
      </c>
    </row>
    <row r="575" spans="1:4" x14ac:dyDescent="0.3">
      <c r="A575" s="1">
        <v>41699</v>
      </c>
      <c r="B575">
        <v>3</v>
      </c>
      <c r="C575" t="s">
        <v>29</v>
      </c>
      <c r="D575">
        <v>2014</v>
      </c>
    </row>
    <row r="576" spans="1:4" x14ac:dyDescent="0.3">
      <c r="A576" s="1">
        <v>41974</v>
      </c>
      <c r="B576">
        <v>12</v>
      </c>
      <c r="C576" t="s">
        <v>27</v>
      </c>
      <c r="D576">
        <v>2014</v>
      </c>
    </row>
    <row r="577" spans="1:4" x14ac:dyDescent="0.3">
      <c r="A577" s="1">
        <v>41518</v>
      </c>
      <c r="B577">
        <v>9</v>
      </c>
      <c r="C577" t="s">
        <v>35</v>
      </c>
      <c r="D577">
        <v>2013</v>
      </c>
    </row>
    <row r="578" spans="1:4" x14ac:dyDescent="0.3">
      <c r="A578" s="1">
        <v>41791</v>
      </c>
      <c r="B578">
        <v>6</v>
      </c>
      <c r="C578" t="s">
        <v>25</v>
      </c>
      <c r="D578">
        <v>2014</v>
      </c>
    </row>
    <row r="579" spans="1:4" x14ac:dyDescent="0.3">
      <c r="A579" s="1">
        <v>41791</v>
      </c>
      <c r="B579">
        <v>6</v>
      </c>
      <c r="C579" t="s">
        <v>25</v>
      </c>
      <c r="D579">
        <v>2014</v>
      </c>
    </row>
    <row r="580" spans="1:4" x14ac:dyDescent="0.3">
      <c r="A580" s="1">
        <v>41699</v>
      </c>
      <c r="B580">
        <v>3</v>
      </c>
      <c r="C580" t="s">
        <v>29</v>
      </c>
      <c r="D580">
        <v>2014</v>
      </c>
    </row>
    <row r="581" spans="1:4" x14ac:dyDescent="0.3">
      <c r="A581" s="1">
        <v>41699</v>
      </c>
      <c r="B581">
        <v>3</v>
      </c>
      <c r="C581" t="s">
        <v>29</v>
      </c>
      <c r="D581">
        <v>2014</v>
      </c>
    </row>
    <row r="582" spans="1:4" x14ac:dyDescent="0.3">
      <c r="A582" s="1">
        <v>41518</v>
      </c>
      <c r="B582">
        <v>9</v>
      </c>
      <c r="C582" t="s">
        <v>35</v>
      </c>
      <c r="D582">
        <v>2013</v>
      </c>
    </row>
    <row r="583" spans="1:4" x14ac:dyDescent="0.3">
      <c r="A583" s="1">
        <v>41640</v>
      </c>
      <c r="B583">
        <v>1</v>
      </c>
      <c r="C583" t="s">
        <v>21</v>
      </c>
      <c r="D583">
        <v>2014</v>
      </c>
    </row>
    <row r="584" spans="1:4" x14ac:dyDescent="0.3">
      <c r="A584" s="1">
        <v>41671</v>
      </c>
      <c r="B584">
        <v>2</v>
      </c>
      <c r="C584" t="s">
        <v>39</v>
      </c>
      <c r="D584">
        <v>2014</v>
      </c>
    </row>
    <row r="585" spans="1:4" x14ac:dyDescent="0.3">
      <c r="A585" s="1">
        <v>41791</v>
      </c>
      <c r="B585">
        <v>6</v>
      </c>
      <c r="C585" t="s">
        <v>25</v>
      </c>
      <c r="D585">
        <v>2014</v>
      </c>
    </row>
    <row r="586" spans="1:4" x14ac:dyDescent="0.3">
      <c r="A586" s="1">
        <v>41821</v>
      </c>
      <c r="B586">
        <v>7</v>
      </c>
      <c r="C586" t="s">
        <v>32</v>
      </c>
      <c r="D586">
        <v>2014</v>
      </c>
    </row>
    <row r="587" spans="1:4" x14ac:dyDescent="0.3">
      <c r="A587" s="1">
        <v>41913</v>
      </c>
      <c r="B587">
        <v>10</v>
      </c>
      <c r="C587" t="s">
        <v>36</v>
      </c>
      <c r="D587">
        <v>2014</v>
      </c>
    </row>
    <row r="588" spans="1:4" x14ac:dyDescent="0.3">
      <c r="A588" s="1">
        <v>41640</v>
      </c>
      <c r="B588">
        <v>1</v>
      </c>
      <c r="C588" t="s">
        <v>21</v>
      </c>
      <c r="D588">
        <v>2014</v>
      </c>
    </row>
    <row r="589" spans="1:4" x14ac:dyDescent="0.3">
      <c r="A589" s="1">
        <v>41640</v>
      </c>
      <c r="B589">
        <v>1</v>
      </c>
      <c r="C589" t="s">
        <v>21</v>
      </c>
      <c r="D589">
        <v>2014</v>
      </c>
    </row>
    <row r="590" spans="1:4" x14ac:dyDescent="0.3">
      <c r="A590" s="1">
        <v>41671</v>
      </c>
      <c r="B590">
        <v>2</v>
      </c>
      <c r="C590" t="s">
        <v>39</v>
      </c>
      <c r="D590">
        <v>2014</v>
      </c>
    </row>
    <row r="591" spans="1:4" x14ac:dyDescent="0.3">
      <c r="A591" s="1">
        <v>41671</v>
      </c>
      <c r="B591">
        <v>2</v>
      </c>
      <c r="C591" t="s">
        <v>39</v>
      </c>
      <c r="D591">
        <v>2014</v>
      </c>
    </row>
    <row r="592" spans="1:4" x14ac:dyDescent="0.3">
      <c r="A592" s="1">
        <v>41791</v>
      </c>
      <c r="B592">
        <v>6</v>
      </c>
      <c r="C592" t="s">
        <v>25</v>
      </c>
      <c r="D592">
        <v>2014</v>
      </c>
    </row>
    <row r="593" spans="1:4" x14ac:dyDescent="0.3">
      <c r="A593" s="1">
        <v>41791</v>
      </c>
      <c r="B593">
        <v>6</v>
      </c>
      <c r="C593" t="s">
        <v>25</v>
      </c>
      <c r="D593">
        <v>2014</v>
      </c>
    </row>
    <row r="594" spans="1:4" x14ac:dyDescent="0.3">
      <c r="A594" s="1">
        <v>41821</v>
      </c>
      <c r="B594">
        <v>7</v>
      </c>
      <c r="C594" t="s">
        <v>32</v>
      </c>
      <c r="D594">
        <v>2014</v>
      </c>
    </row>
    <row r="595" spans="1:4" x14ac:dyDescent="0.3">
      <c r="A595" s="1">
        <v>41852</v>
      </c>
      <c r="B595">
        <v>8</v>
      </c>
      <c r="C595" t="s">
        <v>34</v>
      </c>
      <c r="D595">
        <v>2014</v>
      </c>
    </row>
    <row r="596" spans="1:4" x14ac:dyDescent="0.3">
      <c r="A596" s="1">
        <v>41913</v>
      </c>
      <c r="B596">
        <v>10</v>
      </c>
      <c r="C596" t="s">
        <v>36</v>
      </c>
      <c r="D596">
        <v>2014</v>
      </c>
    </row>
    <row r="597" spans="1:4" x14ac:dyDescent="0.3">
      <c r="A597" s="1">
        <v>41913</v>
      </c>
      <c r="B597">
        <v>10</v>
      </c>
      <c r="C597" t="s">
        <v>36</v>
      </c>
      <c r="D597">
        <v>2014</v>
      </c>
    </row>
    <row r="598" spans="1:4" x14ac:dyDescent="0.3">
      <c r="A598" s="1">
        <v>41944</v>
      </c>
      <c r="B598">
        <v>11</v>
      </c>
      <c r="C598" t="s">
        <v>40</v>
      </c>
      <c r="D598">
        <v>2014</v>
      </c>
    </row>
    <row r="599" spans="1:4" x14ac:dyDescent="0.3">
      <c r="A599" s="1">
        <v>41974</v>
      </c>
      <c r="B599">
        <v>12</v>
      </c>
      <c r="C599" t="s">
        <v>27</v>
      </c>
      <c r="D599">
        <v>2014</v>
      </c>
    </row>
    <row r="600" spans="1:4" x14ac:dyDescent="0.3">
      <c r="A600" s="1">
        <v>41640</v>
      </c>
      <c r="B600">
        <v>1</v>
      </c>
      <c r="C600" t="s">
        <v>21</v>
      </c>
      <c r="D600">
        <v>2014</v>
      </c>
    </row>
    <row r="601" spans="1:4" x14ac:dyDescent="0.3">
      <c r="A601" s="1">
        <v>41791</v>
      </c>
      <c r="B601">
        <v>6</v>
      </c>
      <c r="C601" t="s">
        <v>25</v>
      </c>
      <c r="D601">
        <v>2014</v>
      </c>
    </row>
    <row r="602" spans="1:4" x14ac:dyDescent="0.3">
      <c r="A602" s="1">
        <v>41791</v>
      </c>
      <c r="B602">
        <v>6</v>
      </c>
      <c r="C602" t="s">
        <v>25</v>
      </c>
      <c r="D602">
        <v>2014</v>
      </c>
    </row>
    <row r="603" spans="1:4" x14ac:dyDescent="0.3">
      <c r="A603" s="1">
        <v>41791</v>
      </c>
      <c r="B603">
        <v>6</v>
      </c>
      <c r="C603" t="s">
        <v>25</v>
      </c>
      <c r="D603">
        <v>2014</v>
      </c>
    </row>
    <row r="604" spans="1:4" x14ac:dyDescent="0.3">
      <c r="A604" s="1">
        <v>41518</v>
      </c>
      <c r="B604">
        <v>9</v>
      </c>
      <c r="C604" t="s">
        <v>35</v>
      </c>
      <c r="D604">
        <v>2013</v>
      </c>
    </row>
    <row r="605" spans="1:4" x14ac:dyDescent="0.3">
      <c r="A605" s="1">
        <v>41913</v>
      </c>
      <c r="B605">
        <v>10</v>
      </c>
      <c r="C605" t="s">
        <v>36</v>
      </c>
      <c r="D605">
        <v>2014</v>
      </c>
    </row>
    <row r="606" spans="1:4" x14ac:dyDescent="0.3">
      <c r="A606" s="1">
        <v>41579</v>
      </c>
      <c r="B606">
        <v>11</v>
      </c>
      <c r="C606" t="s">
        <v>40</v>
      </c>
      <c r="D606">
        <v>2013</v>
      </c>
    </row>
    <row r="607" spans="1:4" x14ac:dyDescent="0.3">
      <c r="A607" s="1">
        <v>41974</v>
      </c>
      <c r="B607">
        <v>12</v>
      </c>
      <c r="C607" t="s">
        <v>27</v>
      </c>
      <c r="D607">
        <v>2014</v>
      </c>
    </row>
    <row r="608" spans="1:4" x14ac:dyDescent="0.3">
      <c r="A608" s="1">
        <v>41791</v>
      </c>
      <c r="B608">
        <v>6</v>
      </c>
      <c r="C608" t="s">
        <v>25</v>
      </c>
      <c r="D608">
        <v>2014</v>
      </c>
    </row>
    <row r="609" spans="1:4" x14ac:dyDescent="0.3">
      <c r="A609" s="1">
        <v>41913</v>
      </c>
      <c r="B609">
        <v>10</v>
      </c>
      <c r="C609" t="s">
        <v>36</v>
      </c>
      <c r="D609">
        <v>2014</v>
      </c>
    </row>
    <row r="610" spans="1:4" x14ac:dyDescent="0.3">
      <c r="A610" s="1">
        <v>41640</v>
      </c>
      <c r="B610">
        <v>1</v>
      </c>
      <c r="C610" t="s">
        <v>21</v>
      </c>
      <c r="D610">
        <v>2014</v>
      </c>
    </row>
    <row r="611" spans="1:4" x14ac:dyDescent="0.3">
      <c r="A611" s="1">
        <v>41791</v>
      </c>
      <c r="B611">
        <v>6</v>
      </c>
      <c r="C611" t="s">
        <v>25</v>
      </c>
      <c r="D611">
        <v>2014</v>
      </c>
    </row>
    <row r="612" spans="1:4" x14ac:dyDescent="0.3">
      <c r="A612" s="1">
        <v>41913</v>
      </c>
      <c r="B612">
        <v>10</v>
      </c>
      <c r="C612" t="s">
        <v>36</v>
      </c>
      <c r="D612">
        <v>2014</v>
      </c>
    </row>
    <row r="613" spans="1:4" x14ac:dyDescent="0.3">
      <c r="A613" s="1">
        <v>41609</v>
      </c>
      <c r="B613">
        <v>12</v>
      </c>
      <c r="C613" t="s">
        <v>27</v>
      </c>
      <c r="D613">
        <v>2013</v>
      </c>
    </row>
    <row r="614" spans="1:4" x14ac:dyDescent="0.3">
      <c r="A614" s="1">
        <v>41730</v>
      </c>
      <c r="B614">
        <v>4</v>
      </c>
      <c r="C614" t="s">
        <v>43</v>
      </c>
      <c r="D614">
        <v>2014</v>
      </c>
    </row>
    <row r="615" spans="1:4" x14ac:dyDescent="0.3">
      <c r="A615" s="1">
        <v>41760</v>
      </c>
      <c r="B615">
        <v>5</v>
      </c>
      <c r="C615" t="s">
        <v>46</v>
      </c>
      <c r="D615">
        <v>2014</v>
      </c>
    </row>
    <row r="616" spans="1:4" x14ac:dyDescent="0.3">
      <c r="A616" s="1">
        <v>41548</v>
      </c>
      <c r="B616">
        <v>10</v>
      </c>
      <c r="C616" t="s">
        <v>36</v>
      </c>
      <c r="D616">
        <v>2013</v>
      </c>
    </row>
    <row r="617" spans="1:4" x14ac:dyDescent="0.3">
      <c r="A617" s="1">
        <v>41974</v>
      </c>
      <c r="B617">
        <v>12</v>
      </c>
      <c r="C617" t="s">
        <v>27</v>
      </c>
      <c r="D617">
        <v>2014</v>
      </c>
    </row>
    <row r="618" spans="1:4" x14ac:dyDescent="0.3">
      <c r="A618" s="1">
        <v>41671</v>
      </c>
      <c r="B618">
        <v>2</v>
      </c>
      <c r="C618" t="s">
        <v>39</v>
      </c>
      <c r="D618">
        <v>2014</v>
      </c>
    </row>
    <row r="619" spans="1:4" x14ac:dyDescent="0.3">
      <c r="A619" s="1">
        <v>41548</v>
      </c>
      <c r="B619">
        <v>10</v>
      </c>
      <c r="C619" t="s">
        <v>36</v>
      </c>
      <c r="D619">
        <v>2013</v>
      </c>
    </row>
    <row r="620" spans="1:4" x14ac:dyDescent="0.3">
      <c r="A620" s="1">
        <v>41671</v>
      </c>
      <c r="B620">
        <v>2</v>
      </c>
      <c r="C620" t="s">
        <v>39</v>
      </c>
      <c r="D620">
        <v>2014</v>
      </c>
    </row>
    <row r="621" spans="1:4" x14ac:dyDescent="0.3">
      <c r="A621" s="1">
        <v>41699</v>
      </c>
      <c r="B621">
        <v>3</v>
      </c>
      <c r="C621" t="s">
        <v>29</v>
      </c>
      <c r="D621">
        <v>2014</v>
      </c>
    </row>
    <row r="622" spans="1:4" x14ac:dyDescent="0.3">
      <c r="A622" s="1">
        <v>41883</v>
      </c>
      <c r="B622">
        <v>9</v>
      </c>
      <c r="C622" t="s">
        <v>35</v>
      </c>
      <c r="D622">
        <v>2014</v>
      </c>
    </row>
    <row r="623" spans="1:4" x14ac:dyDescent="0.3">
      <c r="A623" s="1">
        <v>41913</v>
      </c>
      <c r="B623">
        <v>10</v>
      </c>
      <c r="C623" t="s">
        <v>36</v>
      </c>
      <c r="D623">
        <v>2014</v>
      </c>
    </row>
    <row r="624" spans="1:4" x14ac:dyDescent="0.3">
      <c r="A624" s="1">
        <v>41974</v>
      </c>
      <c r="B624">
        <v>12</v>
      </c>
      <c r="C624" t="s">
        <v>27</v>
      </c>
      <c r="D624">
        <v>2014</v>
      </c>
    </row>
    <row r="625" spans="1:4" x14ac:dyDescent="0.3">
      <c r="A625" s="1">
        <v>41913</v>
      </c>
      <c r="B625">
        <v>10</v>
      </c>
      <c r="C625" t="s">
        <v>36</v>
      </c>
      <c r="D625">
        <v>2014</v>
      </c>
    </row>
    <row r="626" spans="1:4" x14ac:dyDescent="0.3">
      <c r="A626" s="1">
        <v>41609</v>
      </c>
      <c r="B626">
        <v>12</v>
      </c>
      <c r="C626" t="s">
        <v>27</v>
      </c>
      <c r="D626">
        <v>2013</v>
      </c>
    </row>
    <row r="627" spans="1:4" x14ac:dyDescent="0.3">
      <c r="A627" s="1">
        <v>41821</v>
      </c>
      <c r="B627">
        <v>7</v>
      </c>
      <c r="C627" t="s">
        <v>32</v>
      </c>
      <c r="D627">
        <v>2014</v>
      </c>
    </row>
    <row r="628" spans="1:4" x14ac:dyDescent="0.3">
      <c r="A628" s="1">
        <v>41518</v>
      </c>
      <c r="B628">
        <v>9</v>
      </c>
      <c r="C628" t="s">
        <v>35</v>
      </c>
      <c r="D628">
        <v>2013</v>
      </c>
    </row>
    <row r="629" spans="1:4" x14ac:dyDescent="0.3">
      <c r="A629" s="1">
        <v>41913</v>
      </c>
      <c r="B629">
        <v>10</v>
      </c>
      <c r="C629" t="s">
        <v>36</v>
      </c>
      <c r="D629">
        <v>2014</v>
      </c>
    </row>
    <row r="630" spans="1:4" x14ac:dyDescent="0.3">
      <c r="A630" s="1">
        <v>41913</v>
      </c>
      <c r="B630">
        <v>10</v>
      </c>
      <c r="C630" t="s">
        <v>36</v>
      </c>
      <c r="D630">
        <v>2014</v>
      </c>
    </row>
    <row r="631" spans="1:4" x14ac:dyDescent="0.3">
      <c r="A631" s="1">
        <v>41944</v>
      </c>
      <c r="B631">
        <v>11</v>
      </c>
      <c r="C631" t="s">
        <v>40</v>
      </c>
      <c r="D631">
        <v>2014</v>
      </c>
    </row>
    <row r="632" spans="1:4" x14ac:dyDescent="0.3">
      <c r="A632" s="1">
        <v>41974</v>
      </c>
      <c r="B632">
        <v>12</v>
      </c>
      <c r="C632" t="s">
        <v>27</v>
      </c>
      <c r="D632">
        <v>2014</v>
      </c>
    </row>
    <row r="633" spans="1:4" x14ac:dyDescent="0.3">
      <c r="A633" s="1">
        <v>41609</v>
      </c>
      <c r="B633">
        <v>12</v>
      </c>
      <c r="C633" t="s">
        <v>27</v>
      </c>
      <c r="D633">
        <v>2013</v>
      </c>
    </row>
    <row r="634" spans="1:4" x14ac:dyDescent="0.3">
      <c r="A634" s="1">
        <v>41640</v>
      </c>
      <c r="B634">
        <v>1</v>
      </c>
      <c r="C634" t="s">
        <v>21</v>
      </c>
      <c r="D634">
        <v>2014</v>
      </c>
    </row>
    <row r="635" spans="1:4" x14ac:dyDescent="0.3">
      <c r="A635" s="1">
        <v>41730</v>
      </c>
      <c r="B635">
        <v>4</v>
      </c>
      <c r="C635" t="s">
        <v>43</v>
      </c>
      <c r="D635">
        <v>2014</v>
      </c>
    </row>
    <row r="636" spans="1:4" x14ac:dyDescent="0.3">
      <c r="A636" s="1">
        <v>41760</v>
      </c>
      <c r="B636">
        <v>5</v>
      </c>
      <c r="C636" t="s">
        <v>46</v>
      </c>
      <c r="D636">
        <v>2014</v>
      </c>
    </row>
    <row r="637" spans="1:4" x14ac:dyDescent="0.3">
      <c r="A637" s="1">
        <v>41883</v>
      </c>
      <c r="B637">
        <v>9</v>
      </c>
      <c r="C637" t="s">
        <v>35</v>
      </c>
      <c r="D637">
        <v>2014</v>
      </c>
    </row>
    <row r="638" spans="1:4" x14ac:dyDescent="0.3">
      <c r="A638" s="1">
        <v>41548</v>
      </c>
      <c r="B638">
        <v>10</v>
      </c>
      <c r="C638" t="s">
        <v>36</v>
      </c>
      <c r="D638">
        <v>2013</v>
      </c>
    </row>
    <row r="639" spans="1:4" x14ac:dyDescent="0.3">
      <c r="A639" s="1">
        <v>41974</v>
      </c>
      <c r="B639">
        <v>12</v>
      </c>
      <c r="C639" t="s">
        <v>27</v>
      </c>
      <c r="D639">
        <v>2014</v>
      </c>
    </row>
    <row r="640" spans="1:4" x14ac:dyDescent="0.3">
      <c r="A640" s="1">
        <v>41671</v>
      </c>
      <c r="B640">
        <v>2</v>
      </c>
      <c r="C640" t="s">
        <v>39</v>
      </c>
      <c r="D640">
        <v>2014</v>
      </c>
    </row>
    <row r="641" spans="1:4" x14ac:dyDescent="0.3">
      <c r="A641" s="1">
        <v>41518</v>
      </c>
      <c r="B641">
        <v>9</v>
      </c>
      <c r="C641" t="s">
        <v>35</v>
      </c>
      <c r="D641">
        <v>2013</v>
      </c>
    </row>
    <row r="642" spans="1:4" x14ac:dyDescent="0.3">
      <c r="A642" s="1">
        <v>41548</v>
      </c>
      <c r="B642">
        <v>10</v>
      </c>
      <c r="C642" t="s">
        <v>36</v>
      </c>
      <c r="D642">
        <v>2013</v>
      </c>
    </row>
    <row r="643" spans="1:4" x14ac:dyDescent="0.3">
      <c r="A643" s="1">
        <v>41913</v>
      </c>
      <c r="B643">
        <v>10</v>
      </c>
      <c r="C643" t="s">
        <v>36</v>
      </c>
      <c r="D643">
        <v>2014</v>
      </c>
    </row>
    <row r="644" spans="1:4" x14ac:dyDescent="0.3">
      <c r="A644" s="1">
        <v>41913</v>
      </c>
      <c r="B644">
        <v>10</v>
      </c>
      <c r="C644" t="s">
        <v>36</v>
      </c>
      <c r="D644">
        <v>2014</v>
      </c>
    </row>
    <row r="645" spans="1:4" x14ac:dyDescent="0.3">
      <c r="A645" s="1">
        <v>41944</v>
      </c>
      <c r="B645">
        <v>11</v>
      </c>
      <c r="C645" t="s">
        <v>40</v>
      </c>
      <c r="D645">
        <v>2014</v>
      </c>
    </row>
    <row r="646" spans="1:4" x14ac:dyDescent="0.3">
      <c r="A646" s="1">
        <v>41579</v>
      </c>
      <c r="B646">
        <v>11</v>
      </c>
      <c r="C646" t="s">
        <v>40</v>
      </c>
      <c r="D646">
        <v>2013</v>
      </c>
    </row>
    <row r="647" spans="1:4" x14ac:dyDescent="0.3">
      <c r="A647" s="1">
        <v>41944</v>
      </c>
      <c r="B647">
        <v>11</v>
      </c>
      <c r="C647" t="s">
        <v>40</v>
      </c>
      <c r="D647">
        <v>2014</v>
      </c>
    </row>
    <row r="648" spans="1:4" x14ac:dyDescent="0.3">
      <c r="A648" s="1">
        <v>41579</v>
      </c>
      <c r="B648">
        <v>11</v>
      </c>
      <c r="C648" t="s">
        <v>40</v>
      </c>
      <c r="D648">
        <v>2013</v>
      </c>
    </row>
    <row r="649" spans="1:4" x14ac:dyDescent="0.3">
      <c r="A649" s="1">
        <v>41671</v>
      </c>
      <c r="B649">
        <v>2</v>
      </c>
      <c r="C649" t="s">
        <v>39</v>
      </c>
      <c r="D649">
        <v>2014</v>
      </c>
    </row>
    <row r="650" spans="1:4" x14ac:dyDescent="0.3">
      <c r="A650" s="1">
        <v>41730</v>
      </c>
      <c r="B650">
        <v>4</v>
      </c>
      <c r="C650" t="s">
        <v>43</v>
      </c>
      <c r="D650">
        <v>2014</v>
      </c>
    </row>
    <row r="651" spans="1:4" x14ac:dyDescent="0.3">
      <c r="A651" s="1">
        <v>41821</v>
      </c>
      <c r="B651">
        <v>7</v>
      </c>
      <c r="C651" t="s">
        <v>32</v>
      </c>
      <c r="D651">
        <v>2014</v>
      </c>
    </row>
    <row r="652" spans="1:4" x14ac:dyDescent="0.3">
      <c r="A652" s="1">
        <v>41548</v>
      </c>
      <c r="B652">
        <v>10</v>
      </c>
      <c r="C652" t="s">
        <v>36</v>
      </c>
      <c r="D652">
        <v>2013</v>
      </c>
    </row>
    <row r="653" spans="1:4" x14ac:dyDescent="0.3">
      <c r="A653" s="1">
        <v>41579</v>
      </c>
      <c r="B653">
        <v>11</v>
      </c>
      <c r="C653" t="s">
        <v>40</v>
      </c>
      <c r="D653">
        <v>2013</v>
      </c>
    </row>
    <row r="654" spans="1:4" x14ac:dyDescent="0.3">
      <c r="A654" s="1">
        <v>41699</v>
      </c>
      <c r="B654">
        <v>3</v>
      </c>
      <c r="C654" t="s">
        <v>29</v>
      </c>
      <c r="D654">
        <v>2014</v>
      </c>
    </row>
    <row r="655" spans="1:4" x14ac:dyDescent="0.3">
      <c r="A655" s="1">
        <v>41852</v>
      </c>
      <c r="B655">
        <v>8</v>
      </c>
      <c r="C655" t="s">
        <v>34</v>
      </c>
      <c r="D655">
        <v>2014</v>
      </c>
    </row>
    <row r="656" spans="1:4" x14ac:dyDescent="0.3">
      <c r="A656" s="1">
        <v>41548</v>
      </c>
      <c r="B656">
        <v>10</v>
      </c>
      <c r="C656" t="s">
        <v>36</v>
      </c>
      <c r="D656">
        <v>2013</v>
      </c>
    </row>
    <row r="657" spans="1:4" x14ac:dyDescent="0.3">
      <c r="A657" s="1">
        <v>41913</v>
      </c>
      <c r="B657">
        <v>10</v>
      </c>
      <c r="C657" t="s">
        <v>36</v>
      </c>
      <c r="D657">
        <v>2014</v>
      </c>
    </row>
    <row r="658" spans="1:4" x14ac:dyDescent="0.3">
      <c r="A658" s="1">
        <v>41913</v>
      </c>
      <c r="B658">
        <v>10</v>
      </c>
      <c r="C658" t="s">
        <v>36</v>
      </c>
      <c r="D658">
        <v>2014</v>
      </c>
    </row>
    <row r="659" spans="1:4" x14ac:dyDescent="0.3">
      <c r="A659" s="1">
        <v>41609</v>
      </c>
      <c r="B659">
        <v>12</v>
      </c>
      <c r="C659" t="s">
        <v>27</v>
      </c>
      <c r="D659">
        <v>2013</v>
      </c>
    </row>
    <row r="660" spans="1:4" x14ac:dyDescent="0.3">
      <c r="A660" s="1">
        <v>41699</v>
      </c>
      <c r="B660">
        <v>3</v>
      </c>
      <c r="C660" t="s">
        <v>29</v>
      </c>
      <c r="D660">
        <v>2014</v>
      </c>
    </row>
    <row r="661" spans="1:4" x14ac:dyDescent="0.3">
      <c r="A661" s="1">
        <v>41760</v>
      </c>
      <c r="B661">
        <v>5</v>
      </c>
      <c r="C661" t="s">
        <v>46</v>
      </c>
      <c r="D661">
        <v>2014</v>
      </c>
    </row>
    <row r="662" spans="1:4" x14ac:dyDescent="0.3">
      <c r="A662" s="1">
        <v>41852</v>
      </c>
      <c r="B662">
        <v>8</v>
      </c>
      <c r="C662" t="s">
        <v>34</v>
      </c>
      <c r="D662">
        <v>2014</v>
      </c>
    </row>
    <row r="663" spans="1:4" x14ac:dyDescent="0.3">
      <c r="A663" s="1">
        <v>41548</v>
      </c>
      <c r="B663">
        <v>10</v>
      </c>
      <c r="C663" t="s">
        <v>36</v>
      </c>
      <c r="D663">
        <v>2013</v>
      </c>
    </row>
    <row r="664" spans="1:4" x14ac:dyDescent="0.3">
      <c r="A664" s="1">
        <v>41913</v>
      </c>
      <c r="B664">
        <v>10</v>
      </c>
      <c r="C664" t="s">
        <v>36</v>
      </c>
      <c r="D664">
        <v>2014</v>
      </c>
    </row>
    <row r="665" spans="1:4" x14ac:dyDescent="0.3">
      <c r="A665" s="1">
        <v>41913</v>
      </c>
      <c r="B665">
        <v>10</v>
      </c>
      <c r="C665" t="s">
        <v>36</v>
      </c>
      <c r="D665">
        <v>2014</v>
      </c>
    </row>
    <row r="666" spans="1:4" x14ac:dyDescent="0.3">
      <c r="A666" s="1">
        <v>41548</v>
      </c>
      <c r="B666">
        <v>10</v>
      </c>
      <c r="C666" t="s">
        <v>36</v>
      </c>
      <c r="D666">
        <v>2013</v>
      </c>
    </row>
    <row r="667" spans="1:4" x14ac:dyDescent="0.3">
      <c r="A667" s="1">
        <v>41579</v>
      </c>
      <c r="B667">
        <v>11</v>
      </c>
      <c r="C667" t="s">
        <v>40</v>
      </c>
      <c r="D667">
        <v>2013</v>
      </c>
    </row>
    <row r="668" spans="1:4" x14ac:dyDescent="0.3">
      <c r="A668" s="1">
        <v>41852</v>
      </c>
      <c r="B668">
        <v>8</v>
      </c>
      <c r="C668" t="s">
        <v>34</v>
      </c>
      <c r="D668">
        <v>2014</v>
      </c>
    </row>
    <row r="669" spans="1:4" x14ac:dyDescent="0.3">
      <c r="A669" s="1">
        <v>41852</v>
      </c>
      <c r="B669">
        <v>8</v>
      </c>
      <c r="C669" t="s">
        <v>34</v>
      </c>
      <c r="D669">
        <v>2014</v>
      </c>
    </row>
    <row r="670" spans="1:4" x14ac:dyDescent="0.3">
      <c r="A670" s="1">
        <v>41913</v>
      </c>
      <c r="B670">
        <v>10</v>
      </c>
      <c r="C670" t="s">
        <v>36</v>
      </c>
      <c r="D670">
        <v>2014</v>
      </c>
    </row>
    <row r="671" spans="1:4" x14ac:dyDescent="0.3">
      <c r="A671" s="1">
        <v>41913</v>
      </c>
      <c r="B671">
        <v>10</v>
      </c>
      <c r="C671" t="s">
        <v>36</v>
      </c>
      <c r="D671">
        <v>2014</v>
      </c>
    </row>
    <row r="672" spans="1:4" x14ac:dyDescent="0.3">
      <c r="A672" s="1">
        <v>41699</v>
      </c>
      <c r="B672">
        <v>3</v>
      </c>
      <c r="C672" t="s">
        <v>29</v>
      </c>
      <c r="D672">
        <v>2014</v>
      </c>
    </row>
    <row r="673" spans="1:4" x14ac:dyDescent="0.3">
      <c r="A673" s="1">
        <v>41730</v>
      </c>
      <c r="B673">
        <v>4</v>
      </c>
      <c r="C673" t="s">
        <v>43</v>
      </c>
      <c r="D673">
        <v>2014</v>
      </c>
    </row>
    <row r="674" spans="1:4" x14ac:dyDescent="0.3">
      <c r="A674" s="1">
        <v>41730</v>
      </c>
      <c r="B674">
        <v>4</v>
      </c>
      <c r="C674" t="s">
        <v>43</v>
      </c>
      <c r="D674">
        <v>2014</v>
      </c>
    </row>
    <row r="675" spans="1:4" x14ac:dyDescent="0.3">
      <c r="A675" s="1">
        <v>41760</v>
      </c>
      <c r="B675">
        <v>5</v>
      </c>
      <c r="C675" t="s">
        <v>46</v>
      </c>
      <c r="D675">
        <v>2014</v>
      </c>
    </row>
    <row r="676" spans="1:4" x14ac:dyDescent="0.3">
      <c r="A676" s="1">
        <v>41852</v>
      </c>
      <c r="B676">
        <v>8</v>
      </c>
      <c r="C676" t="s">
        <v>34</v>
      </c>
      <c r="D676">
        <v>2014</v>
      </c>
    </row>
    <row r="677" spans="1:4" x14ac:dyDescent="0.3">
      <c r="A677" s="1">
        <v>41548</v>
      </c>
      <c r="B677">
        <v>10</v>
      </c>
      <c r="C677" t="s">
        <v>36</v>
      </c>
      <c r="D677">
        <v>2013</v>
      </c>
    </row>
    <row r="678" spans="1:4" x14ac:dyDescent="0.3">
      <c r="A678" s="1">
        <v>41913</v>
      </c>
      <c r="B678">
        <v>10</v>
      </c>
      <c r="C678" t="s">
        <v>36</v>
      </c>
      <c r="D678">
        <v>2014</v>
      </c>
    </row>
    <row r="679" spans="1:4" x14ac:dyDescent="0.3">
      <c r="A679" s="1">
        <v>41913</v>
      </c>
      <c r="B679">
        <v>10</v>
      </c>
      <c r="C679" t="s">
        <v>36</v>
      </c>
      <c r="D679">
        <v>2014</v>
      </c>
    </row>
    <row r="680" spans="1:4" x14ac:dyDescent="0.3">
      <c r="A680" s="1">
        <v>41579</v>
      </c>
      <c r="B680">
        <v>11</v>
      </c>
      <c r="C680" t="s">
        <v>40</v>
      </c>
      <c r="D680">
        <v>2013</v>
      </c>
    </row>
    <row r="681" spans="1:4" x14ac:dyDescent="0.3">
      <c r="A681" s="1">
        <v>41579</v>
      </c>
      <c r="B681">
        <v>11</v>
      </c>
      <c r="C681" t="s">
        <v>40</v>
      </c>
      <c r="D681">
        <v>2013</v>
      </c>
    </row>
    <row r="682" spans="1:4" x14ac:dyDescent="0.3">
      <c r="A682" s="1">
        <v>41974</v>
      </c>
      <c r="B682">
        <v>12</v>
      </c>
      <c r="C682" t="s">
        <v>27</v>
      </c>
      <c r="D682">
        <v>2014</v>
      </c>
    </row>
    <row r="683" spans="1:4" x14ac:dyDescent="0.3">
      <c r="A683" s="1">
        <v>41974</v>
      </c>
      <c r="B683">
        <v>12</v>
      </c>
      <c r="C683" t="s">
        <v>27</v>
      </c>
      <c r="D683">
        <v>2014</v>
      </c>
    </row>
    <row r="684" spans="1:4" x14ac:dyDescent="0.3">
      <c r="A684" s="1">
        <v>41699</v>
      </c>
      <c r="B684">
        <v>3</v>
      </c>
      <c r="C684" t="s">
        <v>29</v>
      </c>
      <c r="D684">
        <v>2014</v>
      </c>
    </row>
    <row r="685" spans="1:4" x14ac:dyDescent="0.3">
      <c r="A685" s="1">
        <v>41760</v>
      </c>
      <c r="B685">
        <v>5</v>
      </c>
      <c r="C685" t="s">
        <v>46</v>
      </c>
      <c r="D685">
        <v>2014</v>
      </c>
    </row>
    <row r="686" spans="1:4" x14ac:dyDescent="0.3">
      <c r="A686" s="1">
        <v>41883</v>
      </c>
      <c r="B686">
        <v>9</v>
      </c>
      <c r="C686" t="s">
        <v>35</v>
      </c>
      <c r="D686">
        <v>2014</v>
      </c>
    </row>
    <row r="687" spans="1:4" x14ac:dyDescent="0.3">
      <c r="A687" s="1">
        <v>41579</v>
      </c>
      <c r="B687">
        <v>11</v>
      </c>
      <c r="C687" t="s">
        <v>40</v>
      </c>
      <c r="D687">
        <v>2013</v>
      </c>
    </row>
    <row r="688" spans="1:4" x14ac:dyDescent="0.3">
      <c r="A688" s="1">
        <v>41609</v>
      </c>
      <c r="B688">
        <v>12</v>
      </c>
      <c r="C688" t="s">
        <v>27</v>
      </c>
      <c r="D688">
        <v>2013</v>
      </c>
    </row>
    <row r="689" spans="1:4" x14ac:dyDescent="0.3">
      <c r="A689" s="1">
        <v>41974</v>
      </c>
      <c r="B689">
        <v>12</v>
      </c>
      <c r="C689" t="s">
        <v>27</v>
      </c>
      <c r="D689">
        <v>2014</v>
      </c>
    </row>
    <row r="690" spans="1:4" x14ac:dyDescent="0.3">
      <c r="A690" s="1">
        <v>41821</v>
      </c>
      <c r="B690">
        <v>7</v>
      </c>
      <c r="C690" t="s">
        <v>32</v>
      </c>
      <c r="D690">
        <v>2014</v>
      </c>
    </row>
    <row r="691" spans="1:4" x14ac:dyDescent="0.3">
      <c r="A691" s="1">
        <v>41821</v>
      </c>
      <c r="B691">
        <v>7</v>
      </c>
      <c r="C691" t="s">
        <v>32</v>
      </c>
      <c r="D691">
        <v>2014</v>
      </c>
    </row>
    <row r="692" spans="1:4" x14ac:dyDescent="0.3">
      <c r="A692" s="1">
        <v>41548</v>
      </c>
      <c r="B692">
        <v>10</v>
      </c>
      <c r="C692" t="s">
        <v>36</v>
      </c>
      <c r="D692">
        <v>2013</v>
      </c>
    </row>
    <row r="693" spans="1:4" x14ac:dyDescent="0.3">
      <c r="A693" s="1">
        <v>41913</v>
      </c>
      <c r="B693">
        <v>10</v>
      </c>
      <c r="C693" t="s">
        <v>36</v>
      </c>
      <c r="D693">
        <v>2014</v>
      </c>
    </row>
    <row r="694" spans="1:4" x14ac:dyDescent="0.3">
      <c r="A694" s="1">
        <v>41579</v>
      </c>
      <c r="B694">
        <v>11</v>
      </c>
      <c r="C694" t="s">
        <v>40</v>
      </c>
      <c r="D694">
        <v>2013</v>
      </c>
    </row>
    <row r="695" spans="1:4" x14ac:dyDescent="0.3">
      <c r="A695" s="1">
        <v>41944</v>
      </c>
      <c r="B695">
        <v>11</v>
      </c>
      <c r="C695" t="s">
        <v>40</v>
      </c>
      <c r="D695">
        <v>2014</v>
      </c>
    </row>
    <row r="696" spans="1:4" x14ac:dyDescent="0.3">
      <c r="A696" s="1">
        <v>41974</v>
      </c>
      <c r="B696">
        <v>12</v>
      </c>
      <c r="C696" t="s">
        <v>27</v>
      </c>
      <c r="D696">
        <v>2014</v>
      </c>
    </row>
    <row r="697" spans="1:4" x14ac:dyDescent="0.3">
      <c r="A697" s="1">
        <v>41699</v>
      </c>
      <c r="B697">
        <v>3</v>
      </c>
      <c r="C697" t="s">
        <v>29</v>
      </c>
      <c r="D697">
        <v>2014</v>
      </c>
    </row>
    <row r="698" spans="1:4" x14ac:dyDescent="0.3">
      <c r="A698" s="1">
        <v>41913</v>
      </c>
      <c r="B698">
        <v>10</v>
      </c>
      <c r="C698" t="s">
        <v>36</v>
      </c>
      <c r="D698">
        <v>2014</v>
      </c>
    </row>
    <row r="699" spans="1:4" x14ac:dyDescent="0.3">
      <c r="A699" s="1">
        <v>41671</v>
      </c>
      <c r="B699">
        <v>2</v>
      </c>
      <c r="C699" t="s">
        <v>39</v>
      </c>
      <c r="D699">
        <v>2014</v>
      </c>
    </row>
    <row r="700" spans="1:4" x14ac:dyDescent="0.3">
      <c r="A700" s="1">
        <v>41730</v>
      </c>
      <c r="B700">
        <v>4</v>
      </c>
      <c r="C700" t="s">
        <v>43</v>
      </c>
      <c r="D700">
        <v>2014</v>
      </c>
    </row>
    <row r="701" spans="1:4" x14ac:dyDescent="0.3">
      <c r="A701" s="1">
        <v>41760</v>
      </c>
      <c r="B701">
        <v>5</v>
      </c>
      <c r="C701" t="s">
        <v>46</v>
      </c>
      <c r="D701">
        <v>2014</v>
      </c>
    </row>
    <row r="702" spans="1:4" x14ac:dyDescent="0.3">
      <c r="A702" s="1">
        <v>41852</v>
      </c>
      <c r="B702">
        <v>8</v>
      </c>
      <c r="C702" t="s">
        <v>34</v>
      </c>
      <c r="D702">
        <v>2014</v>
      </c>
    </row>
    <row r="703" spans="1:4" x14ac:dyDescent="0.3">
      <c r="A703" s="1">
        <v>41913</v>
      </c>
      <c r="B703">
        <v>10</v>
      </c>
      <c r="C703" t="s">
        <v>36</v>
      </c>
      <c r="D703">
        <v>2014</v>
      </c>
    </row>
    <row r="704" spans="1:4" x14ac:dyDescent="0.3">
      <c r="A704" s="1">
        <v>41548</v>
      </c>
      <c r="B704">
        <v>10</v>
      </c>
      <c r="C704" t="s">
        <v>36</v>
      </c>
      <c r="D704">
        <v>2013</v>
      </c>
    </row>
    <row r="705" spans="1:4" x14ac:dyDescent="0.3">
      <c r="A705" s="1">
        <v>41609</v>
      </c>
      <c r="B705">
        <v>12</v>
      </c>
      <c r="C705" t="s">
        <v>27</v>
      </c>
      <c r="D705">
        <v>2013</v>
      </c>
    </row>
    <row r="706" spans="1:4" x14ac:dyDescent="0.3">
      <c r="A706" s="1">
        <v>41974</v>
      </c>
      <c r="B706">
        <v>12</v>
      </c>
      <c r="C706" t="s">
        <v>27</v>
      </c>
      <c r="D706">
        <v>2014</v>
      </c>
    </row>
    <row r="707" spans="1:4" x14ac:dyDescent="0.3">
      <c r="A707" s="1">
        <v>41548</v>
      </c>
      <c r="B707">
        <v>10</v>
      </c>
      <c r="C707" t="s">
        <v>36</v>
      </c>
      <c r="D707">
        <v>2013</v>
      </c>
    </row>
    <row r="708" spans="1:4" x14ac:dyDescent="0.3">
      <c r="A708" s="1">
        <v>41579</v>
      </c>
      <c r="B708">
        <v>11</v>
      </c>
      <c r="C708" t="s">
        <v>40</v>
      </c>
      <c r="D708">
        <v>2013</v>
      </c>
    </row>
    <row r="709" spans="1:4" x14ac:dyDescent="0.3">
      <c r="A709" s="1">
        <v>41579</v>
      </c>
      <c r="B709">
        <v>11</v>
      </c>
      <c r="C709" t="s">
        <v>40</v>
      </c>
      <c r="D709">
        <v>2013</v>
      </c>
    </row>
    <row r="710" spans="1:4" x14ac:dyDescent="0.3">
      <c r="A710" s="1">
        <v>41974</v>
      </c>
      <c r="B710">
        <v>12</v>
      </c>
      <c r="C710" t="s">
        <v>27</v>
      </c>
      <c r="D710">
        <v>2014</v>
      </c>
    </row>
    <row r="711" spans="1:4" x14ac:dyDescent="0.3">
      <c r="A711" s="1">
        <v>41974</v>
      </c>
      <c r="B711">
        <v>12</v>
      </c>
      <c r="C711" t="s">
        <v>27</v>
      </c>
      <c r="D711">
        <v>2014</v>
      </c>
    </row>
    <row r="712" spans="1:4" x14ac:dyDescent="0.3">
      <c r="A712" s="1">
        <v>41974</v>
      </c>
      <c r="B712">
        <v>12</v>
      </c>
      <c r="C712" t="s">
        <v>27</v>
      </c>
      <c r="D712">
        <v>2014</v>
      </c>
    </row>
    <row r="713" spans="1:4" x14ac:dyDescent="0.3">
      <c r="A713" s="1">
        <v>41671</v>
      </c>
      <c r="B713">
        <v>2</v>
      </c>
      <c r="C713" t="s">
        <v>39</v>
      </c>
      <c r="D713">
        <v>2014</v>
      </c>
    </row>
    <row r="714" spans="1:4" x14ac:dyDescent="0.3">
      <c r="A714" s="1">
        <v>41852</v>
      </c>
      <c r="B714">
        <v>8</v>
      </c>
      <c r="C714" t="s">
        <v>34</v>
      </c>
      <c r="D714">
        <v>2014</v>
      </c>
    </row>
    <row r="715" spans="1:4" x14ac:dyDescent="0.3">
      <c r="A715" s="1">
        <v>41548</v>
      </c>
      <c r="B715">
        <v>10</v>
      </c>
      <c r="C715" t="s">
        <v>36</v>
      </c>
      <c r="D715">
        <v>2013</v>
      </c>
    </row>
    <row r="716" spans="1:4" x14ac:dyDescent="0.3">
      <c r="A716" s="1">
        <v>41974</v>
      </c>
      <c r="B716">
        <v>12</v>
      </c>
      <c r="C716" t="s">
        <v>27</v>
      </c>
      <c r="D716">
        <v>2014</v>
      </c>
    </row>
    <row r="717" spans="1:4" x14ac:dyDescent="0.3">
      <c r="A717" s="1">
        <v>41730</v>
      </c>
      <c r="B717">
        <v>4</v>
      </c>
      <c r="C717" t="s">
        <v>43</v>
      </c>
      <c r="D717">
        <v>2014</v>
      </c>
    </row>
    <row r="718" spans="1:4" x14ac:dyDescent="0.3">
      <c r="A718" s="1">
        <v>41640</v>
      </c>
      <c r="B718">
        <v>1</v>
      </c>
      <c r="C718" t="s">
        <v>21</v>
      </c>
      <c r="D718">
        <v>2014</v>
      </c>
    </row>
    <row r="719" spans="1:4" x14ac:dyDescent="0.3">
      <c r="A719" s="1">
        <v>41791</v>
      </c>
      <c r="B719">
        <v>6</v>
      </c>
      <c r="C719" t="s">
        <v>25</v>
      </c>
      <c r="D719">
        <v>2014</v>
      </c>
    </row>
    <row r="720" spans="1:4" x14ac:dyDescent="0.3">
      <c r="A720" s="1">
        <v>41883</v>
      </c>
      <c r="B720">
        <v>9</v>
      </c>
      <c r="C720" t="s">
        <v>35</v>
      </c>
      <c r="D720">
        <v>2014</v>
      </c>
    </row>
    <row r="721" spans="1:4" x14ac:dyDescent="0.3">
      <c r="A721" s="1">
        <v>41548</v>
      </c>
      <c r="B721">
        <v>10</v>
      </c>
      <c r="C721" t="s">
        <v>36</v>
      </c>
      <c r="D721">
        <v>2013</v>
      </c>
    </row>
    <row r="722" spans="1:4" x14ac:dyDescent="0.3">
      <c r="A722" s="1">
        <v>41944</v>
      </c>
      <c r="B722">
        <v>11</v>
      </c>
      <c r="C722" t="s">
        <v>40</v>
      </c>
      <c r="D722">
        <v>2014</v>
      </c>
    </row>
    <row r="723" spans="1:4" x14ac:dyDescent="0.3">
      <c r="A723" s="1">
        <v>41579</v>
      </c>
      <c r="B723">
        <v>11</v>
      </c>
      <c r="C723" t="s">
        <v>40</v>
      </c>
      <c r="D723">
        <v>2013</v>
      </c>
    </row>
    <row r="724" spans="1:4" x14ac:dyDescent="0.3">
      <c r="A724" s="1">
        <v>41609</v>
      </c>
      <c r="B724">
        <v>12</v>
      </c>
      <c r="C724" t="s">
        <v>27</v>
      </c>
      <c r="D724">
        <v>2013</v>
      </c>
    </row>
    <row r="725" spans="1:4" x14ac:dyDescent="0.3">
      <c r="A725" s="1">
        <v>41730</v>
      </c>
      <c r="B725">
        <v>4</v>
      </c>
      <c r="C725" t="s">
        <v>43</v>
      </c>
      <c r="D725">
        <v>2014</v>
      </c>
    </row>
    <row r="726" spans="1:4" x14ac:dyDescent="0.3">
      <c r="A726" s="1">
        <v>41760</v>
      </c>
      <c r="B726">
        <v>5</v>
      </c>
      <c r="C726" t="s">
        <v>46</v>
      </c>
      <c r="D726">
        <v>2014</v>
      </c>
    </row>
    <row r="727" spans="1:4" x14ac:dyDescent="0.3">
      <c r="A727" s="1">
        <v>41548</v>
      </c>
      <c r="B727">
        <v>10</v>
      </c>
      <c r="C727" t="s">
        <v>36</v>
      </c>
      <c r="D727">
        <v>2013</v>
      </c>
    </row>
    <row r="728" spans="1:4" x14ac:dyDescent="0.3">
      <c r="A728" s="1">
        <v>41944</v>
      </c>
      <c r="B728">
        <v>11</v>
      </c>
      <c r="C728" t="s">
        <v>40</v>
      </c>
      <c r="D728">
        <v>2014</v>
      </c>
    </row>
    <row r="729" spans="1:4" x14ac:dyDescent="0.3">
      <c r="A729" s="1">
        <v>41791</v>
      </c>
      <c r="B729">
        <v>6</v>
      </c>
      <c r="C729" t="s">
        <v>25</v>
      </c>
      <c r="D729">
        <v>2014</v>
      </c>
    </row>
    <row r="730" spans="1:4" x14ac:dyDescent="0.3">
      <c r="A730" s="1">
        <v>41548</v>
      </c>
      <c r="B730">
        <v>10</v>
      </c>
      <c r="C730" t="s">
        <v>36</v>
      </c>
      <c r="D730">
        <v>2013</v>
      </c>
    </row>
    <row r="731" spans="1:4" x14ac:dyDescent="0.3">
      <c r="A731" s="1">
        <v>41548</v>
      </c>
      <c r="B731">
        <v>10</v>
      </c>
      <c r="C731" t="s">
        <v>36</v>
      </c>
      <c r="D731">
        <v>2013</v>
      </c>
    </row>
    <row r="732" spans="1:4" x14ac:dyDescent="0.3">
      <c r="A732" s="1">
        <v>41671</v>
      </c>
      <c r="B732">
        <v>2</v>
      </c>
      <c r="C732" t="s">
        <v>39</v>
      </c>
      <c r="D732">
        <v>2014</v>
      </c>
    </row>
    <row r="733" spans="1:4" x14ac:dyDescent="0.3">
      <c r="A733" s="1">
        <v>41671</v>
      </c>
      <c r="B733">
        <v>2</v>
      </c>
      <c r="C733" t="s">
        <v>39</v>
      </c>
      <c r="D733">
        <v>2014</v>
      </c>
    </row>
    <row r="734" spans="1:4" x14ac:dyDescent="0.3">
      <c r="A734" s="1">
        <v>41760</v>
      </c>
      <c r="B734">
        <v>5</v>
      </c>
      <c r="C734" t="s">
        <v>46</v>
      </c>
      <c r="D734">
        <v>2014</v>
      </c>
    </row>
    <row r="735" spans="1:4" x14ac:dyDescent="0.3">
      <c r="A735" s="1">
        <v>41791</v>
      </c>
      <c r="B735">
        <v>6</v>
      </c>
      <c r="C735" t="s">
        <v>25</v>
      </c>
      <c r="D735">
        <v>2014</v>
      </c>
    </row>
    <row r="736" spans="1:4" x14ac:dyDescent="0.3">
      <c r="A736" s="1">
        <v>41791</v>
      </c>
      <c r="B736">
        <v>6</v>
      </c>
      <c r="C736" t="s">
        <v>25</v>
      </c>
      <c r="D736">
        <v>2014</v>
      </c>
    </row>
    <row r="737" spans="1:4" x14ac:dyDescent="0.3">
      <c r="A737" s="1">
        <v>41548</v>
      </c>
      <c r="B737">
        <v>10</v>
      </c>
      <c r="C737" t="s">
        <v>36</v>
      </c>
      <c r="D737">
        <v>2013</v>
      </c>
    </row>
    <row r="738" spans="1:4" x14ac:dyDescent="0.3">
      <c r="A738" s="1">
        <v>41548</v>
      </c>
      <c r="B738">
        <v>10</v>
      </c>
      <c r="C738" t="s">
        <v>36</v>
      </c>
      <c r="D738">
        <v>2013</v>
      </c>
    </row>
    <row r="739" spans="1:4" x14ac:dyDescent="0.3">
      <c r="A739" s="1">
        <v>41791</v>
      </c>
      <c r="B739">
        <v>6</v>
      </c>
      <c r="C739" t="s">
        <v>25</v>
      </c>
      <c r="D739">
        <v>2014</v>
      </c>
    </row>
    <row r="740" spans="1:4" x14ac:dyDescent="0.3">
      <c r="A740" s="1">
        <v>41791</v>
      </c>
      <c r="B740">
        <v>6</v>
      </c>
      <c r="C740" t="s">
        <v>25</v>
      </c>
      <c r="D740">
        <v>2014</v>
      </c>
    </row>
    <row r="741" spans="1:4" x14ac:dyDescent="0.3">
      <c r="A741" s="1">
        <v>41548</v>
      </c>
      <c r="B741">
        <v>10</v>
      </c>
      <c r="C741" t="s">
        <v>36</v>
      </c>
      <c r="D741">
        <v>2013</v>
      </c>
    </row>
    <row r="742" spans="1:4" x14ac:dyDescent="0.3">
      <c r="A742" s="1">
        <v>41579</v>
      </c>
      <c r="B742">
        <v>11</v>
      </c>
      <c r="C742" t="s">
        <v>40</v>
      </c>
      <c r="D742">
        <v>2013</v>
      </c>
    </row>
    <row r="743" spans="1:4" x14ac:dyDescent="0.3">
      <c r="A743" s="1">
        <v>41609</v>
      </c>
      <c r="B743">
        <v>12</v>
      </c>
      <c r="C743" t="s">
        <v>27</v>
      </c>
      <c r="D743">
        <v>2013</v>
      </c>
    </row>
    <row r="744" spans="1:4" x14ac:dyDescent="0.3">
      <c r="A744" s="1">
        <v>41640</v>
      </c>
      <c r="B744">
        <v>1</v>
      </c>
      <c r="C744" t="s">
        <v>21</v>
      </c>
      <c r="D744">
        <v>2014</v>
      </c>
    </row>
    <row r="745" spans="1:4" x14ac:dyDescent="0.3">
      <c r="A745" s="1">
        <v>41883</v>
      </c>
      <c r="B745">
        <v>9</v>
      </c>
      <c r="C745" t="s">
        <v>35</v>
      </c>
      <c r="D745">
        <v>2014</v>
      </c>
    </row>
    <row r="746" spans="1:4" x14ac:dyDescent="0.3">
      <c r="A746" s="1">
        <v>41548</v>
      </c>
      <c r="B746">
        <v>10</v>
      </c>
      <c r="C746" t="s">
        <v>36</v>
      </c>
      <c r="D746">
        <v>2013</v>
      </c>
    </row>
    <row r="747" spans="1:4" x14ac:dyDescent="0.3">
      <c r="A747" s="1">
        <v>41548</v>
      </c>
      <c r="B747">
        <v>10</v>
      </c>
      <c r="C747" t="s">
        <v>36</v>
      </c>
      <c r="D747">
        <v>2013</v>
      </c>
    </row>
    <row r="748" spans="1:4" x14ac:dyDescent="0.3">
      <c r="A748" s="1">
        <v>41548</v>
      </c>
      <c r="B748">
        <v>10</v>
      </c>
      <c r="C748" t="s">
        <v>36</v>
      </c>
      <c r="D748">
        <v>2013</v>
      </c>
    </row>
    <row r="749" spans="1:4" x14ac:dyDescent="0.3">
      <c r="A749" s="1">
        <v>41548</v>
      </c>
      <c r="B749">
        <v>10</v>
      </c>
      <c r="C749" t="s">
        <v>36</v>
      </c>
      <c r="D749">
        <v>2013</v>
      </c>
    </row>
    <row r="750" spans="1:4" x14ac:dyDescent="0.3">
      <c r="A750" s="1">
        <v>41852</v>
      </c>
      <c r="B750">
        <v>8</v>
      </c>
      <c r="C750" t="s">
        <v>34</v>
      </c>
      <c r="D750">
        <v>2014</v>
      </c>
    </row>
    <row r="751" spans="1:4" x14ac:dyDescent="0.3">
      <c r="A751" s="1">
        <v>41852</v>
      </c>
      <c r="B751">
        <v>8</v>
      </c>
      <c r="C751" t="s">
        <v>34</v>
      </c>
      <c r="D751">
        <v>2014</v>
      </c>
    </row>
    <row r="752" spans="1:4" x14ac:dyDescent="0.3">
      <c r="A752" s="1">
        <v>41913</v>
      </c>
      <c r="B752">
        <v>10</v>
      </c>
      <c r="C752" t="s">
        <v>36</v>
      </c>
      <c r="D752">
        <v>2014</v>
      </c>
    </row>
    <row r="753" spans="1:4" x14ac:dyDescent="0.3">
      <c r="A753" s="1">
        <v>41548</v>
      </c>
      <c r="B753">
        <v>10</v>
      </c>
      <c r="C753" t="s">
        <v>36</v>
      </c>
      <c r="D753">
        <v>2013</v>
      </c>
    </row>
    <row r="754" spans="1:4" x14ac:dyDescent="0.3">
      <c r="A754" s="1">
        <v>41852</v>
      </c>
      <c r="B754">
        <v>8</v>
      </c>
      <c r="C754" t="s">
        <v>34</v>
      </c>
      <c r="D754">
        <v>2014</v>
      </c>
    </row>
    <row r="755" spans="1:4" x14ac:dyDescent="0.3">
      <c r="A755" s="1">
        <v>41944</v>
      </c>
      <c r="B755">
        <v>11</v>
      </c>
      <c r="C755" t="s">
        <v>40</v>
      </c>
      <c r="D755">
        <v>2014</v>
      </c>
    </row>
    <row r="756" spans="1:4" x14ac:dyDescent="0.3">
      <c r="A756" s="1">
        <v>41913</v>
      </c>
      <c r="B756">
        <v>10</v>
      </c>
      <c r="C756" t="s">
        <v>36</v>
      </c>
      <c r="D756">
        <v>2014</v>
      </c>
    </row>
    <row r="757" spans="1:4" x14ac:dyDescent="0.3">
      <c r="A757" s="1">
        <v>41671</v>
      </c>
      <c r="B757">
        <v>2</v>
      </c>
      <c r="C757" t="s">
        <v>39</v>
      </c>
      <c r="D757">
        <v>2014</v>
      </c>
    </row>
    <row r="758" spans="1:4" x14ac:dyDescent="0.3">
      <c r="A758" s="1">
        <v>41852</v>
      </c>
      <c r="B758">
        <v>8</v>
      </c>
      <c r="C758" t="s">
        <v>34</v>
      </c>
      <c r="D758">
        <v>2014</v>
      </c>
    </row>
    <row r="759" spans="1:4" x14ac:dyDescent="0.3">
      <c r="A759" s="1">
        <v>41518</v>
      </c>
      <c r="B759">
        <v>9</v>
      </c>
      <c r="C759" t="s">
        <v>35</v>
      </c>
      <c r="D759">
        <v>2013</v>
      </c>
    </row>
    <row r="760" spans="1:4" x14ac:dyDescent="0.3">
      <c r="A760" s="1">
        <v>41640</v>
      </c>
      <c r="B760">
        <v>1</v>
      </c>
      <c r="C760" t="s">
        <v>21</v>
      </c>
      <c r="D760">
        <v>2014</v>
      </c>
    </row>
    <row r="761" spans="1:4" x14ac:dyDescent="0.3">
      <c r="A761" s="1">
        <v>41944</v>
      </c>
      <c r="B761">
        <v>11</v>
      </c>
      <c r="C761" t="s">
        <v>40</v>
      </c>
      <c r="D761">
        <v>2014</v>
      </c>
    </row>
    <row r="762" spans="1:4" x14ac:dyDescent="0.3">
      <c r="A762" s="1">
        <v>41518</v>
      </c>
      <c r="B762">
        <v>9</v>
      </c>
      <c r="C762" t="s">
        <v>35</v>
      </c>
      <c r="D762">
        <v>2013</v>
      </c>
    </row>
    <row r="763" spans="1:4" x14ac:dyDescent="0.3">
      <c r="A763" s="1">
        <v>41760</v>
      </c>
      <c r="B763">
        <v>5</v>
      </c>
      <c r="C763" t="s">
        <v>46</v>
      </c>
      <c r="D763">
        <v>2014</v>
      </c>
    </row>
    <row r="764" spans="1:4" x14ac:dyDescent="0.3">
      <c r="A764" s="1">
        <v>41791</v>
      </c>
      <c r="B764">
        <v>6</v>
      </c>
      <c r="C764" t="s">
        <v>25</v>
      </c>
      <c r="D764">
        <v>2014</v>
      </c>
    </row>
    <row r="765" spans="1:4" x14ac:dyDescent="0.3">
      <c r="A765" s="1">
        <v>41944</v>
      </c>
      <c r="B765">
        <v>11</v>
      </c>
      <c r="C765" t="s">
        <v>40</v>
      </c>
      <c r="D765">
        <v>2014</v>
      </c>
    </row>
    <row r="766" spans="1:4" x14ac:dyDescent="0.3">
      <c r="A766" s="1">
        <v>41974</v>
      </c>
      <c r="B766">
        <v>12</v>
      </c>
      <c r="C766" t="s">
        <v>27</v>
      </c>
      <c r="D766">
        <v>2014</v>
      </c>
    </row>
    <row r="767" spans="1:4" x14ac:dyDescent="0.3">
      <c r="A767" s="1">
        <v>41730</v>
      </c>
      <c r="B767">
        <v>4</v>
      </c>
      <c r="C767" t="s">
        <v>43</v>
      </c>
      <c r="D767">
        <v>2014</v>
      </c>
    </row>
    <row r="768" spans="1:4" x14ac:dyDescent="0.3">
      <c r="A768" s="1">
        <v>41518</v>
      </c>
      <c r="B768">
        <v>9</v>
      </c>
      <c r="C768" t="s">
        <v>35</v>
      </c>
      <c r="D768">
        <v>2013</v>
      </c>
    </row>
    <row r="769" spans="1:4" x14ac:dyDescent="0.3">
      <c r="A769" s="1">
        <v>41974</v>
      </c>
      <c r="B769">
        <v>12</v>
      </c>
      <c r="C769" t="s">
        <v>27</v>
      </c>
      <c r="D769">
        <v>2014</v>
      </c>
    </row>
    <row r="770" spans="1:4" x14ac:dyDescent="0.3">
      <c r="A770" s="1">
        <v>41791</v>
      </c>
      <c r="B770">
        <v>6</v>
      </c>
      <c r="C770" t="s">
        <v>25</v>
      </c>
      <c r="D770">
        <v>2014</v>
      </c>
    </row>
    <row r="771" spans="1:4" x14ac:dyDescent="0.3">
      <c r="A771" s="1">
        <v>41699</v>
      </c>
      <c r="B771">
        <v>3</v>
      </c>
      <c r="C771" t="s">
        <v>29</v>
      </c>
      <c r="D771">
        <v>2014</v>
      </c>
    </row>
    <row r="772" spans="1:4" x14ac:dyDescent="0.3">
      <c r="A772" s="1">
        <v>41791</v>
      </c>
      <c r="B772">
        <v>6</v>
      </c>
      <c r="C772" t="s">
        <v>25</v>
      </c>
      <c r="D772">
        <v>2014</v>
      </c>
    </row>
    <row r="773" spans="1:4" x14ac:dyDescent="0.3">
      <c r="A773" s="1">
        <v>41913</v>
      </c>
      <c r="B773">
        <v>10</v>
      </c>
      <c r="C773" t="s">
        <v>36</v>
      </c>
      <c r="D773">
        <v>2014</v>
      </c>
    </row>
    <row r="774" spans="1:4" x14ac:dyDescent="0.3">
      <c r="A774" s="1">
        <v>41913</v>
      </c>
      <c r="B774">
        <v>10</v>
      </c>
      <c r="C774" t="s">
        <v>36</v>
      </c>
      <c r="D774">
        <v>2014</v>
      </c>
    </row>
    <row r="775" spans="1:4" x14ac:dyDescent="0.3">
      <c r="A775" s="1">
        <v>41913</v>
      </c>
      <c r="B775">
        <v>10</v>
      </c>
      <c r="C775" t="s">
        <v>36</v>
      </c>
      <c r="D775">
        <v>2014</v>
      </c>
    </row>
    <row r="776" spans="1:4" x14ac:dyDescent="0.3">
      <c r="A776" s="1">
        <v>41579</v>
      </c>
      <c r="B776">
        <v>11</v>
      </c>
      <c r="C776" t="s">
        <v>40</v>
      </c>
      <c r="D776">
        <v>2013</v>
      </c>
    </row>
    <row r="777" spans="1:4" x14ac:dyDescent="0.3">
      <c r="A777" s="1">
        <v>41760</v>
      </c>
      <c r="B777">
        <v>5</v>
      </c>
      <c r="C777" t="s">
        <v>46</v>
      </c>
      <c r="D777">
        <v>2014</v>
      </c>
    </row>
    <row r="778" spans="1:4" x14ac:dyDescent="0.3">
      <c r="A778" s="1">
        <v>41791</v>
      </c>
      <c r="B778">
        <v>6</v>
      </c>
      <c r="C778" t="s">
        <v>25</v>
      </c>
      <c r="D778">
        <v>2014</v>
      </c>
    </row>
    <row r="779" spans="1:4" x14ac:dyDescent="0.3">
      <c r="A779" s="1">
        <v>41821</v>
      </c>
      <c r="B779">
        <v>7</v>
      </c>
      <c r="C779" t="s">
        <v>32</v>
      </c>
      <c r="D779">
        <v>2014</v>
      </c>
    </row>
    <row r="780" spans="1:4" x14ac:dyDescent="0.3">
      <c r="A780" s="1">
        <v>41852</v>
      </c>
      <c r="B780">
        <v>8</v>
      </c>
      <c r="C780" t="s">
        <v>34</v>
      </c>
      <c r="D780">
        <v>2014</v>
      </c>
    </row>
    <row r="781" spans="1:4" x14ac:dyDescent="0.3">
      <c r="A781" s="1">
        <v>41518</v>
      </c>
      <c r="B781">
        <v>9</v>
      </c>
      <c r="C781" t="s">
        <v>35</v>
      </c>
      <c r="D781">
        <v>2013</v>
      </c>
    </row>
    <row r="782" spans="1:4" x14ac:dyDescent="0.3">
      <c r="A782" s="1">
        <v>41883</v>
      </c>
      <c r="B782">
        <v>9</v>
      </c>
      <c r="C782" t="s">
        <v>35</v>
      </c>
      <c r="D782">
        <v>2014</v>
      </c>
    </row>
    <row r="783" spans="1:4" x14ac:dyDescent="0.3">
      <c r="A783" s="1">
        <v>41518</v>
      </c>
      <c r="B783">
        <v>9</v>
      </c>
      <c r="C783" t="s">
        <v>35</v>
      </c>
      <c r="D783">
        <v>2013</v>
      </c>
    </row>
    <row r="784" spans="1:4" x14ac:dyDescent="0.3">
      <c r="A784" s="1">
        <v>41579</v>
      </c>
      <c r="B784">
        <v>11</v>
      </c>
      <c r="C784" t="s">
        <v>40</v>
      </c>
      <c r="D784">
        <v>2013</v>
      </c>
    </row>
    <row r="785" spans="1:4" x14ac:dyDescent="0.3">
      <c r="A785" s="1">
        <v>41579</v>
      </c>
      <c r="B785">
        <v>11</v>
      </c>
      <c r="C785" t="s">
        <v>40</v>
      </c>
      <c r="D785">
        <v>2013</v>
      </c>
    </row>
    <row r="786" spans="1:4" x14ac:dyDescent="0.3">
      <c r="A786" s="1">
        <v>41609</v>
      </c>
      <c r="B786">
        <v>12</v>
      </c>
      <c r="C786" t="s">
        <v>27</v>
      </c>
      <c r="D786">
        <v>2013</v>
      </c>
    </row>
    <row r="787" spans="1:4" x14ac:dyDescent="0.3">
      <c r="A787" s="1">
        <v>41821</v>
      </c>
      <c r="B787">
        <v>7</v>
      </c>
      <c r="C787" t="s">
        <v>32</v>
      </c>
      <c r="D787">
        <v>2014</v>
      </c>
    </row>
    <row r="788" spans="1:4" x14ac:dyDescent="0.3">
      <c r="A788" s="1">
        <v>41852</v>
      </c>
      <c r="B788">
        <v>8</v>
      </c>
      <c r="C788" t="s">
        <v>34</v>
      </c>
      <c r="D788">
        <v>2014</v>
      </c>
    </row>
    <row r="789" spans="1:4" x14ac:dyDescent="0.3">
      <c r="A789" s="1">
        <v>41883</v>
      </c>
      <c r="B789">
        <v>9</v>
      </c>
      <c r="C789" t="s">
        <v>35</v>
      </c>
      <c r="D789">
        <v>2014</v>
      </c>
    </row>
    <row r="790" spans="1:4" x14ac:dyDescent="0.3">
      <c r="A790" s="1">
        <v>41913</v>
      </c>
      <c r="B790">
        <v>10</v>
      </c>
      <c r="C790" t="s">
        <v>36</v>
      </c>
      <c r="D790">
        <v>2014</v>
      </c>
    </row>
    <row r="791" spans="1:4" x14ac:dyDescent="0.3">
      <c r="A791" s="1">
        <v>41609</v>
      </c>
      <c r="B791">
        <v>12</v>
      </c>
      <c r="C791" t="s">
        <v>27</v>
      </c>
      <c r="D791">
        <v>2013</v>
      </c>
    </row>
    <row r="792" spans="1:4" x14ac:dyDescent="0.3">
      <c r="A792" s="1">
        <v>41974</v>
      </c>
      <c r="B792">
        <v>12</v>
      </c>
      <c r="C792" t="s">
        <v>27</v>
      </c>
      <c r="D792">
        <v>2014</v>
      </c>
    </row>
    <row r="793" spans="1:4" x14ac:dyDescent="0.3">
      <c r="A793" s="1">
        <v>41609</v>
      </c>
      <c r="B793">
        <v>12</v>
      </c>
      <c r="C793" t="s">
        <v>27</v>
      </c>
      <c r="D793">
        <v>2013</v>
      </c>
    </row>
    <row r="794" spans="1:4" x14ac:dyDescent="0.3">
      <c r="A794" s="1">
        <v>41640</v>
      </c>
      <c r="B794">
        <v>1</v>
      </c>
      <c r="C794" t="s">
        <v>21</v>
      </c>
      <c r="D794">
        <v>2014</v>
      </c>
    </row>
    <row r="795" spans="1:4" x14ac:dyDescent="0.3">
      <c r="A795" s="1">
        <v>41671</v>
      </c>
      <c r="B795">
        <v>2</v>
      </c>
      <c r="C795" t="s">
        <v>39</v>
      </c>
      <c r="D795">
        <v>2014</v>
      </c>
    </row>
    <row r="796" spans="1:4" x14ac:dyDescent="0.3">
      <c r="A796" s="1">
        <v>41671</v>
      </c>
      <c r="B796">
        <v>2</v>
      </c>
      <c r="C796" t="s">
        <v>39</v>
      </c>
      <c r="D796">
        <v>2014</v>
      </c>
    </row>
    <row r="797" spans="1:4" x14ac:dyDescent="0.3">
      <c r="A797" s="1">
        <v>41760</v>
      </c>
      <c r="B797">
        <v>5</v>
      </c>
      <c r="C797" t="s">
        <v>46</v>
      </c>
      <c r="D797">
        <v>2014</v>
      </c>
    </row>
    <row r="798" spans="1:4" x14ac:dyDescent="0.3">
      <c r="A798" s="1">
        <v>41883</v>
      </c>
      <c r="B798">
        <v>9</v>
      </c>
      <c r="C798" t="s">
        <v>35</v>
      </c>
      <c r="D798">
        <v>2014</v>
      </c>
    </row>
    <row r="799" spans="1:4" x14ac:dyDescent="0.3">
      <c r="A799" s="1">
        <v>41518</v>
      </c>
      <c r="B799">
        <v>9</v>
      </c>
      <c r="C799" t="s">
        <v>35</v>
      </c>
      <c r="D799">
        <v>2013</v>
      </c>
    </row>
    <row r="800" spans="1:4" x14ac:dyDescent="0.3">
      <c r="A800" s="1">
        <v>41944</v>
      </c>
      <c r="B800">
        <v>11</v>
      </c>
      <c r="C800" t="s">
        <v>40</v>
      </c>
      <c r="D800">
        <v>2014</v>
      </c>
    </row>
    <row r="801" spans="1:4" x14ac:dyDescent="0.3">
      <c r="A801" s="1">
        <v>41974</v>
      </c>
      <c r="B801">
        <v>12</v>
      </c>
      <c r="C801" t="s">
        <v>27</v>
      </c>
      <c r="D801">
        <v>2014</v>
      </c>
    </row>
    <row r="802" spans="1:4" x14ac:dyDescent="0.3">
      <c r="A802" s="1">
        <v>41671</v>
      </c>
      <c r="B802">
        <v>2</v>
      </c>
      <c r="C802" t="s">
        <v>39</v>
      </c>
      <c r="D802">
        <v>2014</v>
      </c>
    </row>
    <row r="803" spans="1:4" x14ac:dyDescent="0.3">
      <c r="A803" s="1">
        <v>41791</v>
      </c>
      <c r="B803">
        <v>6</v>
      </c>
      <c r="C803" t="s">
        <v>25</v>
      </c>
      <c r="D803">
        <v>2014</v>
      </c>
    </row>
    <row r="804" spans="1:4" x14ac:dyDescent="0.3">
      <c r="A804" s="1">
        <v>41760</v>
      </c>
      <c r="B804">
        <v>5</v>
      </c>
      <c r="C804" t="s">
        <v>46</v>
      </c>
      <c r="D804">
        <v>2014</v>
      </c>
    </row>
    <row r="805" spans="1:4" x14ac:dyDescent="0.3">
      <c r="A805" s="1">
        <v>41791</v>
      </c>
      <c r="B805">
        <v>6</v>
      </c>
      <c r="C805" t="s">
        <v>25</v>
      </c>
      <c r="D805">
        <v>2014</v>
      </c>
    </row>
    <row r="806" spans="1:4" x14ac:dyDescent="0.3">
      <c r="A806" s="1">
        <v>41852</v>
      </c>
      <c r="B806">
        <v>8</v>
      </c>
      <c r="C806" t="s">
        <v>34</v>
      </c>
      <c r="D806">
        <v>2014</v>
      </c>
    </row>
    <row r="807" spans="1:4" x14ac:dyDescent="0.3">
      <c r="A807" s="1">
        <v>41944</v>
      </c>
      <c r="B807">
        <v>11</v>
      </c>
      <c r="C807" t="s">
        <v>40</v>
      </c>
      <c r="D807">
        <v>2014</v>
      </c>
    </row>
    <row r="808" spans="1:4" x14ac:dyDescent="0.3">
      <c r="A808" s="1">
        <v>41974</v>
      </c>
      <c r="B808">
        <v>12</v>
      </c>
      <c r="C808" t="s">
        <v>27</v>
      </c>
      <c r="D808">
        <v>2014</v>
      </c>
    </row>
    <row r="809" spans="1:4" x14ac:dyDescent="0.3">
      <c r="A809" s="1">
        <v>41699</v>
      </c>
      <c r="B809">
        <v>3</v>
      </c>
      <c r="C809" t="s">
        <v>29</v>
      </c>
      <c r="D809">
        <v>2014</v>
      </c>
    </row>
    <row r="810" spans="1:4" x14ac:dyDescent="0.3">
      <c r="A810" s="1">
        <v>41791</v>
      </c>
      <c r="B810">
        <v>6</v>
      </c>
      <c r="C810" t="s">
        <v>25</v>
      </c>
      <c r="D810">
        <v>2014</v>
      </c>
    </row>
    <row r="811" spans="1:4" x14ac:dyDescent="0.3">
      <c r="A811" s="1">
        <v>41821</v>
      </c>
      <c r="B811">
        <v>7</v>
      </c>
      <c r="C811" t="s">
        <v>32</v>
      </c>
      <c r="D811">
        <v>2014</v>
      </c>
    </row>
    <row r="812" spans="1:4" x14ac:dyDescent="0.3">
      <c r="A812" s="1">
        <v>41852</v>
      </c>
      <c r="B812">
        <v>8</v>
      </c>
      <c r="C812" t="s">
        <v>34</v>
      </c>
      <c r="D812">
        <v>2014</v>
      </c>
    </row>
    <row r="813" spans="1:4" x14ac:dyDescent="0.3">
      <c r="A813" s="1">
        <v>41518</v>
      </c>
      <c r="B813">
        <v>9</v>
      </c>
      <c r="C813" t="s">
        <v>35</v>
      </c>
      <c r="D813">
        <v>2013</v>
      </c>
    </row>
    <row r="814" spans="1:4" x14ac:dyDescent="0.3">
      <c r="A814" s="1">
        <v>41974</v>
      </c>
      <c r="B814">
        <v>12</v>
      </c>
      <c r="C814" t="s">
        <v>27</v>
      </c>
      <c r="D814">
        <v>2014</v>
      </c>
    </row>
    <row r="815" spans="1:4" x14ac:dyDescent="0.3">
      <c r="A815" s="1">
        <v>41699</v>
      </c>
      <c r="B815">
        <v>3</v>
      </c>
      <c r="C815" t="s">
        <v>29</v>
      </c>
      <c r="D815">
        <v>2014</v>
      </c>
    </row>
    <row r="816" spans="1:4" x14ac:dyDescent="0.3">
      <c r="A816" s="1">
        <v>41730</v>
      </c>
      <c r="B816">
        <v>4</v>
      </c>
      <c r="C816" t="s">
        <v>43</v>
      </c>
      <c r="D816">
        <v>2014</v>
      </c>
    </row>
    <row r="817" spans="1:4" x14ac:dyDescent="0.3">
      <c r="A817" s="1">
        <v>41760</v>
      </c>
      <c r="B817">
        <v>5</v>
      </c>
      <c r="C817" t="s">
        <v>46</v>
      </c>
      <c r="D817">
        <v>2014</v>
      </c>
    </row>
    <row r="818" spans="1:4" x14ac:dyDescent="0.3">
      <c r="A818" s="1">
        <v>41791</v>
      </c>
      <c r="B818">
        <v>6</v>
      </c>
      <c r="C818" t="s">
        <v>25</v>
      </c>
      <c r="D818">
        <v>2014</v>
      </c>
    </row>
    <row r="819" spans="1:4" x14ac:dyDescent="0.3">
      <c r="A819" s="1">
        <v>41791</v>
      </c>
      <c r="B819">
        <v>6</v>
      </c>
      <c r="C819" t="s">
        <v>25</v>
      </c>
      <c r="D819">
        <v>2014</v>
      </c>
    </row>
    <row r="820" spans="1:4" x14ac:dyDescent="0.3">
      <c r="A820" s="1">
        <v>41852</v>
      </c>
      <c r="B820">
        <v>8</v>
      </c>
      <c r="C820" t="s">
        <v>34</v>
      </c>
      <c r="D820">
        <v>2014</v>
      </c>
    </row>
    <row r="821" spans="1:4" x14ac:dyDescent="0.3">
      <c r="A821" s="1">
        <v>41852</v>
      </c>
      <c r="B821">
        <v>8</v>
      </c>
      <c r="C821" t="s">
        <v>34</v>
      </c>
      <c r="D821">
        <v>2014</v>
      </c>
    </row>
    <row r="822" spans="1:4" x14ac:dyDescent="0.3">
      <c r="A822" s="1">
        <v>41518</v>
      </c>
      <c r="B822">
        <v>9</v>
      </c>
      <c r="C822" t="s">
        <v>35</v>
      </c>
      <c r="D822">
        <v>2013</v>
      </c>
    </row>
    <row r="823" spans="1:4" x14ac:dyDescent="0.3">
      <c r="A823" s="1">
        <v>41760</v>
      </c>
      <c r="B823">
        <v>5</v>
      </c>
      <c r="C823" t="s">
        <v>46</v>
      </c>
      <c r="D823">
        <v>2014</v>
      </c>
    </row>
    <row r="824" spans="1:4" x14ac:dyDescent="0.3">
      <c r="A824" s="1">
        <v>41548</v>
      </c>
      <c r="B824">
        <v>10</v>
      </c>
      <c r="C824" t="s">
        <v>36</v>
      </c>
      <c r="D824">
        <v>2013</v>
      </c>
    </row>
    <row r="825" spans="1:4" x14ac:dyDescent="0.3">
      <c r="A825" s="1">
        <v>41974</v>
      </c>
      <c r="B825">
        <v>12</v>
      </c>
      <c r="C825" t="s">
        <v>27</v>
      </c>
      <c r="D825">
        <v>2014</v>
      </c>
    </row>
    <row r="826" spans="1:4" x14ac:dyDescent="0.3">
      <c r="A826" s="1">
        <v>41671</v>
      </c>
      <c r="B826">
        <v>2</v>
      </c>
      <c r="C826" t="s">
        <v>39</v>
      </c>
      <c r="D826">
        <v>2014</v>
      </c>
    </row>
    <row r="827" spans="1:4" x14ac:dyDescent="0.3">
      <c r="A827" s="1">
        <v>41548</v>
      </c>
      <c r="B827">
        <v>10</v>
      </c>
      <c r="C827" t="s">
        <v>36</v>
      </c>
      <c r="D827">
        <v>2013</v>
      </c>
    </row>
    <row r="828" spans="1:4" x14ac:dyDescent="0.3">
      <c r="A828" s="1">
        <v>41671</v>
      </c>
      <c r="B828">
        <v>2</v>
      </c>
      <c r="C828" t="s">
        <v>39</v>
      </c>
      <c r="D828">
        <v>2014</v>
      </c>
    </row>
    <row r="829" spans="1:4" x14ac:dyDescent="0.3">
      <c r="A829" s="1">
        <v>41699</v>
      </c>
      <c r="B829">
        <v>3</v>
      </c>
      <c r="C829" t="s">
        <v>29</v>
      </c>
      <c r="D829">
        <v>2014</v>
      </c>
    </row>
    <row r="830" spans="1:4" x14ac:dyDescent="0.3">
      <c r="A830" s="1">
        <v>41883</v>
      </c>
      <c r="B830">
        <v>9</v>
      </c>
      <c r="C830" t="s">
        <v>35</v>
      </c>
      <c r="D830">
        <v>2014</v>
      </c>
    </row>
    <row r="831" spans="1:4" x14ac:dyDescent="0.3">
      <c r="A831" s="1">
        <v>41913</v>
      </c>
      <c r="B831">
        <v>10</v>
      </c>
      <c r="C831" t="s">
        <v>36</v>
      </c>
      <c r="D831">
        <v>2014</v>
      </c>
    </row>
    <row r="832" spans="1:4" x14ac:dyDescent="0.3">
      <c r="A832" s="1">
        <v>41974</v>
      </c>
      <c r="B832">
        <v>12</v>
      </c>
      <c r="C832" t="s">
        <v>27</v>
      </c>
      <c r="D832">
        <v>2014</v>
      </c>
    </row>
    <row r="833" spans="1:4" x14ac:dyDescent="0.3">
      <c r="A833" s="1">
        <v>41913</v>
      </c>
      <c r="B833">
        <v>10</v>
      </c>
      <c r="C833" t="s">
        <v>36</v>
      </c>
      <c r="D833">
        <v>2014</v>
      </c>
    </row>
    <row r="834" spans="1:4" x14ac:dyDescent="0.3">
      <c r="A834" s="1">
        <v>41609</v>
      </c>
      <c r="B834">
        <v>12</v>
      </c>
      <c r="C834" t="s">
        <v>27</v>
      </c>
      <c r="D834">
        <v>2013</v>
      </c>
    </row>
    <row r="835" spans="1:4" x14ac:dyDescent="0.3">
      <c r="A835" s="1">
        <v>41821</v>
      </c>
      <c r="B835">
        <v>7</v>
      </c>
      <c r="C835" t="s">
        <v>32</v>
      </c>
      <c r="D835">
        <v>2014</v>
      </c>
    </row>
    <row r="836" spans="1:4" x14ac:dyDescent="0.3">
      <c r="A836" s="1">
        <v>41518</v>
      </c>
      <c r="B836">
        <v>9</v>
      </c>
      <c r="C836" t="s">
        <v>35</v>
      </c>
      <c r="D836">
        <v>2013</v>
      </c>
    </row>
    <row r="837" spans="1:4" x14ac:dyDescent="0.3">
      <c r="A837" s="1">
        <v>41913</v>
      </c>
      <c r="B837">
        <v>10</v>
      </c>
      <c r="C837" t="s">
        <v>36</v>
      </c>
      <c r="D837">
        <v>2014</v>
      </c>
    </row>
    <row r="838" spans="1:4" x14ac:dyDescent="0.3">
      <c r="A838" s="1">
        <v>41913</v>
      </c>
      <c r="B838">
        <v>10</v>
      </c>
      <c r="C838" t="s">
        <v>36</v>
      </c>
      <c r="D838">
        <v>2014</v>
      </c>
    </row>
    <row r="839" spans="1:4" x14ac:dyDescent="0.3">
      <c r="A839" s="1">
        <v>41944</v>
      </c>
      <c r="B839">
        <v>11</v>
      </c>
      <c r="C839" t="s">
        <v>40</v>
      </c>
      <c r="D839">
        <v>2014</v>
      </c>
    </row>
    <row r="840" spans="1:4" x14ac:dyDescent="0.3">
      <c r="A840" s="1">
        <v>41974</v>
      </c>
      <c r="B840">
        <v>12</v>
      </c>
      <c r="C840" t="s">
        <v>27</v>
      </c>
      <c r="D840">
        <v>2014</v>
      </c>
    </row>
    <row r="841" spans="1:4" x14ac:dyDescent="0.3">
      <c r="A841" s="1">
        <v>41609</v>
      </c>
      <c r="B841">
        <v>12</v>
      </c>
      <c r="C841" t="s">
        <v>27</v>
      </c>
      <c r="D841">
        <v>2013</v>
      </c>
    </row>
    <row r="842" spans="1:4" x14ac:dyDescent="0.3">
      <c r="A842" s="1">
        <v>41640</v>
      </c>
      <c r="B842">
        <v>1</v>
      </c>
      <c r="C842" t="s">
        <v>21</v>
      </c>
      <c r="D842">
        <v>2014</v>
      </c>
    </row>
    <row r="843" spans="1:4" x14ac:dyDescent="0.3">
      <c r="A843" s="1">
        <v>41730</v>
      </c>
      <c r="B843">
        <v>4</v>
      </c>
      <c r="C843" t="s">
        <v>43</v>
      </c>
      <c r="D843">
        <v>2014</v>
      </c>
    </row>
    <row r="844" spans="1:4" x14ac:dyDescent="0.3">
      <c r="A844" s="1">
        <v>41760</v>
      </c>
      <c r="B844">
        <v>5</v>
      </c>
      <c r="C844" t="s">
        <v>46</v>
      </c>
      <c r="D844">
        <v>2014</v>
      </c>
    </row>
    <row r="845" spans="1:4" x14ac:dyDescent="0.3">
      <c r="A845" s="1">
        <v>41883</v>
      </c>
      <c r="B845">
        <v>9</v>
      </c>
      <c r="C845" t="s">
        <v>35</v>
      </c>
      <c r="D845">
        <v>2014</v>
      </c>
    </row>
    <row r="846" spans="1:4" x14ac:dyDescent="0.3">
      <c r="A846" s="1">
        <v>41548</v>
      </c>
      <c r="B846">
        <v>10</v>
      </c>
      <c r="C846" t="s">
        <v>36</v>
      </c>
      <c r="D846">
        <v>2013</v>
      </c>
    </row>
    <row r="847" spans="1:4" x14ac:dyDescent="0.3">
      <c r="A847" s="1">
        <v>41974</v>
      </c>
      <c r="B847">
        <v>12</v>
      </c>
      <c r="C847" t="s">
        <v>27</v>
      </c>
      <c r="D847">
        <v>2014</v>
      </c>
    </row>
    <row r="848" spans="1:4" x14ac:dyDescent="0.3">
      <c r="A848" s="1">
        <v>41671</v>
      </c>
      <c r="B848">
        <v>2</v>
      </c>
      <c r="C848" t="s">
        <v>39</v>
      </c>
      <c r="D848">
        <v>2014</v>
      </c>
    </row>
    <row r="849" spans="1:4" x14ac:dyDescent="0.3">
      <c r="A849" s="1">
        <v>41518</v>
      </c>
      <c r="B849">
        <v>9</v>
      </c>
      <c r="C849" t="s">
        <v>35</v>
      </c>
      <c r="D849">
        <v>2013</v>
      </c>
    </row>
    <row r="850" spans="1:4" x14ac:dyDescent="0.3">
      <c r="A850" s="1">
        <v>41548</v>
      </c>
      <c r="B850">
        <v>10</v>
      </c>
      <c r="C850" t="s">
        <v>36</v>
      </c>
      <c r="D850">
        <v>2013</v>
      </c>
    </row>
    <row r="851" spans="1:4" x14ac:dyDescent="0.3">
      <c r="A851" s="1">
        <v>41913</v>
      </c>
      <c r="B851">
        <v>10</v>
      </c>
      <c r="C851" t="s">
        <v>36</v>
      </c>
      <c r="D851">
        <v>2014</v>
      </c>
    </row>
    <row r="852" spans="1:4" x14ac:dyDescent="0.3">
      <c r="A852" s="1">
        <v>41913</v>
      </c>
      <c r="B852">
        <v>10</v>
      </c>
      <c r="C852" t="s">
        <v>36</v>
      </c>
      <c r="D852">
        <v>2014</v>
      </c>
    </row>
    <row r="853" spans="1:4" x14ac:dyDescent="0.3">
      <c r="A853" s="1">
        <v>41944</v>
      </c>
      <c r="B853">
        <v>11</v>
      </c>
      <c r="C853" t="s">
        <v>40</v>
      </c>
      <c r="D853">
        <v>2014</v>
      </c>
    </row>
    <row r="854" spans="1:4" x14ac:dyDescent="0.3">
      <c r="A854" s="1">
        <v>41579</v>
      </c>
      <c r="B854">
        <v>11</v>
      </c>
      <c r="C854" t="s">
        <v>40</v>
      </c>
      <c r="D854">
        <v>2013</v>
      </c>
    </row>
    <row r="855" spans="1:4" x14ac:dyDescent="0.3">
      <c r="A855" s="1">
        <v>41944</v>
      </c>
      <c r="B855">
        <v>11</v>
      </c>
      <c r="C855" t="s">
        <v>40</v>
      </c>
      <c r="D855">
        <v>2014</v>
      </c>
    </row>
    <row r="856" spans="1:4" x14ac:dyDescent="0.3">
      <c r="A856" s="1">
        <v>41579</v>
      </c>
      <c r="B856">
        <v>11</v>
      </c>
      <c r="C856" t="s">
        <v>40</v>
      </c>
      <c r="D856">
        <v>2013</v>
      </c>
    </row>
    <row r="857" spans="1:4" x14ac:dyDescent="0.3">
      <c r="A857" s="1">
        <v>41671</v>
      </c>
      <c r="B857">
        <v>2</v>
      </c>
      <c r="C857" t="s">
        <v>39</v>
      </c>
      <c r="D857">
        <v>2014</v>
      </c>
    </row>
    <row r="858" spans="1:4" x14ac:dyDescent="0.3">
      <c r="A858" s="1">
        <v>41730</v>
      </c>
      <c r="B858">
        <v>4</v>
      </c>
      <c r="C858" t="s">
        <v>43</v>
      </c>
      <c r="D858">
        <v>2014</v>
      </c>
    </row>
    <row r="859" spans="1:4" x14ac:dyDescent="0.3">
      <c r="A859" s="1">
        <v>41821</v>
      </c>
      <c r="B859">
        <v>7</v>
      </c>
      <c r="C859" t="s">
        <v>32</v>
      </c>
      <c r="D859">
        <v>2014</v>
      </c>
    </row>
    <row r="860" spans="1:4" x14ac:dyDescent="0.3">
      <c r="A860" s="1">
        <v>41548</v>
      </c>
      <c r="B860">
        <v>10</v>
      </c>
      <c r="C860" t="s">
        <v>36</v>
      </c>
      <c r="D860">
        <v>2013</v>
      </c>
    </row>
    <row r="861" spans="1:4" x14ac:dyDescent="0.3">
      <c r="A861" s="1">
        <v>41579</v>
      </c>
      <c r="B861">
        <v>11</v>
      </c>
      <c r="C861" t="s">
        <v>40</v>
      </c>
      <c r="D861">
        <v>2013</v>
      </c>
    </row>
    <row r="862" spans="1:4" x14ac:dyDescent="0.3">
      <c r="A862" s="1">
        <v>41699</v>
      </c>
      <c r="B862">
        <v>3</v>
      </c>
      <c r="C862" t="s">
        <v>29</v>
      </c>
      <c r="D862">
        <v>2014</v>
      </c>
    </row>
    <row r="863" spans="1:4" x14ac:dyDescent="0.3">
      <c r="A863" s="1">
        <v>41852</v>
      </c>
      <c r="B863">
        <v>8</v>
      </c>
      <c r="C863" t="s">
        <v>34</v>
      </c>
      <c r="D863">
        <v>2014</v>
      </c>
    </row>
    <row r="864" spans="1:4" x14ac:dyDescent="0.3">
      <c r="A864" s="1">
        <v>41548</v>
      </c>
      <c r="B864">
        <v>10</v>
      </c>
      <c r="C864" t="s">
        <v>36</v>
      </c>
      <c r="D864">
        <v>2013</v>
      </c>
    </row>
    <row r="865" spans="1:4" x14ac:dyDescent="0.3">
      <c r="A865" s="1">
        <v>41913</v>
      </c>
      <c r="B865">
        <v>10</v>
      </c>
      <c r="C865" t="s">
        <v>36</v>
      </c>
      <c r="D865">
        <v>2014</v>
      </c>
    </row>
    <row r="866" spans="1:4" x14ac:dyDescent="0.3">
      <c r="A866" s="1">
        <v>41913</v>
      </c>
      <c r="B866">
        <v>10</v>
      </c>
      <c r="C866" t="s">
        <v>36</v>
      </c>
      <c r="D866">
        <v>2014</v>
      </c>
    </row>
    <row r="867" spans="1:4" x14ac:dyDescent="0.3">
      <c r="A867" s="1">
        <v>41609</v>
      </c>
      <c r="B867">
        <v>12</v>
      </c>
      <c r="C867" t="s">
        <v>27</v>
      </c>
      <c r="D867">
        <v>2013</v>
      </c>
    </row>
    <row r="868" spans="1:4" x14ac:dyDescent="0.3">
      <c r="A868" s="1">
        <v>41699</v>
      </c>
      <c r="B868">
        <v>3</v>
      </c>
      <c r="C868" t="s">
        <v>29</v>
      </c>
      <c r="D868">
        <v>2014</v>
      </c>
    </row>
    <row r="869" spans="1:4" x14ac:dyDescent="0.3">
      <c r="A869" s="1">
        <v>41760</v>
      </c>
      <c r="B869">
        <v>5</v>
      </c>
      <c r="C869" t="s">
        <v>46</v>
      </c>
      <c r="D869">
        <v>2014</v>
      </c>
    </row>
    <row r="870" spans="1:4" x14ac:dyDescent="0.3">
      <c r="A870" s="1">
        <v>41852</v>
      </c>
      <c r="B870">
        <v>8</v>
      </c>
      <c r="C870" t="s">
        <v>34</v>
      </c>
      <c r="D870">
        <v>2014</v>
      </c>
    </row>
    <row r="871" spans="1:4" x14ac:dyDescent="0.3">
      <c r="A871" s="1">
        <v>41548</v>
      </c>
      <c r="B871">
        <v>10</v>
      </c>
      <c r="C871" t="s">
        <v>36</v>
      </c>
      <c r="D871">
        <v>2013</v>
      </c>
    </row>
    <row r="872" spans="1:4" x14ac:dyDescent="0.3">
      <c r="A872" s="1">
        <v>41913</v>
      </c>
      <c r="B872">
        <v>10</v>
      </c>
      <c r="C872" t="s">
        <v>36</v>
      </c>
      <c r="D872">
        <v>2014</v>
      </c>
    </row>
    <row r="873" spans="1:4" x14ac:dyDescent="0.3">
      <c r="A873" s="1">
        <v>41913</v>
      </c>
      <c r="B873">
        <v>10</v>
      </c>
      <c r="C873" t="s">
        <v>36</v>
      </c>
      <c r="D873">
        <v>2014</v>
      </c>
    </row>
    <row r="874" spans="1:4" x14ac:dyDescent="0.3">
      <c r="A874" s="1">
        <v>41548</v>
      </c>
      <c r="B874">
        <v>10</v>
      </c>
      <c r="C874" t="s">
        <v>36</v>
      </c>
      <c r="D874">
        <v>2013</v>
      </c>
    </row>
    <row r="875" spans="1:4" x14ac:dyDescent="0.3">
      <c r="A875" s="1">
        <v>41579</v>
      </c>
      <c r="B875">
        <v>11</v>
      </c>
      <c r="C875" t="s">
        <v>40</v>
      </c>
      <c r="D875">
        <v>2013</v>
      </c>
    </row>
    <row r="876" spans="1:4" x14ac:dyDescent="0.3">
      <c r="A876" s="1">
        <v>41852</v>
      </c>
      <c r="B876">
        <v>8</v>
      </c>
      <c r="C876" t="s">
        <v>34</v>
      </c>
      <c r="D876">
        <v>2014</v>
      </c>
    </row>
    <row r="877" spans="1:4" x14ac:dyDescent="0.3">
      <c r="A877" s="1">
        <v>41852</v>
      </c>
      <c r="B877">
        <v>8</v>
      </c>
      <c r="C877" t="s">
        <v>34</v>
      </c>
      <c r="D877">
        <v>2014</v>
      </c>
    </row>
    <row r="878" spans="1:4" x14ac:dyDescent="0.3">
      <c r="A878" s="1">
        <v>41913</v>
      </c>
      <c r="B878">
        <v>10</v>
      </c>
      <c r="C878" t="s">
        <v>36</v>
      </c>
      <c r="D878">
        <v>2014</v>
      </c>
    </row>
    <row r="879" spans="1:4" x14ac:dyDescent="0.3">
      <c r="A879" s="1">
        <v>41913</v>
      </c>
      <c r="B879">
        <v>10</v>
      </c>
      <c r="C879" t="s">
        <v>36</v>
      </c>
      <c r="D879">
        <v>2014</v>
      </c>
    </row>
    <row r="880" spans="1:4" x14ac:dyDescent="0.3">
      <c r="A880" s="1">
        <v>41699</v>
      </c>
      <c r="B880">
        <v>3</v>
      </c>
      <c r="C880" t="s">
        <v>29</v>
      </c>
      <c r="D880">
        <v>2014</v>
      </c>
    </row>
    <row r="881" spans="1:4" x14ac:dyDescent="0.3">
      <c r="A881" s="1">
        <v>41730</v>
      </c>
      <c r="B881">
        <v>4</v>
      </c>
      <c r="C881" t="s">
        <v>43</v>
      </c>
      <c r="D881">
        <v>2014</v>
      </c>
    </row>
    <row r="882" spans="1:4" x14ac:dyDescent="0.3">
      <c r="A882" s="1">
        <v>41730</v>
      </c>
      <c r="B882">
        <v>4</v>
      </c>
      <c r="C882" t="s">
        <v>43</v>
      </c>
      <c r="D882">
        <v>2014</v>
      </c>
    </row>
    <row r="883" spans="1:4" x14ac:dyDescent="0.3">
      <c r="A883" s="1">
        <v>41760</v>
      </c>
      <c r="B883">
        <v>5</v>
      </c>
      <c r="C883" t="s">
        <v>46</v>
      </c>
      <c r="D883">
        <v>2014</v>
      </c>
    </row>
    <row r="884" spans="1:4" x14ac:dyDescent="0.3">
      <c r="A884" s="1">
        <v>41852</v>
      </c>
      <c r="B884">
        <v>8</v>
      </c>
      <c r="C884" t="s">
        <v>34</v>
      </c>
      <c r="D884">
        <v>2014</v>
      </c>
    </row>
    <row r="885" spans="1:4" x14ac:dyDescent="0.3">
      <c r="A885" s="1">
        <v>41548</v>
      </c>
      <c r="B885">
        <v>10</v>
      </c>
      <c r="C885" t="s">
        <v>36</v>
      </c>
      <c r="D885">
        <v>2013</v>
      </c>
    </row>
    <row r="886" spans="1:4" x14ac:dyDescent="0.3">
      <c r="A886" s="1">
        <v>41913</v>
      </c>
      <c r="B886">
        <v>10</v>
      </c>
      <c r="C886" t="s">
        <v>36</v>
      </c>
      <c r="D886">
        <v>2014</v>
      </c>
    </row>
    <row r="887" spans="1:4" x14ac:dyDescent="0.3">
      <c r="A887" s="1">
        <v>41913</v>
      </c>
      <c r="B887">
        <v>10</v>
      </c>
      <c r="C887" t="s">
        <v>36</v>
      </c>
      <c r="D887">
        <v>2014</v>
      </c>
    </row>
    <row r="888" spans="1:4" x14ac:dyDescent="0.3">
      <c r="A888" s="1">
        <v>41579</v>
      </c>
      <c r="B888">
        <v>11</v>
      </c>
      <c r="C888" t="s">
        <v>40</v>
      </c>
      <c r="D888">
        <v>2013</v>
      </c>
    </row>
    <row r="889" spans="1:4" x14ac:dyDescent="0.3">
      <c r="A889" s="1">
        <v>41579</v>
      </c>
      <c r="B889">
        <v>11</v>
      </c>
      <c r="C889" t="s">
        <v>40</v>
      </c>
      <c r="D889">
        <v>2013</v>
      </c>
    </row>
    <row r="890" spans="1:4" x14ac:dyDescent="0.3">
      <c r="A890" s="1">
        <v>41974</v>
      </c>
      <c r="B890">
        <v>12</v>
      </c>
      <c r="C890" t="s">
        <v>27</v>
      </c>
      <c r="D890">
        <v>2014</v>
      </c>
    </row>
    <row r="891" spans="1:4" x14ac:dyDescent="0.3">
      <c r="A891" s="1">
        <v>41974</v>
      </c>
      <c r="B891">
        <v>12</v>
      </c>
      <c r="C891" t="s">
        <v>27</v>
      </c>
      <c r="D891">
        <v>2014</v>
      </c>
    </row>
    <row r="892" spans="1:4" x14ac:dyDescent="0.3">
      <c r="A892" s="1">
        <v>41699</v>
      </c>
      <c r="B892">
        <v>3</v>
      </c>
      <c r="C892" t="s">
        <v>29</v>
      </c>
      <c r="D892">
        <v>2014</v>
      </c>
    </row>
    <row r="893" spans="1:4" x14ac:dyDescent="0.3">
      <c r="A893" s="1">
        <v>41760</v>
      </c>
      <c r="B893">
        <v>5</v>
      </c>
      <c r="C893" t="s">
        <v>46</v>
      </c>
      <c r="D893">
        <v>2014</v>
      </c>
    </row>
    <row r="894" spans="1:4" x14ac:dyDescent="0.3">
      <c r="A894" s="1">
        <v>41883</v>
      </c>
      <c r="B894">
        <v>9</v>
      </c>
      <c r="C894" t="s">
        <v>35</v>
      </c>
      <c r="D894">
        <v>2014</v>
      </c>
    </row>
    <row r="895" spans="1:4" x14ac:dyDescent="0.3">
      <c r="A895" s="1">
        <v>41579</v>
      </c>
      <c r="B895">
        <v>11</v>
      </c>
      <c r="C895" t="s">
        <v>40</v>
      </c>
      <c r="D895">
        <v>2013</v>
      </c>
    </row>
    <row r="896" spans="1:4" x14ac:dyDescent="0.3">
      <c r="A896" s="1">
        <v>41609</v>
      </c>
      <c r="B896">
        <v>12</v>
      </c>
      <c r="C896" t="s">
        <v>27</v>
      </c>
      <c r="D896">
        <v>2013</v>
      </c>
    </row>
    <row r="897" spans="1:4" x14ac:dyDescent="0.3">
      <c r="A897" s="1">
        <v>41974</v>
      </c>
      <c r="B897">
        <v>12</v>
      </c>
      <c r="C897" t="s">
        <v>27</v>
      </c>
      <c r="D897">
        <v>2014</v>
      </c>
    </row>
    <row r="898" spans="1:4" x14ac:dyDescent="0.3">
      <c r="A898" s="1">
        <v>41821</v>
      </c>
      <c r="B898">
        <v>7</v>
      </c>
      <c r="C898" t="s">
        <v>32</v>
      </c>
      <c r="D898">
        <v>2014</v>
      </c>
    </row>
    <row r="899" spans="1:4" x14ac:dyDescent="0.3">
      <c r="A899" s="1">
        <v>41821</v>
      </c>
      <c r="B899">
        <v>7</v>
      </c>
      <c r="C899" t="s">
        <v>32</v>
      </c>
      <c r="D899">
        <v>2014</v>
      </c>
    </row>
    <row r="900" spans="1:4" x14ac:dyDescent="0.3">
      <c r="A900" s="1">
        <v>41548</v>
      </c>
      <c r="B900">
        <v>10</v>
      </c>
      <c r="C900" t="s">
        <v>36</v>
      </c>
      <c r="D900">
        <v>2013</v>
      </c>
    </row>
    <row r="901" spans="1:4" x14ac:dyDescent="0.3">
      <c r="A901" s="1">
        <v>41913</v>
      </c>
      <c r="B901">
        <v>10</v>
      </c>
      <c r="C901" t="s">
        <v>36</v>
      </c>
      <c r="D901">
        <v>2014</v>
      </c>
    </row>
    <row r="902" spans="1:4" x14ac:dyDescent="0.3">
      <c r="A902" s="1">
        <v>41579</v>
      </c>
      <c r="B902">
        <v>11</v>
      </c>
      <c r="C902" t="s">
        <v>40</v>
      </c>
      <c r="D902">
        <v>2013</v>
      </c>
    </row>
    <row r="903" spans="1:4" x14ac:dyDescent="0.3">
      <c r="A903" s="1">
        <v>41944</v>
      </c>
      <c r="B903">
        <v>11</v>
      </c>
      <c r="C903" t="s">
        <v>40</v>
      </c>
      <c r="D903">
        <v>2014</v>
      </c>
    </row>
    <row r="904" spans="1:4" x14ac:dyDescent="0.3">
      <c r="A904" s="1">
        <v>41974</v>
      </c>
      <c r="B904">
        <v>12</v>
      </c>
      <c r="C904" t="s">
        <v>27</v>
      </c>
      <c r="D904">
        <v>2014</v>
      </c>
    </row>
    <row r="905" spans="1:4" x14ac:dyDescent="0.3">
      <c r="A905" s="1">
        <v>41699</v>
      </c>
      <c r="B905">
        <v>3</v>
      </c>
      <c r="C905" t="s">
        <v>29</v>
      </c>
      <c r="D905">
        <v>2014</v>
      </c>
    </row>
    <row r="906" spans="1:4" x14ac:dyDescent="0.3">
      <c r="A906" s="1">
        <v>41913</v>
      </c>
      <c r="B906">
        <v>10</v>
      </c>
      <c r="C906" t="s">
        <v>36</v>
      </c>
      <c r="D906">
        <v>2014</v>
      </c>
    </row>
    <row r="907" spans="1:4" x14ac:dyDescent="0.3">
      <c r="A907" s="1">
        <v>41671</v>
      </c>
      <c r="B907">
        <v>2</v>
      </c>
      <c r="C907" t="s">
        <v>39</v>
      </c>
      <c r="D907">
        <v>2014</v>
      </c>
    </row>
    <row r="908" spans="1:4" x14ac:dyDescent="0.3">
      <c r="A908" s="1">
        <v>41730</v>
      </c>
      <c r="B908">
        <v>4</v>
      </c>
      <c r="C908" t="s">
        <v>43</v>
      </c>
      <c r="D908">
        <v>2014</v>
      </c>
    </row>
    <row r="909" spans="1:4" x14ac:dyDescent="0.3">
      <c r="A909" s="1">
        <v>41760</v>
      </c>
      <c r="B909">
        <v>5</v>
      </c>
      <c r="C909" t="s">
        <v>46</v>
      </c>
      <c r="D909">
        <v>2014</v>
      </c>
    </row>
    <row r="910" spans="1:4" x14ac:dyDescent="0.3">
      <c r="A910" s="1">
        <v>41852</v>
      </c>
      <c r="B910">
        <v>8</v>
      </c>
      <c r="C910" t="s">
        <v>34</v>
      </c>
      <c r="D910">
        <v>2014</v>
      </c>
    </row>
    <row r="911" spans="1:4" x14ac:dyDescent="0.3">
      <c r="A911" s="1">
        <v>41913</v>
      </c>
      <c r="B911">
        <v>10</v>
      </c>
      <c r="C911" t="s">
        <v>36</v>
      </c>
      <c r="D911">
        <v>2014</v>
      </c>
    </row>
    <row r="912" spans="1:4" x14ac:dyDescent="0.3">
      <c r="A912" s="1">
        <v>41548</v>
      </c>
      <c r="B912">
        <v>10</v>
      </c>
      <c r="C912" t="s">
        <v>36</v>
      </c>
      <c r="D912">
        <v>2013</v>
      </c>
    </row>
    <row r="913" spans="1:4" x14ac:dyDescent="0.3">
      <c r="A913" s="1">
        <v>41609</v>
      </c>
      <c r="B913">
        <v>12</v>
      </c>
      <c r="C913" t="s">
        <v>27</v>
      </c>
      <c r="D913">
        <v>2013</v>
      </c>
    </row>
    <row r="914" spans="1:4" x14ac:dyDescent="0.3">
      <c r="A914" s="1">
        <v>41974</v>
      </c>
      <c r="B914">
        <v>12</v>
      </c>
      <c r="C914" t="s">
        <v>27</v>
      </c>
      <c r="D914">
        <v>2014</v>
      </c>
    </row>
    <row r="915" spans="1:4" x14ac:dyDescent="0.3">
      <c r="A915" s="1">
        <v>41548</v>
      </c>
      <c r="B915">
        <v>10</v>
      </c>
      <c r="C915" t="s">
        <v>36</v>
      </c>
      <c r="D915">
        <v>2013</v>
      </c>
    </row>
    <row r="916" spans="1:4" x14ac:dyDescent="0.3">
      <c r="A916" s="1">
        <v>41579</v>
      </c>
      <c r="B916">
        <v>11</v>
      </c>
      <c r="C916" t="s">
        <v>40</v>
      </c>
      <c r="D916">
        <v>2013</v>
      </c>
    </row>
    <row r="917" spans="1:4" x14ac:dyDescent="0.3">
      <c r="A917" s="1">
        <v>41579</v>
      </c>
      <c r="B917">
        <v>11</v>
      </c>
      <c r="C917" t="s">
        <v>40</v>
      </c>
      <c r="D917">
        <v>2013</v>
      </c>
    </row>
    <row r="918" spans="1:4" x14ac:dyDescent="0.3">
      <c r="A918" s="1">
        <v>41974</v>
      </c>
      <c r="B918">
        <v>12</v>
      </c>
      <c r="C918" t="s">
        <v>27</v>
      </c>
      <c r="D918">
        <v>2014</v>
      </c>
    </row>
    <row r="919" spans="1:4" x14ac:dyDescent="0.3">
      <c r="A919" s="1">
        <v>41974</v>
      </c>
      <c r="B919">
        <v>12</v>
      </c>
      <c r="C919" t="s">
        <v>27</v>
      </c>
      <c r="D919">
        <v>2014</v>
      </c>
    </row>
    <row r="920" spans="1:4" x14ac:dyDescent="0.3">
      <c r="A920" s="1">
        <v>41974</v>
      </c>
      <c r="B920">
        <v>12</v>
      </c>
      <c r="C920" t="s">
        <v>27</v>
      </c>
      <c r="D920">
        <v>2014</v>
      </c>
    </row>
    <row r="921" spans="1:4" x14ac:dyDescent="0.3">
      <c r="A921" s="1">
        <v>41671</v>
      </c>
      <c r="B921">
        <v>2</v>
      </c>
      <c r="C921" t="s">
        <v>39</v>
      </c>
      <c r="D921">
        <v>2014</v>
      </c>
    </row>
    <row r="922" spans="1:4" x14ac:dyDescent="0.3">
      <c r="A922" s="1">
        <v>41852</v>
      </c>
      <c r="B922">
        <v>8</v>
      </c>
      <c r="C922" t="s">
        <v>34</v>
      </c>
      <c r="D922">
        <v>2014</v>
      </c>
    </row>
    <row r="923" spans="1:4" x14ac:dyDescent="0.3">
      <c r="A923" s="1">
        <v>41548</v>
      </c>
      <c r="B923">
        <v>10</v>
      </c>
      <c r="C923" t="s">
        <v>36</v>
      </c>
      <c r="D923">
        <v>2013</v>
      </c>
    </row>
    <row r="924" spans="1:4" x14ac:dyDescent="0.3">
      <c r="A924" s="1">
        <v>41974</v>
      </c>
      <c r="B924">
        <v>12</v>
      </c>
      <c r="C924" t="s">
        <v>27</v>
      </c>
      <c r="D924">
        <v>2014</v>
      </c>
    </row>
    <row r="925" spans="1:4" x14ac:dyDescent="0.3">
      <c r="A925" s="1">
        <v>41730</v>
      </c>
      <c r="B925">
        <v>4</v>
      </c>
      <c r="C925" t="s">
        <v>43</v>
      </c>
      <c r="D925">
        <v>2014</v>
      </c>
    </row>
    <row r="926" spans="1:4" x14ac:dyDescent="0.3">
      <c r="A926" s="1">
        <v>41640</v>
      </c>
      <c r="B926">
        <v>1</v>
      </c>
      <c r="C926" t="s">
        <v>21</v>
      </c>
      <c r="D926">
        <v>2014</v>
      </c>
    </row>
    <row r="927" spans="1:4" x14ac:dyDescent="0.3">
      <c r="A927" s="1">
        <v>41791</v>
      </c>
      <c r="B927">
        <v>6</v>
      </c>
      <c r="C927" t="s">
        <v>25</v>
      </c>
      <c r="D927">
        <v>2014</v>
      </c>
    </row>
    <row r="928" spans="1:4" x14ac:dyDescent="0.3">
      <c r="A928" s="1">
        <v>41883</v>
      </c>
      <c r="B928">
        <v>9</v>
      </c>
      <c r="C928" t="s">
        <v>35</v>
      </c>
      <c r="D928">
        <v>2014</v>
      </c>
    </row>
    <row r="929" spans="1:4" x14ac:dyDescent="0.3">
      <c r="A929" s="1">
        <v>41548</v>
      </c>
      <c r="B929">
        <v>10</v>
      </c>
      <c r="C929" t="s">
        <v>36</v>
      </c>
      <c r="D929">
        <v>2013</v>
      </c>
    </row>
    <row r="930" spans="1:4" x14ac:dyDescent="0.3">
      <c r="A930" s="1">
        <v>41944</v>
      </c>
      <c r="B930">
        <v>11</v>
      </c>
      <c r="C930" t="s">
        <v>40</v>
      </c>
      <c r="D930">
        <v>2014</v>
      </c>
    </row>
    <row r="931" spans="1:4" x14ac:dyDescent="0.3">
      <c r="A931" s="1">
        <v>41579</v>
      </c>
      <c r="B931">
        <v>11</v>
      </c>
      <c r="C931" t="s">
        <v>40</v>
      </c>
      <c r="D931">
        <v>2013</v>
      </c>
    </row>
    <row r="932" spans="1:4" x14ac:dyDescent="0.3">
      <c r="A932" s="1">
        <v>41609</v>
      </c>
      <c r="B932">
        <v>12</v>
      </c>
      <c r="C932" t="s">
        <v>27</v>
      </c>
      <c r="D932">
        <v>2013</v>
      </c>
    </row>
    <row r="933" spans="1:4" x14ac:dyDescent="0.3">
      <c r="A933" s="1">
        <v>41730</v>
      </c>
      <c r="B933">
        <v>4</v>
      </c>
      <c r="C933" t="s">
        <v>43</v>
      </c>
      <c r="D933">
        <v>2014</v>
      </c>
    </row>
    <row r="934" spans="1:4" x14ac:dyDescent="0.3">
      <c r="A934" s="1">
        <v>41760</v>
      </c>
      <c r="B934">
        <v>5</v>
      </c>
      <c r="C934" t="s">
        <v>46</v>
      </c>
      <c r="D934">
        <v>2014</v>
      </c>
    </row>
    <row r="935" spans="1:4" x14ac:dyDescent="0.3">
      <c r="A935" s="1">
        <v>41548</v>
      </c>
      <c r="B935">
        <v>10</v>
      </c>
      <c r="C935" t="s">
        <v>36</v>
      </c>
      <c r="D935">
        <v>2013</v>
      </c>
    </row>
    <row r="936" spans="1:4" x14ac:dyDescent="0.3">
      <c r="A936" s="1">
        <v>41944</v>
      </c>
      <c r="B936">
        <v>11</v>
      </c>
      <c r="C936" t="s">
        <v>40</v>
      </c>
      <c r="D936">
        <v>2014</v>
      </c>
    </row>
    <row r="937" spans="1:4" x14ac:dyDescent="0.3">
      <c r="A937" s="1">
        <v>41791</v>
      </c>
      <c r="B937">
        <v>6</v>
      </c>
      <c r="C937" t="s">
        <v>25</v>
      </c>
      <c r="D937">
        <v>2014</v>
      </c>
    </row>
    <row r="938" spans="1:4" x14ac:dyDescent="0.3">
      <c r="A938" s="1">
        <v>41548</v>
      </c>
      <c r="B938">
        <v>10</v>
      </c>
      <c r="C938" t="s">
        <v>36</v>
      </c>
      <c r="D938">
        <v>2013</v>
      </c>
    </row>
    <row r="939" spans="1:4" x14ac:dyDescent="0.3">
      <c r="A939" s="1">
        <v>41548</v>
      </c>
      <c r="B939">
        <v>10</v>
      </c>
      <c r="C939" t="s">
        <v>36</v>
      </c>
      <c r="D939">
        <v>2013</v>
      </c>
    </row>
    <row r="940" spans="1:4" x14ac:dyDescent="0.3">
      <c r="A940" s="1">
        <v>41671</v>
      </c>
      <c r="B940">
        <v>2</v>
      </c>
      <c r="C940" t="s">
        <v>39</v>
      </c>
      <c r="D940">
        <v>2014</v>
      </c>
    </row>
    <row r="941" spans="1:4" x14ac:dyDescent="0.3">
      <c r="A941" s="1">
        <v>41671</v>
      </c>
      <c r="B941">
        <v>2</v>
      </c>
      <c r="C941" t="s">
        <v>39</v>
      </c>
      <c r="D941">
        <v>2014</v>
      </c>
    </row>
    <row r="942" spans="1:4" x14ac:dyDescent="0.3">
      <c r="A942" s="1">
        <v>41760</v>
      </c>
      <c r="B942">
        <v>5</v>
      </c>
      <c r="C942" t="s">
        <v>46</v>
      </c>
      <c r="D942">
        <v>2014</v>
      </c>
    </row>
    <row r="943" spans="1:4" x14ac:dyDescent="0.3">
      <c r="A943" s="1">
        <v>41791</v>
      </c>
      <c r="B943">
        <v>6</v>
      </c>
      <c r="C943" t="s">
        <v>25</v>
      </c>
      <c r="D943">
        <v>2014</v>
      </c>
    </row>
    <row r="944" spans="1:4" x14ac:dyDescent="0.3">
      <c r="A944" s="1">
        <v>41791</v>
      </c>
      <c r="B944">
        <v>6</v>
      </c>
      <c r="C944" t="s">
        <v>25</v>
      </c>
      <c r="D944">
        <v>2014</v>
      </c>
    </row>
    <row r="945" spans="1:4" x14ac:dyDescent="0.3">
      <c r="A945" s="1">
        <v>41548</v>
      </c>
      <c r="B945">
        <v>10</v>
      </c>
      <c r="C945" t="s">
        <v>36</v>
      </c>
      <c r="D945">
        <v>2013</v>
      </c>
    </row>
    <row r="946" spans="1:4" x14ac:dyDescent="0.3">
      <c r="A946" s="1">
        <v>41548</v>
      </c>
      <c r="B946">
        <v>10</v>
      </c>
      <c r="C946" t="s">
        <v>36</v>
      </c>
      <c r="D946">
        <v>2013</v>
      </c>
    </row>
    <row r="947" spans="1:4" x14ac:dyDescent="0.3">
      <c r="A947" s="1">
        <v>41791</v>
      </c>
      <c r="B947">
        <v>6</v>
      </c>
      <c r="C947" t="s">
        <v>25</v>
      </c>
      <c r="D947">
        <v>2014</v>
      </c>
    </row>
    <row r="948" spans="1:4" x14ac:dyDescent="0.3">
      <c r="A948" s="1">
        <v>41791</v>
      </c>
      <c r="B948">
        <v>6</v>
      </c>
      <c r="C948" t="s">
        <v>25</v>
      </c>
      <c r="D948">
        <v>2014</v>
      </c>
    </row>
    <row r="949" spans="1:4" x14ac:dyDescent="0.3">
      <c r="A949" s="1">
        <v>41548</v>
      </c>
      <c r="B949">
        <v>10</v>
      </c>
      <c r="C949" t="s">
        <v>36</v>
      </c>
      <c r="D949">
        <v>2013</v>
      </c>
    </row>
    <row r="950" spans="1:4" x14ac:dyDescent="0.3">
      <c r="A950" s="1">
        <v>41579</v>
      </c>
      <c r="B950">
        <v>11</v>
      </c>
      <c r="C950" t="s">
        <v>40</v>
      </c>
      <c r="D950">
        <v>2013</v>
      </c>
    </row>
    <row r="951" spans="1:4" x14ac:dyDescent="0.3">
      <c r="A951" s="1">
        <v>41609</v>
      </c>
      <c r="B951">
        <v>12</v>
      </c>
      <c r="C951" t="s">
        <v>27</v>
      </c>
      <c r="D951">
        <v>2013</v>
      </c>
    </row>
    <row r="952" spans="1:4" x14ac:dyDescent="0.3">
      <c r="A952" s="1">
        <v>41640</v>
      </c>
      <c r="B952">
        <v>1</v>
      </c>
      <c r="C952" t="s">
        <v>21</v>
      </c>
      <c r="D952">
        <v>2014</v>
      </c>
    </row>
    <row r="953" spans="1:4" x14ac:dyDescent="0.3">
      <c r="A953" s="1">
        <v>41883</v>
      </c>
      <c r="B953">
        <v>9</v>
      </c>
      <c r="C953" t="s">
        <v>35</v>
      </c>
      <c r="D953">
        <v>2014</v>
      </c>
    </row>
    <row r="954" spans="1:4" x14ac:dyDescent="0.3">
      <c r="A954" s="1">
        <v>41548</v>
      </c>
      <c r="B954">
        <v>10</v>
      </c>
      <c r="C954" t="s">
        <v>36</v>
      </c>
      <c r="D954">
        <v>2013</v>
      </c>
    </row>
    <row r="955" spans="1:4" x14ac:dyDescent="0.3">
      <c r="A955" s="1">
        <v>41548</v>
      </c>
      <c r="B955">
        <v>10</v>
      </c>
      <c r="C955" t="s">
        <v>36</v>
      </c>
      <c r="D955">
        <v>2013</v>
      </c>
    </row>
    <row r="956" spans="1:4" x14ac:dyDescent="0.3">
      <c r="A956" s="1">
        <v>41548</v>
      </c>
      <c r="B956">
        <v>10</v>
      </c>
      <c r="C956" t="s">
        <v>36</v>
      </c>
      <c r="D956">
        <v>2013</v>
      </c>
    </row>
    <row r="957" spans="1:4" x14ac:dyDescent="0.3">
      <c r="A957" s="1">
        <v>41548</v>
      </c>
      <c r="B957">
        <v>10</v>
      </c>
      <c r="C957" t="s">
        <v>36</v>
      </c>
      <c r="D957">
        <v>2013</v>
      </c>
    </row>
    <row r="958" spans="1:4" x14ac:dyDescent="0.3">
      <c r="A958" s="1">
        <v>41852</v>
      </c>
      <c r="B958">
        <v>8</v>
      </c>
      <c r="C958" t="s">
        <v>34</v>
      </c>
      <c r="D958">
        <v>2014</v>
      </c>
    </row>
    <row r="959" spans="1:4" x14ac:dyDescent="0.3">
      <c r="A959" s="1">
        <v>41852</v>
      </c>
      <c r="B959">
        <v>8</v>
      </c>
      <c r="C959" t="s">
        <v>34</v>
      </c>
      <c r="D959">
        <v>2014</v>
      </c>
    </row>
    <row r="960" spans="1:4" x14ac:dyDescent="0.3">
      <c r="A960" s="1">
        <v>41913</v>
      </c>
      <c r="B960">
        <v>10</v>
      </c>
      <c r="C960" t="s">
        <v>36</v>
      </c>
      <c r="D960">
        <v>2014</v>
      </c>
    </row>
    <row r="961" spans="1:4" x14ac:dyDescent="0.3">
      <c r="A961" s="1">
        <v>41548</v>
      </c>
      <c r="B961">
        <v>10</v>
      </c>
      <c r="C961" t="s">
        <v>36</v>
      </c>
      <c r="D961">
        <v>2013</v>
      </c>
    </row>
    <row r="962" spans="1:4" x14ac:dyDescent="0.3">
      <c r="A962" s="1">
        <v>41852</v>
      </c>
      <c r="B962">
        <v>8</v>
      </c>
      <c r="C962" t="s">
        <v>34</v>
      </c>
      <c r="D962">
        <v>2014</v>
      </c>
    </row>
    <row r="963" spans="1:4" x14ac:dyDescent="0.3">
      <c r="A963" s="1">
        <v>41944</v>
      </c>
      <c r="B963">
        <v>11</v>
      </c>
      <c r="C963" t="s">
        <v>40</v>
      </c>
      <c r="D963">
        <v>2014</v>
      </c>
    </row>
    <row r="964" spans="1:4" x14ac:dyDescent="0.3">
      <c r="A964" s="1">
        <v>41913</v>
      </c>
      <c r="B964">
        <v>10</v>
      </c>
      <c r="C964" t="s">
        <v>36</v>
      </c>
      <c r="D964">
        <v>2014</v>
      </c>
    </row>
    <row r="965" spans="1:4" x14ac:dyDescent="0.3">
      <c r="A965" s="1">
        <v>41671</v>
      </c>
      <c r="B965">
        <v>2</v>
      </c>
      <c r="C965" t="s">
        <v>39</v>
      </c>
      <c r="D965">
        <v>2014</v>
      </c>
    </row>
    <row r="966" spans="1:4" x14ac:dyDescent="0.3">
      <c r="A966" s="1">
        <v>41852</v>
      </c>
      <c r="B966">
        <v>8</v>
      </c>
      <c r="C966" t="s">
        <v>34</v>
      </c>
      <c r="D966">
        <v>2014</v>
      </c>
    </row>
    <row r="967" spans="1:4" x14ac:dyDescent="0.3">
      <c r="A967" s="1">
        <v>41518</v>
      </c>
      <c r="B967">
        <v>9</v>
      </c>
      <c r="C967" t="s">
        <v>35</v>
      </c>
      <c r="D967">
        <v>2013</v>
      </c>
    </row>
    <row r="968" spans="1:4" x14ac:dyDescent="0.3">
      <c r="A968" s="1">
        <v>41640</v>
      </c>
      <c r="B968">
        <v>1</v>
      </c>
      <c r="C968" t="s">
        <v>21</v>
      </c>
      <c r="D968">
        <v>2014</v>
      </c>
    </row>
    <row r="969" spans="1:4" x14ac:dyDescent="0.3">
      <c r="A969" s="1">
        <v>41944</v>
      </c>
      <c r="B969">
        <v>11</v>
      </c>
      <c r="C969" t="s">
        <v>40</v>
      </c>
      <c r="D969">
        <v>2014</v>
      </c>
    </row>
    <row r="970" spans="1:4" x14ac:dyDescent="0.3">
      <c r="A970" s="1">
        <v>41518</v>
      </c>
      <c r="B970">
        <v>9</v>
      </c>
      <c r="C970" t="s">
        <v>35</v>
      </c>
      <c r="D970">
        <v>2013</v>
      </c>
    </row>
    <row r="971" spans="1:4" x14ac:dyDescent="0.3">
      <c r="A971" s="1">
        <v>41821</v>
      </c>
      <c r="B971">
        <v>7</v>
      </c>
      <c r="C971" t="s">
        <v>32</v>
      </c>
      <c r="D971">
        <v>2014</v>
      </c>
    </row>
    <row r="972" spans="1:4" x14ac:dyDescent="0.3">
      <c r="A972" s="1">
        <v>41852</v>
      </c>
      <c r="B972">
        <v>8</v>
      </c>
      <c r="C972" t="s">
        <v>34</v>
      </c>
      <c r="D972">
        <v>2014</v>
      </c>
    </row>
    <row r="973" spans="1:4" x14ac:dyDescent="0.3">
      <c r="A973" s="1">
        <v>41518</v>
      </c>
      <c r="B973">
        <v>9</v>
      </c>
      <c r="C973" t="s">
        <v>35</v>
      </c>
      <c r="D973">
        <v>2013</v>
      </c>
    </row>
    <row r="974" spans="1:4" x14ac:dyDescent="0.3">
      <c r="A974" s="1">
        <v>41883</v>
      </c>
      <c r="B974">
        <v>9</v>
      </c>
      <c r="C974" t="s">
        <v>35</v>
      </c>
      <c r="D974">
        <v>2014</v>
      </c>
    </row>
    <row r="975" spans="1:4" x14ac:dyDescent="0.3">
      <c r="A975" s="1">
        <v>41518</v>
      </c>
      <c r="B975">
        <v>9</v>
      </c>
      <c r="C975" t="s">
        <v>35</v>
      </c>
      <c r="D975">
        <v>2013</v>
      </c>
    </row>
    <row r="976" spans="1:4" x14ac:dyDescent="0.3">
      <c r="A976" s="1">
        <v>41579</v>
      </c>
      <c r="B976">
        <v>11</v>
      </c>
      <c r="C976" t="s">
        <v>40</v>
      </c>
      <c r="D976">
        <v>2013</v>
      </c>
    </row>
    <row r="977" spans="1:4" x14ac:dyDescent="0.3">
      <c r="A977" s="1">
        <v>41579</v>
      </c>
      <c r="B977">
        <v>11</v>
      </c>
      <c r="C977" t="s">
        <v>40</v>
      </c>
      <c r="D977">
        <v>2013</v>
      </c>
    </row>
    <row r="978" spans="1:4" x14ac:dyDescent="0.3">
      <c r="A978" s="1">
        <v>41609</v>
      </c>
      <c r="B978">
        <v>12</v>
      </c>
      <c r="C978" t="s">
        <v>27</v>
      </c>
      <c r="D978">
        <v>2013</v>
      </c>
    </row>
    <row r="979" spans="1:4" x14ac:dyDescent="0.3">
      <c r="A979" s="1">
        <v>41821</v>
      </c>
      <c r="B979">
        <v>7</v>
      </c>
      <c r="C979" t="s">
        <v>32</v>
      </c>
      <c r="D979">
        <v>2014</v>
      </c>
    </row>
    <row r="980" spans="1:4" x14ac:dyDescent="0.3">
      <c r="A980" s="1">
        <v>41852</v>
      </c>
      <c r="B980">
        <v>8</v>
      </c>
      <c r="C980" t="s">
        <v>34</v>
      </c>
      <c r="D980">
        <v>2014</v>
      </c>
    </row>
    <row r="981" spans="1:4" x14ac:dyDescent="0.3">
      <c r="A981" s="1">
        <v>41883</v>
      </c>
      <c r="B981">
        <v>9</v>
      </c>
      <c r="C981" t="s">
        <v>35</v>
      </c>
      <c r="D981">
        <v>2014</v>
      </c>
    </row>
    <row r="982" spans="1:4" x14ac:dyDescent="0.3">
      <c r="A982" s="1">
        <v>41913</v>
      </c>
      <c r="B982">
        <v>10</v>
      </c>
      <c r="C982" t="s">
        <v>36</v>
      </c>
      <c r="D982">
        <v>2014</v>
      </c>
    </row>
    <row r="983" spans="1:4" x14ac:dyDescent="0.3">
      <c r="A983" s="1">
        <v>41609</v>
      </c>
      <c r="B983">
        <v>12</v>
      </c>
      <c r="C983" t="s">
        <v>27</v>
      </c>
      <c r="D983">
        <v>2013</v>
      </c>
    </row>
    <row r="984" spans="1:4" x14ac:dyDescent="0.3">
      <c r="A984" s="1">
        <v>41974</v>
      </c>
      <c r="B984">
        <v>12</v>
      </c>
      <c r="C984" t="s">
        <v>27</v>
      </c>
      <c r="D984">
        <v>2014</v>
      </c>
    </row>
    <row r="985" spans="1:4" x14ac:dyDescent="0.3">
      <c r="A985" s="1">
        <v>41609</v>
      </c>
      <c r="B985">
        <v>12</v>
      </c>
      <c r="C985" t="s">
        <v>27</v>
      </c>
      <c r="D985">
        <v>2013</v>
      </c>
    </row>
    <row r="986" spans="1:4" x14ac:dyDescent="0.3">
      <c r="A986" s="1">
        <v>41640</v>
      </c>
      <c r="B986">
        <v>1</v>
      </c>
      <c r="C986" t="s">
        <v>21</v>
      </c>
      <c r="D986">
        <v>2014</v>
      </c>
    </row>
    <row r="987" spans="1:4" x14ac:dyDescent="0.3">
      <c r="A987" s="1">
        <v>41671</v>
      </c>
      <c r="B987">
        <v>2</v>
      </c>
      <c r="C987" t="s">
        <v>39</v>
      </c>
      <c r="D987">
        <v>2014</v>
      </c>
    </row>
    <row r="988" spans="1:4" x14ac:dyDescent="0.3">
      <c r="A988" s="1">
        <v>41671</v>
      </c>
      <c r="B988">
        <v>2</v>
      </c>
      <c r="C988" t="s">
        <v>39</v>
      </c>
      <c r="D988">
        <v>2014</v>
      </c>
    </row>
    <row r="989" spans="1:4" x14ac:dyDescent="0.3">
      <c r="A989" s="1">
        <v>41760</v>
      </c>
      <c r="B989">
        <v>5</v>
      </c>
      <c r="C989" t="s">
        <v>46</v>
      </c>
      <c r="D989">
        <v>2014</v>
      </c>
    </row>
    <row r="990" spans="1:4" x14ac:dyDescent="0.3">
      <c r="A990" s="1">
        <v>41883</v>
      </c>
      <c r="B990">
        <v>9</v>
      </c>
      <c r="C990" t="s">
        <v>35</v>
      </c>
      <c r="D990">
        <v>2014</v>
      </c>
    </row>
    <row r="991" spans="1:4" x14ac:dyDescent="0.3">
      <c r="A991" s="1">
        <v>41518</v>
      </c>
      <c r="B991">
        <v>9</v>
      </c>
      <c r="C991" t="s">
        <v>35</v>
      </c>
      <c r="D991">
        <v>2013</v>
      </c>
    </row>
    <row r="992" spans="1:4" x14ac:dyDescent="0.3">
      <c r="A992" s="1">
        <v>41944</v>
      </c>
      <c r="B992">
        <v>11</v>
      </c>
      <c r="C992" t="s">
        <v>40</v>
      </c>
      <c r="D992">
        <v>2014</v>
      </c>
    </row>
    <row r="993" spans="1:4" x14ac:dyDescent="0.3">
      <c r="A993" s="1">
        <v>41974</v>
      </c>
      <c r="B993">
        <v>12</v>
      </c>
      <c r="C993" t="s">
        <v>27</v>
      </c>
      <c r="D993">
        <v>2014</v>
      </c>
    </row>
    <row r="994" spans="1:4" x14ac:dyDescent="0.3">
      <c r="A994" s="1">
        <v>41671</v>
      </c>
      <c r="B994">
        <v>2</v>
      </c>
      <c r="C994" t="s">
        <v>39</v>
      </c>
      <c r="D994">
        <v>2014</v>
      </c>
    </row>
    <row r="995" spans="1:4" x14ac:dyDescent="0.3">
      <c r="A995" s="1">
        <v>41791</v>
      </c>
      <c r="B995">
        <v>6</v>
      </c>
      <c r="C995" t="s">
        <v>25</v>
      </c>
      <c r="D995">
        <v>2014</v>
      </c>
    </row>
    <row r="996" spans="1:4" x14ac:dyDescent="0.3">
      <c r="A996" s="1">
        <v>41760</v>
      </c>
      <c r="B996">
        <v>5</v>
      </c>
      <c r="C996" t="s">
        <v>46</v>
      </c>
      <c r="D996">
        <v>2014</v>
      </c>
    </row>
    <row r="997" spans="1:4" x14ac:dyDescent="0.3">
      <c r="A997" s="1">
        <v>41791</v>
      </c>
      <c r="B997">
        <v>6</v>
      </c>
      <c r="C997" t="s">
        <v>25</v>
      </c>
      <c r="D997">
        <v>2014</v>
      </c>
    </row>
    <row r="998" spans="1:4" x14ac:dyDescent="0.3">
      <c r="A998" s="1">
        <v>41852</v>
      </c>
      <c r="B998">
        <v>8</v>
      </c>
      <c r="C998" t="s">
        <v>34</v>
      </c>
      <c r="D998">
        <v>2014</v>
      </c>
    </row>
    <row r="999" spans="1:4" x14ac:dyDescent="0.3">
      <c r="A999" s="1">
        <v>41944</v>
      </c>
      <c r="B999">
        <v>11</v>
      </c>
      <c r="C999" t="s">
        <v>40</v>
      </c>
      <c r="D999">
        <v>2014</v>
      </c>
    </row>
    <row r="1000" spans="1:4" x14ac:dyDescent="0.3">
      <c r="A1000" s="1">
        <v>41974</v>
      </c>
      <c r="B1000">
        <v>12</v>
      </c>
      <c r="C1000" t="s">
        <v>27</v>
      </c>
      <c r="D1000">
        <v>2014</v>
      </c>
    </row>
    <row r="1001" spans="1:4" x14ac:dyDescent="0.3">
      <c r="A1001" s="1">
        <v>41699</v>
      </c>
      <c r="B1001">
        <v>3</v>
      </c>
      <c r="C1001" t="s">
        <v>29</v>
      </c>
      <c r="D1001">
        <v>2014</v>
      </c>
    </row>
    <row r="1002" spans="1:4" x14ac:dyDescent="0.3">
      <c r="A1002" s="1">
        <v>41791</v>
      </c>
      <c r="B1002">
        <v>6</v>
      </c>
      <c r="C1002" t="s">
        <v>25</v>
      </c>
      <c r="D1002">
        <v>2014</v>
      </c>
    </row>
    <row r="1003" spans="1:4" x14ac:dyDescent="0.3">
      <c r="A1003" s="1">
        <v>41821</v>
      </c>
      <c r="B1003">
        <v>7</v>
      </c>
      <c r="C1003" t="s">
        <v>32</v>
      </c>
      <c r="D1003">
        <v>2014</v>
      </c>
    </row>
    <row r="1004" spans="1:4" x14ac:dyDescent="0.3">
      <c r="A1004" s="1">
        <v>41852</v>
      </c>
      <c r="B1004">
        <v>8</v>
      </c>
      <c r="C1004" t="s">
        <v>34</v>
      </c>
      <c r="D1004">
        <v>2014</v>
      </c>
    </row>
    <row r="1005" spans="1:4" x14ac:dyDescent="0.3">
      <c r="A1005" s="1">
        <v>41518</v>
      </c>
      <c r="B1005">
        <v>9</v>
      </c>
      <c r="C1005" t="s">
        <v>35</v>
      </c>
      <c r="D1005">
        <v>2013</v>
      </c>
    </row>
    <row r="1006" spans="1:4" x14ac:dyDescent="0.3">
      <c r="A1006" s="1">
        <v>41974</v>
      </c>
      <c r="B1006">
        <v>12</v>
      </c>
      <c r="C1006" t="s">
        <v>27</v>
      </c>
      <c r="D1006">
        <v>2014</v>
      </c>
    </row>
    <row r="1007" spans="1:4" x14ac:dyDescent="0.3">
      <c r="A1007" s="1">
        <v>41699</v>
      </c>
      <c r="B1007">
        <v>3</v>
      </c>
      <c r="C1007" t="s">
        <v>29</v>
      </c>
      <c r="D1007">
        <v>2014</v>
      </c>
    </row>
    <row r="1008" spans="1:4" x14ac:dyDescent="0.3">
      <c r="A1008" s="1">
        <v>41730</v>
      </c>
      <c r="B1008">
        <v>4</v>
      </c>
      <c r="C1008" t="s">
        <v>43</v>
      </c>
      <c r="D1008">
        <v>2014</v>
      </c>
    </row>
    <row r="1009" spans="1:4" x14ac:dyDescent="0.3">
      <c r="A1009" s="1">
        <v>41760</v>
      </c>
      <c r="B1009">
        <v>5</v>
      </c>
      <c r="C1009" t="s">
        <v>46</v>
      </c>
      <c r="D1009">
        <v>2014</v>
      </c>
    </row>
    <row r="1010" spans="1:4" x14ac:dyDescent="0.3">
      <c r="A1010" s="1">
        <v>41791</v>
      </c>
      <c r="B1010">
        <v>6</v>
      </c>
      <c r="C1010" t="s">
        <v>25</v>
      </c>
      <c r="D1010">
        <v>2014</v>
      </c>
    </row>
    <row r="1011" spans="1:4" x14ac:dyDescent="0.3">
      <c r="A1011" s="1">
        <v>41791</v>
      </c>
      <c r="B1011">
        <v>6</v>
      </c>
      <c r="C1011" t="s">
        <v>25</v>
      </c>
      <c r="D1011">
        <v>2014</v>
      </c>
    </row>
    <row r="1012" spans="1:4" x14ac:dyDescent="0.3">
      <c r="A1012" s="1">
        <v>41852</v>
      </c>
      <c r="B1012">
        <v>8</v>
      </c>
      <c r="C1012" t="s">
        <v>34</v>
      </c>
      <c r="D1012">
        <v>2014</v>
      </c>
    </row>
    <row r="1013" spans="1:4" x14ac:dyDescent="0.3">
      <c r="A1013" s="1">
        <v>41852</v>
      </c>
      <c r="B1013">
        <v>8</v>
      </c>
      <c r="C1013" t="s">
        <v>34</v>
      </c>
      <c r="D1013">
        <v>2014</v>
      </c>
    </row>
    <row r="1014" spans="1:4" x14ac:dyDescent="0.3">
      <c r="A1014" s="1">
        <v>41518</v>
      </c>
      <c r="B1014">
        <v>9</v>
      </c>
      <c r="C1014" t="s">
        <v>35</v>
      </c>
      <c r="D1014">
        <v>2013</v>
      </c>
    </row>
    <row r="1015" spans="1:4" x14ac:dyDescent="0.3">
      <c r="A1015" s="1">
        <v>41760</v>
      </c>
      <c r="B1015">
        <v>5</v>
      </c>
      <c r="C1015" t="s">
        <v>46</v>
      </c>
      <c r="D1015">
        <v>2014</v>
      </c>
    </row>
    <row r="1016" spans="1:4" x14ac:dyDescent="0.3">
      <c r="A1016" s="1">
        <v>41548</v>
      </c>
      <c r="B1016">
        <v>10</v>
      </c>
      <c r="C1016" t="s">
        <v>36</v>
      </c>
      <c r="D1016">
        <v>2013</v>
      </c>
    </row>
    <row r="1017" spans="1:4" x14ac:dyDescent="0.3">
      <c r="A1017" s="1">
        <v>41974</v>
      </c>
      <c r="B1017">
        <v>12</v>
      </c>
      <c r="C1017" t="s">
        <v>27</v>
      </c>
      <c r="D1017">
        <v>2014</v>
      </c>
    </row>
    <row r="1018" spans="1:4" x14ac:dyDescent="0.3">
      <c r="A1018" s="1">
        <v>41671</v>
      </c>
      <c r="B1018">
        <v>2</v>
      </c>
      <c r="C1018" t="s">
        <v>39</v>
      </c>
      <c r="D1018">
        <v>2014</v>
      </c>
    </row>
    <row r="1019" spans="1:4" x14ac:dyDescent="0.3">
      <c r="A1019" s="1">
        <v>41548</v>
      </c>
      <c r="B1019">
        <v>10</v>
      </c>
      <c r="C1019" t="s">
        <v>36</v>
      </c>
      <c r="D1019">
        <v>2013</v>
      </c>
    </row>
    <row r="1020" spans="1:4" x14ac:dyDescent="0.3">
      <c r="A1020" s="1">
        <v>41671</v>
      </c>
      <c r="B1020">
        <v>2</v>
      </c>
      <c r="C1020" t="s">
        <v>39</v>
      </c>
      <c r="D1020">
        <v>2014</v>
      </c>
    </row>
    <row r="1021" spans="1:4" x14ac:dyDescent="0.3">
      <c r="A1021" s="1">
        <v>41699</v>
      </c>
      <c r="B1021">
        <v>3</v>
      </c>
      <c r="C1021" t="s">
        <v>29</v>
      </c>
      <c r="D1021">
        <v>2014</v>
      </c>
    </row>
    <row r="1022" spans="1:4" x14ac:dyDescent="0.3">
      <c r="A1022" s="1">
        <v>41883</v>
      </c>
      <c r="B1022">
        <v>9</v>
      </c>
      <c r="C1022" t="s">
        <v>35</v>
      </c>
      <c r="D1022">
        <v>2014</v>
      </c>
    </row>
    <row r="1023" spans="1:4" x14ac:dyDescent="0.3">
      <c r="A1023" s="1">
        <v>41913</v>
      </c>
      <c r="B1023">
        <v>10</v>
      </c>
      <c r="C1023" t="s">
        <v>36</v>
      </c>
      <c r="D1023">
        <v>2014</v>
      </c>
    </row>
    <row r="1024" spans="1:4" x14ac:dyDescent="0.3">
      <c r="A1024" s="1">
        <v>41974</v>
      </c>
      <c r="B1024">
        <v>12</v>
      </c>
      <c r="C1024" t="s">
        <v>27</v>
      </c>
      <c r="D1024">
        <v>2014</v>
      </c>
    </row>
    <row r="1025" spans="1:4" x14ac:dyDescent="0.3">
      <c r="A1025" s="1">
        <v>41913</v>
      </c>
      <c r="B1025">
        <v>10</v>
      </c>
      <c r="C1025" t="s">
        <v>36</v>
      </c>
      <c r="D1025">
        <v>2014</v>
      </c>
    </row>
    <row r="1026" spans="1:4" x14ac:dyDescent="0.3">
      <c r="A1026" s="1">
        <v>41609</v>
      </c>
      <c r="B1026">
        <v>12</v>
      </c>
      <c r="C1026" t="s">
        <v>27</v>
      </c>
      <c r="D1026">
        <v>2013</v>
      </c>
    </row>
    <row r="1027" spans="1:4" x14ac:dyDescent="0.3">
      <c r="A1027" s="1">
        <v>41821</v>
      </c>
      <c r="B1027">
        <v>7</v>
      </c>
      <c r="C1027" t="s">
        <v>32</v>
      </c>
      <c r="D1027">
        <v>2014</v>
      </c>
    </row>
    <row r="1028" spans="1:4" x14ac:dyDescent="0.3">
      <c r="A1028" s="1">
        <v>41518</v>
      </c>
      <c r="B1028">
        <v>9</v>
      </c>
      <c r="C1028" t="s">
        <v>35</v>
      </c>
      <c r="D1028">
        <v>2013</v>
      </c>
    </row>
    <row r="1029" spans="1:4" x14ac:dyDescent="0.3">
      <c r="A1029" s="1">
        <v>41913</v>
      </c>
      <c r="B1029">
        <v>10</v>
      </c>
      <c r="C1029" t="s">
        <v>36</v>
      </c>
      <c r="D1029">
        <v>2014</v>
      </c>
    </row>
    <row r="1030" spans="1:4" x14ac:dyDescent="0.3">
      <c r="A1030" s="1">
        <v>41913</v>
      </c>
      <c r="B1030">
        <v>10</v>
      </c>
      <c r="C1030" t="s">
        <v>36</v>
      </c>
      <c r="D1030">
        <v>2014</v>
      </c>
    </row>
    <row r="1031" spans="1:4" x14ac:dyDescent="0.3">
      <c r="A1031" s="1">
        <v>41944</v>
      </c>
      <c r="B1031">
        <v>11</v>
      </c>
      <c r="C1031" t="s">
        <v>40</v>
      </c>
      <c r="D1031">
        <v>2014</v>
      </c>
    </row>
    <row r="1032" spans="1:4" x14ac:dyDescent="0.3">
      <c r="A1032" s="1">
        <v>41974</v>
      </c>
      <c r="B1032">
        <v>12</v>
      </c>
      <c r="C1032" t="s">
        <v>27</v>
      </c>
      <c r="D1032">
        <v>2014</v>
      </c>
    </row>
    <row r="1033" spans="1:4" x14ac:dyDescent="0.3">
      <c r="A1033" s="1">
        <v>41609</v>
      </c>
      <c r="B1033">
        <v>12</v>
      </c>
      <c r="C1033" t="s">
        <v>27</v>
      </c>
      <c r="D1033">
        <v>2013</v>
      </c>
    </row>
    <row r="1034" spans="1:4" x14ac:dyDescent="0.3">
      <c r="A1034" s="1">
        <v>41640</v>
      </c>
      <c r="B1034">
        <v>1</v>
      </c>
      <c r="C1034" t="s">
        <v>21</v>
      </c>
      <c r="D1034">
        <v>2014</v>
      </c>
    </row>
    <row r="1035" spans="1:4" x14ac:dyDescent="0.3">
      <c r="A1035" s="1">
        <v>41730</v>
      </c>
      <c r="B1035">
        <v>4</v>
      </c>
      <c r="C1035" t="s">
        <v>43</v>
      </c>
      <c r="D1035">
        <v>2014</v>
      </c>
    </row>
    <row r="1036" spans="1:4" x14ac:dyDescent="0.3">
      <c r="A1036" s="1">
        <v>41760</v>
      </c>
      <c r="B1036">
        <v>5</v>
      </c>
      <c r="C1036" t="s">
        <v>46</v>
      </c>
      <c r="D1036">
        <v>2014</v>
      </c>
    </row>
    <row r="1037" spans="1:4" x14ac:dyDescent="0.3">
      <c r="A1037" s="1">
        <v>41883</v>
      </c>
      <c r="B1037">
        <v>9</v>
      </c>
      <c r="C1037" t="s">
        <v>35</v>
      </c>
      <c r="D1037">
        <v>2014</v>
      </c>
    </row>
    <row r="1038" spans="1:4" x14ac:dyDescent="0.3">
      <c r="A1038" s="1">
        <v>41548</v>
      </c>
      <c r="B1038">
        <v>10</v>
      </c>
      <c r="C1038" t="s">
        <v>36</v>
      </c>
      <c r="D1038">
        <v>2013</v>
      </c>
    </row>
    <row r="1039" spans="1:4" x14ac:dyDescent="0.3">
      <c r="A1039" s="1">
        <v>41974</v>
      </c>
      <c r="B1039">
        <v>12</v>
      </c>
      <c r="C1039" t="s">
        <v>27</v>
      </c>
      <c r="D1039">
        <v>2014</v>
      </c>
    </row>
    <row r="1040" spans="1:4" x14ac:dyDescent="0.3">
      <c r="A1040" s="1">
        <v>41671</v>
      </c>
      <c r="B1040">
        <v>2</v>
      </c>
      <c r="C1040" t="s">
        <v>39</v>
      </c>
      <c r="D1040">
        <v>2014</v>
      </c>
    </row>
    <row r="1041" spans="1:4" x14ac:dyDescent="0.3">
      <c r="A1041" s="1">
        <v>41518</v>
      </c>
      <c r="B1041">
        <v>9</v>
      </c>
      <c r="C1041" t="s">
        <v>35</v>
      </c>
      <c r="D1041">
        <v>2013</v>
      </c>
    </row>
    <row r="1042" spans="1:4" x14ac:dyDescent="0.3">
      <c r="A1042" s="1">
        <v>41548</v>
      </c>
      <c r="B1042">
        <v>10</v>
      </c>
      <c r="C1042" t="s">
        <v>36</v>
      </c>
      <c r="D1042">
        <v>2013</v>
      </c>
    </row>
    <row r="1043" spans="1:4" x14ac:dyDescent="0.3">
      <c r="A1043" s="1">
        <v>41913</v>
      </c>
      <c r="B1043">
        <v>10</v>
      </c>
      <c r="C1043" t="s">
        <v>36</v>
      </c>
      <c r="D1043">
        <v>2014</v>
      </c>
    </row>
    <row r="1044" spans="1:4" x14ac:dyDescent="0.3">
      <c r="A1044" s="1">
        <v>41913</v>
      </c>
      <c r="B1044">
        <v>10</v>
      </c>
      <c r="C1044" t="s">
        <v>36</v>
      </c>
      <c r="D1044">
        <v>2014</v>
      </c>
    </row>
    <row r="1045" spans="1:4" x14ac:dyDescent="0.3">
      <c r="A1045" s="1">
        <v>41944</v>
      </c>
      <c r="B1045">
        <v>11</v>
      </c>
      <c r="C1045" t="s">
        <v>40</v>
      </c>
      <c r="D1045">
        <v>2014</v>
      </c>
    </row>
    <row r="1046" spans="1:4" x14ac:dyDescent="0.3">
      <c r="A1046" s="1">
        <v>41579</v>
      </c>
      <c r="B1046">
        <v>11</v>
      </c>
      <c r="C1046" t="s">
        <v>40</v>
      </c>
      <c r="D1046">
        <v>2013</v>
      </c>
    </row>
    <row r="1047" spans="1:4" x14ac:dyDescent="0.3">
      <c r="A1047" s="1">
        <v>41944</v>
      </c>
      <c r="B1047">
        <v>11</v>
      </c>
      <c r="C1047" t="s">
        <v>40</v>
      </c>
      <c r="D1047">
        <v>2014</v>
      </c>
    </row>
    <row r="1048" spans="1:4" x14ac:dyDescent="0.3">
      <c r="A1048" s="1">
        <v>41579</v>
      </c>
      <c r="B1048">
        <v>11</v>
      </c>
      <c r="C1048" t="s">
        <v>40</v>
      </c>
      <c r="D1048">
        <v>2013</v>
      </c>
    </row>
    <row r="1049" spans="1:4" x14ac:dyDescent="0.3">
      <c r="A1049" s="1">
        <v>41671</v>
      </c>
      <c r="B1049">
        <v>2</v>
      </c>
      <c r="C1049" t="s">
        <v>39</v>
      </c>
      <c r="D1049">
        <v>2014</v>
      </c>
    </row>
    <row r="1050" spans="1:4" x14ac:dyDescent="0.3">
      <c r="A1050" s="1">
        <v>41730</v>
      </c>
      <c r="B1050">
        <v>4</v>
      </c>
      <c r="C1050" t="s">
        <v>43</v>
      </c>
      <c r="D1050">
        <v>2014</v>
      </c>
    </row>
    <row r="1051" spans="1:4" x14ac:dyDescent="0.3">
      <c r="A1051" s="1">
        <v>41821</v>
      </c>
      <c r="B1051">
        <v>7</v>
      </c>
      <c r="C1051" t="s">
        <v>32</v>
      </c>
      <c r="D1051">
        <v>2014</v>
      </c>
    </row>
    <row r="1052" spans="1:4" x14ac:dyDescent="0.3">
      <c r="A1052" s="1">
        <v>41548</v>
      </c>
      <c r="B1052">
        <v>10</v>
      </c>
      <c r="C1052" t="s">
        <v>36</v>
      </c>
      <c r="D1052">
        <v>2013</v>
      </c>
    </row>
    <row r="1053" spans="1:4" x14ac:dyDescent="0.3">
      <c r="A1053" s="1">
        <v>41579</v>
      </c>
      <c r="B1053">
        <v>11</v>
      </c>
      <c r="C1053" t="s">
        <v>40</v>
      </c>
      <c r="D1053">
        <v>2013</v>
      </c>
    </row>
    <row r="1054" spans="1:4" x14ac:dyDescent="0.3">
      <c r="A1054" s="1">
        <v>41699</v>
      </c>
      <c r="B1054">
        <v>3</v>
      </c>
      <c r="C1054" t="s">
        <v>29</v>
      </c>
      <c r="D1054">
        <v>2014</v>
      </c>
    </row>
    <row r="1055" spans="1:4" x14ac:dyDescent="0.3">
      <c r="A1055" s="1">
        <v>41852</v>
      </c>
      <c r="B1055">
        <v>8</v>
      </c>
      <c r="C1055" t="s">
        <v>34</v>
      </c>
      <c r="D1055">
        <v>2014</v>
      </c>
    </row>
    <row r="1056" spans="1:4" x14ac:dyDescent="0.3">
      <c r="A1056" s="1">
        <v>41548</v>
      </c>
      <c r="B1056">
        <v>10</v>
      </c>
      <c r="C1056" t="s">
        <v>36</v>
      </c>
      <c r="D1056">
        <v>2013</v>
      </c>
    </row>
    <row r="1057" spans="1:4" x14ac:dyDescent="0.3">
      <c r="A1057" s="1">
        <v>41913</v>
      </c>
      <c r="B1057">
        <v>10</v>
      </c>
      <c r="C1057" t="s">
        <v>36</v>
      </c>
      <c r="D1057">
        <v>2014</v>
      </c>
    </row>
    <row r="1058" spans="1:4" x14ac:dyDescent="0.3">
      <c r="A1058" s="1">
        <v>41913</v>
      </c>
      <c r="B1058">
        <v>10</v>
      </c>
      <c r="C1058" t="s">
        <v>36</v>
      </c>
      <c r="D1058">
        <v>2014</v>
      </c>
    </row>
    <row r="1059" spans="1:4" x14ac:dyDescent="0.3">
      <c r="A1059" s="1">
        <v>41609</v>
      </c>
      <c r="B1059">
        <v>12</v>
      </c>
      <c r="C1059" t="s">
        <v>27</v>
      </c>
      <c r="D1059">
        <v>2013</v>
      </c>
    </row>
    <row r="1060" spans="1:4" x14ac:dyDescent="0.3">
      <c r="A1060" s="1">
        <v>41699</v>
      </c>
      <c r="B1060">
        <v>3</v>
      </c>
      <c r="C1060" t="s">
        <v>29</v>
      </c>
      <c r="D1060">
        <v>2014</v>
      </c>
    </row>
    <row r="1061" spans="1:4" x14ac:dyDescent="0.3">
      <c r="A1061" s="1">
        <v>41760</v>
      </c>
      <c r="B1061">
        <v>5</v>
      </c>
      <c r="C1061" t="s">
        <v>46</v>
      </c>
      <c r="D1061">
        <v>2014</v>
      </c>
    </row>
    <row r="1062" spans="1:4" x14ac:dyDescent="0.3">
      <c r="A1062" s="1">
        <v>41852</v>
      </c>
      <c r="B1062">
        <v>8</v>
      </c>
      <c r="C1062" t="s">
        <v>34</v>
      </c>
      <c r="D1062">
        <v>2014</v>
      </c>
    </row>
    <row r="1063" spans="1:4" x14ac:dyDescent="0.3">
      <c r="A1063" s="1">
        <v>41548</v>
      </c>
      <c r="B1063">
        <v>10</v>
      </c>
      <c r="C1063" t="s">
        <v>36</v>
      </c>
      <c r="D1063">
        <v>2013</v>
      </c>
    </row>
    <row r="1064" spans="1:4" x14ac:dyDescent="0.3">
      <c r="A1064" s="1">
        <v>41913</v>
      </c>
      <c r="B1064">
        <v>10</v>
      </c>
      <c r="C1064" t="s">
        <v>36</v>
      </c>
      <c r="D1064">
        <v>2014</v>
      </c>
    </row>
    <row r="1065" spans="1:4" x14ac:dyDescent="0.3">
      <c r="A1065" s="1">
        <v>41913</v>
      </c>
      <c r="B1065">
        <v>10</v>
      </c>
      <c r="C1065" t="s">
        <v>36</v>
      </c>
      <c r="D1065">
        <v>2014</v>
      </c>
    </row>
    <row r="1066" spans="1:4" x14ac:dyDescent="0.3">
      <c r="A1066" s="1">
        <v>41548</v>
      </c>
      <c r="B1066">
        <v>10</v>
      </c>
      <c r="C1066" t="s">
        <v>36</v>
      </c>
      <c r="D1066">
        <v>2013</v>
      </c>
    </row>
    <row r="1067" spans="1:4" x14ac:dyDescent="0.3">
      <c r="A1067" s="1">
        <v>41579</v>
      </c>
      <c r="B1067">
        <v>11</v>
      </c>
      <c r="C1067" t="s">
        <v>40</v>
      </c>
      <c r="D1067">
        <v>2013</v>
      </c>
    </row>
    <row r="1068" spans="1:4" x14ac:dyDescent="0.3">
      <c r="A1068" s="1">
        <v>41852</v>
      </c>
      <c r="B1068">
        <v>8</v>
      </c>
      <c r="C1068" t="s">
        <v>34</v>
      </c>
      <c r="D1068">
        <v>2014</v>
      </c>
    </row>
    <row r="1069" spans="1:4" x14ac:dyDescent="0.3">
      <c r="A1069" s="1">
        <v>41852</v>
      </c>
      <c r="B1069">
        <v>8</v>
      </c>
      <c r="C1069" t="s">
        <v>34</v>
      </c>
      <c r="D1069">
        <v>2014</v>
      </c>
    </row>
    <row r="1070" spans="1:4" x14ac:dyDescent="0.3">
      <c r="A1070" s="1">
        <v>41913</v>
      </c>
      <c r="B1070">
        <v>10</v>
      </c>
      <c r="C1070" t="s">
        <v>36</v>
      </c>
      <c r="D1070">
        <v>2014</v>
      </c>
    </row>
    <row r="1071" spans="1:4" x14ac:dyDescent="0.3">
      <c r="A1071" s="1">
        <v>41913</v>
      </c>
      <c r="B1071">
        <v>10</v>
      </c>
      <c r="C1071" t="s">
        <v>36</v>
      </c>
      <c r="D1071">
        <v>2014</v>
      </c>
    </row>
    <row r="1072" spans="1:4" x14ac:dyDescent="0.3">
      <c r="A1072" s="1">
        <v>41699</v>
      </c>
      <c r="B1072">
        <v>3</v>
      </c>
      <c r="C1072" t="s">
        <v>29</v>
      </c>
      <c r="D1072">
        <v>2014</v>
      </c>
    </row>
    <row r="1073" spans="1:4" x14ac:dyDescent="0.3">
      <c r="A1073" s="1">
        <v>41730</v>
      </c>
      <c r="B1073">
        <v>4</v>
      </c>
      <c r="C1073" t="s">
        <v>43</v>
      </c>
      <c r="D1073">
        <v>2014</v>
      </c>
    </row>
    <row r="1074" spans="1:4" x14ac:dyDescent="0.3">
      <c r="A1074" s="1">
        <v>41730</v>
      </c>
      <c r="B1074">
        <v>4</v>
      </c>
      <c r="C1074" t="s">
        <v>43</v>
      </c>
      <c r="D1074">
        <v>2014</v>
      </c>
    </row>
    <row r="1075" spans="1:4" x14ac:dyDescent="0.3">
      <c r="A1075" s="1">
        <v>41760</v>
      </c>
      <c r="B1075">
        <v>5</v>
      </c>
      <c r="C1075" t="s">
        <v>46</v>
      </c>
      <c r="D1075">
        <v>2014</v>
      </c>
    </row>
    <row r="1076" spans="1:4" x14ac:dyDescent="0.3">
      <c r="A1076" s="1">
        <v>41852</v>
      </c>
      <c r="B1076">
        <v>8</v>
      </c>
      <c r="C1076" t="s">
        <v>34</v>
      </c>
      <c r="D1076">
        <v>2014</v>
      </c>
    </row>
    <row r="1077" spans="1:4" x14ac:dyDescent="0.3">
      <c r="A1077" s="1">
        <v>41548</v>
      </c>
      <c r="B1077">
        <v>10</v>
      </c>
      <c r="C1077" t="s">
        <v>36</v>
      </c>
      <c r="D1077">
        <v>2013</v>
      </c>
    </row>
    <row r="1078" spans="1:4" x14ac:dyDescent="0.3">
      <c r="A1078" s="1">
        <v>41913</v>
      </c>
      <c r="B1078">
        <v>10</v>
      </c>
      <c r="C1078" t="s">
        <v>36</v>
      </c>
      <c r="D1078">
        <v>2014</v>
      </c>
    </row>
    <row r="1079" spans="1:4" x14ac:dyDescent="0.3">
      <c r="A1079" s="1">
        <v>41913</v>
      </c>
      <c r="B1079">
        <v>10</v>
      </c>
      <c r="C1079" t="s">
        <v>36</v>
      </c>
      <c r="D1079">
        <v>2014</v>
      </c>
    </row>
    <row r="1080" spans="1:4" x14ac:dyDescent="0.3">
      <c r="A1080" s="1">
        <v>41579</v>
      </c>
      <c r="B1080">
        <v>11</v>
      </c>
      <c r="C1080" t="s">
        <v>40</v>
      </c>
      <c r="D1080">
        <v>2013</v>
      </c>
    </row>
    <row r="1081" spans="1:4" x14ac:dyDescent="0.3">
      <c r="A1081" s="1">
        <v>41579</v>
      </c>
      <c r="B1081">
        <v>11</v>
      </c>
      <c r="C1081" t="s">
        <v>40</v>
      </c>
      <c r="D1081">
        <v>2013</v>
      </c>
    </row>
    <row r="1082" spans="1:4" x14ac:dyDescent="0.3">
      <c r="A1082" s="1">
        <v>41974</v>
      </c>
      <c r="B1082">
        <v>12</v>
      </c>
      <c r="C1082" t="s">
        <v>27</v>
      </c>
      <c r="D1082">
        <v>2014</v>
      </c>
    </row>
    <row r="1083" spans="1:4" x14ac:dyDescent="0.3">
      <c r="A1083" s="1">
        <f ca="1">RANDBETWEEN(DATE(2014,12,31),DATE(2016,21,31))</f>
        <v>42270</v>
      </c>
      <c r="B1083">
        <f ca="1">MONTH(A1083)</f>
        <v>9</v>
      </c>
      <c r="C1083" t="str">
        <f ca="1">TEXT(A1083,"mmmm")</f>
        <v>September</v>
      </c>
      <c r="D1083">
        <f ca="1">YEAR(A1083)</f>
        <v>2015</v>
      </c>
    </row>
    <row r="1084" spans="1:4" x14ac:dyDescent="0.3">
      <c r="A1084" s="1">
        <f t="shared" ref="A1084:A1147" ca="1" si="0">RANDBETWEEN(DATE(2014,12,31),DATE(2016,21,31))</f>
        <v>42358</v>
      </c>
      <c r="B1084">
        <f t="shared" ref="B1084:B1147" ca="1" si="1">MONTH(A1084)</f>
        <v>12</v>
      </c>
      <c r="C1084" t="str">
        <f t="shared" ref="C1084:C1147" ca="1" si="2">TEXT(A1084,"mmmm")</f>
        <v>December</v>
      </c>
      <c r="D1084">
        <f t="shared" ref="D1084:D1147" ca="1" si="3">YEAR(A1084)</f>
        <v>2015</v>
      </c>
    </row>
    <row r="1085" spans="1:4" x14ac:dyDescent="0.3">
      <c r="A1085" s="1">
        <f t="shared" ca="1" si="0"/>
        <v>42102</v>
      </c>
      <c r="B1085">
        <f t="shared" ca="1" si="1"/>
        <v>4</v>
      </c>
      <c r="C1085" t="str">
        <f t="shared" ca="1" si="2"/>
        <v>April</v>
      </c>
      <c r="D1085">
        <f t="shared" ca="1" si="3"/>
        <v>2015</v>
      </c>
    </row>
    <row r="1086" spans="1:4" x14ac:dyDescent="0.3">
      <c r="A1086" s="1">
        <f t="shared" ca="1" si="0"/>
        <v>42666</v>
      </c>
      <c r="B1086">
        <f t="shared" ca="1" si="1"/>
        <v>10</v>
      </c>
      <c r="C1086" t="str">
        <f t="shared" ca="1" si="2"/>
        <v>October</v>
      </c>
      <c r="D1086">
        <f t="shared" ca="1" si="3"/>
        <v>2016</v>
      </c>
    </row>
    <row r="1087" spans="1:4" x14ac:dyDescent="0.3">
      <c r="A1087" s="1">
        <f t="shared" ca="1" si="0"/>
        <v>42662</v>
      </c>
      <c r="B1087">
        <f t="shared" ca="1" si="1"/>
        <v>10</v>
      </c>
      <c r="C1087" t="str">
        <f t="shared" ca="1" si="2"/>
        <v>October</v>
      </c>
      <c r="D1087">
        <f t="shared" ca="1" si="3"/>
        <v>2016</v>
      </c>
    </row>
    <row r="1088" spans="1:4" x14ac:dyDescent="0.3">
      <c r="A1088" s="1">
        <f t="shared" ca="1" si="0"/>
        <v>42746</v>
      </c>
      <c r="B1088">
        <f t="shared" ca="1" si="1"/>
        <v>1</v>
      </c>
      <c r="C1088" t="str">
        <f t="shared" ca="1" si="2"/>
        <v>January</v>
      </c>
      <c r="D1088">
        <f t="shared" ca="1" si="3"/>
        <v>2017</v>
      </c>
    </row>
    <row r="1089" spans="1:4" x14ac:dyDescent="0.3">
      <c r="A1089" s="1">
        <f t="shared" ca="1" si="0"/>
        <v>42945</v>
      </c>
      <c r="B1089">
        <f t="shared" ca="1" si="1"/>
        <v>7</v>
      </c>
      <c r="C1089" t="str">
        <f t="shared" ca="1" si="2"/>
        <v>July</v>
      </c>
      <c r="D1089">
        <f t="shared" ca="1" si="3"/>
        <v>2017</v>
      </c>
    </row>
    <row r="1090" spans="1:4" x14ac:dyDescent="0.3">
      <c r="A1090" s="1">
        <f t="shared" ca="1" si="0"/>
        <v>42175</v>
      </c>
      <c r="B1090">
        <f t="shared" ca="1" si="1"/>
        <v>6</v>
      </c>
      <c r="C1090" t="str">
        <f t="shared" ca="1" si="2"/>
        <v>June</v>
      </c>
      <c r="D1090">
        <f t="shared" ca="1" si="3"/>
        <v>2015</v>
      </c>
    </row>
    <row r="1091" spans="1:4" x14ac:dyDescent="0.3">
      <c r="A1091" s="1">
        <f t="shared" ca="1" si="0"/>
        <v>42806</v>
      </c>
      <c r="B1091">
        <f t="shared" ca="1" si="1"/>
        <v>3</v>
      </c>
      <c r="C1091" t="str">
        <f t="shared" ca="1" si="2"/>
        <v>March</v>
      </c>
      <c r="D1091">
        <f t="shared" ca="1" si="3"/>
        <v>2017</v>
      </c>
    </row>
    <row r="1092" spans="1:4" x14ac:dyDescent="0.3">
      <c r="A1092" s="1">
        <f t="shared" ca="1" si="0"/>
        <v>42932</v>
      </c>
      <c r="B1092">
        <f t="shared" ca="1" si="1"/>
        <v>7</v>
      </c>
      <c r="C1092" t="str">
        <f t="shared" ca="1" si="2"/>
        <v>July</v>
      </c>
      <c r="D1092">
        <f t="shared" ca="1" si="3"/>
        <v>2017</v>
      </c>
    </row>
    <row r="1093" spans="1:4" x14ac:dyDescent="0.3">
      <c r="A1093" s="1">
        <f t="shared" ca="1" si="0"/>
        <v>42386</v>
      </c>
      <c r="B1093">
        <f t="shared" ca="1" si="1"/>
        <v>1</v>
      </c>
      <c r="C1093" t="str">
        <f t="shared" ca="1" si="2"/>
        <v>January</v>
      </c>
      <c r="D1093">
        <f t="shared" ca="1" si="3"/>
        <v>2016</v>
      </c>
    </row>
    <row r="1094" spans="1:4" x14ac:dyDescent="0.3">
      <c r="A1094" s="1">
        <f t="shared" ca="1" si="0"/>
        <v>42770</v>
      </c>
      <c r="B1094">
        <f t="shared" ca="1" si="1"/>
        <v>2</v>
      </c>
      <c r="C1094" t="str">
        <f t="shared" ca="1" si="2"/>
        <v>February</v>
      </c>
      <c r="D1094">
        <f t="shared" ca="1" si="3"/>
        <v>2017</v>
      </c>
    </row>
    <row r="1095" spans="1:4" x14ac:dyDescent="0.3">
      <c r="A1095" s="1">
        <f t="shared" ca="1" si="0"/>
        <v>42072</v>
      </c>
      <c r="B1095">
        <f t="shared" ca="1" si="1"/>
        <v>3</v>
      </c>
      <c r="C1095" t="str">
        <f t="shared" ca="1" si="2"/>
        <v>March</v>
      </c>
      <c r="D1095">
        <f t="shared" ca="1" si="3"/>
        <v>2015</v>
      </c>
    </row>
    <row r="1096" spans="1:4" x14ac:dyDescent="0.3">
      <c r="A1096" s="1">
        <f t="shared" ca="1" si="0"/>
        <v>42696</v>
      </c>
      <c r="B1096">
        <f t="shared" ca="1" si="1"/>
        <v>11</v>
      </c>
      <c r="C1096" t="str">
        <f t="shared" ca="1" si="2"/>
        <v>November</v>
      </c>
      <c r="D1096">
        <f t="shared" ca="1" si="3"/>
        <v>2016</v>
      </c>
    </row>
    <row r="1097" spans="1:4" x14ac:dyDescent="0.3">
      <c r="A1097" s="1">
        <f t="shared" ca="1" si="0"/>
        <v>42874</v>
      </c>
      <c r="B1097">
        <f t="shared" ca="1" si="1"/>
        <v>5</v>
      </c>
      <c r="C1097" t="str">
        <f t="shared" ca="1" si="2"/>
        <v>May</v>
      </c>
      <c r="D1097">
        <f t="shared" ca="1" si="3"/>
        <v>2017</v>
      </c>
    </row>
    <row r="1098" spans="1:4" x14ac:dyDescent="0.3">
      <c r="A1098" s="1">
        <f t="shared" ca="1" si="0"/>
        <v>42504</v>
      </c>
      <c r="B1098">
        <f t="shared" ca="1" si="1"/>
        <v>5</v>
      </c>
      <c r="C1098" t="str">
        <f t="shared" ca="1" si="2"/>
        <v>May</v>
      </c>
      <c r="D1098">
        <f t="shared" ca="1" si="3"/>
        <v>2016</v>
      </c>
    </row>
    <row r="1099" spans="1:4" x14ac:dyDescent="0.3">
      <c r="A1099" s="1">
        <f t="shared" ca="1" si="0"/>
        <v>42812</v>
      </c>
      <c r="B1099">
        <f t="shared" ca="1" si="1"/>
        <v>3</v>
      </c>
      <c r="C1099" t="str">
        <f t="shared" ca="1" si="2"/>
        <v>March</v>
      </c>
      <c r="D1099">
        <f t="shared" ca="1" si="3"/>
        <v>2017</v>
      </c>
    </row>
    <row r="1100" spans="1:4" x14ac:dyDescent="0.3">
      <c r="A1100" s="1">
        <f t="shared" ca="1" si="0"/>
        <v>42587</v>
      </c>
      <c r="B1100">
        <f t="shared" ca="1" si="1"/>
        <v>8</v>
      </c>
      <c r="C1100" t="str">
        <f t="shared" ca="1" si="2"/>
        <v>August</v>
      </c>
      <c r="D1100">
        <f t="shared" ca="1" si="3"/>
        <v>2016</v>
      </c>
    </row>
    <row r="1101" spans="1:4" x14ac:dyDescent="0.3">
      <c r="A1101" s="1">
        <f t="shared" ca="1" si="0"/>
        <v>42124</v>
      </c>
      <c r="B1101">
        <f t="shared" ca="1" si="1"/>
        <v>4</v>
      </c>
      <c r="C1101" t="str">
        <f t="shared" ca="1" si="2"/>
        <v>April</v>
      </c>
      <c r="D1101">
        <f t="shared" ca="1" si="3"/>
        <v>2015</v>
      </c>
    </row>
    <row r="1102" spans="1:4" x14ac:dyDescent="0.3">
      <c r="A1102" s="1">
        <f t="shared" ca="1" si="0"/>
        <v>42077</v>
      </c>
      <c r="B1102">
        <f t="shared" ca="1" si="1"/>
        <v>3</v>
      </c>
      <c r="C1102" t="str">
        <f t="shared" ca="1" si="2"/>
        <v>March</v>
      </c>
      <c r="D1102">
        <f t="shared" ca="1" si="3"/>
        <v>2015</v>
      </c>
    </row>
    <row r="1103" spans="1:4" x14ac:dyDescent="0.3">
      <c r="A1103" s="1">
        <f t="shared" ca="1" si="0"/>
        <v>42612</v>
      </c>
      <c r="B1103">
        <f t="shared" ca="1" si="1"/>
        <v>8</v>
      </c>
      <c r="C1103" t="str">
        <f t="shared" ca="1" si="2"/>
        <v>August</v>
      </c>
      <c r="D1103">
        <f t="shared" ca="1" si="3"/>
        <v>2016</v>
      </c>
    </row>
    <row r="1104" spans="1:4" x14ac:dyDescent="0.3">
      <c r="A1104" s="1">
        <f t="shared" ca="1" si="0"/>
        <v>42694</v>
      </c>
      <c r="B1104">
        <f t="shared" ca="1" si="1"/>
        <v>11</v>
      </c>
      <c r="C1104" t="str">
        <f t="shared" ca="1" si="2"/>
        <v>November</v>
      </c>
      <c r="D1104">
        <f t="shared" ca="1" si="3"/>
        <v>2016</v>
      </c>
    </row>
    <row r="1105" spans="1:4" x14ac:dyDescent="0.3">
      <c r="A1105" s="1">
        <f t="shared" ca="1" si="0"/>
        <v>42748</v>
      </c>
      <c r="B1105">
        <f t="shared" ca="1" si="1"/>
        <v>1</v>
      </c>
      <c r="C1105" t="str">
        <f t="shared" ca="1" si="2"/>
        <v>January</v>
      </c>
      <c r="D1105">
        <f t="shared" ca="1" si="3"/>
        <v>2017</v>
      </c>
    </row>
    <row r="1106" spans="1:4" x14ac:dyDescent="0.3">
      <c r="A1106" s="1">
        <f t="shared" ca="1" si="0"/>
        <v>42543</v>
      </c>
      <c r="B1106">
        <f t="shared" ca="1" si="1"/>
        <v>6</v>
      </c>
      <c r="C1106" t="str">
        <f t="shared" ca="1" si="2"/>
        <v>June</v>
      </c>
      <c r="D1106">
        <f t="shared" ca="1" si="3"/>
        <v>2016</v>
      </c>
    </row>
    <row r="1107" spans="1:4" x14ac:dyDescent="0.3">
      <c r="A1107" s="1">
        <f t="shared" ca="1" si="0"/>
        <v>42112</v>
      </c>
      <c r="B1107">
        <f t="shared" ca="1" si="1"/>
        <v>4</v>
      </c>
      <c r="C1107" t="str">
        <f t="shared" ca="1" si="2"/>
        <v>April</v>
      </c>
      <c r="D1107">
        <f t="shared" ca="1" si="3"/>
        <v>2015</v>
      </c>
    </row>
    <row r="1108" spans="1:4" x14ac:dyDescent="0.3">
      <c r="A1108" s="1">
        <f t="shared" ca="1" si="0"/>
        <v>42974</v>
      </c>
      <c r="B1108">
        <f t="shared" ca="1" si="1"/>
        <v>8</v>
      </c>
      <c r="C1108" t="str">
        <f t="shared" ca="1" si="2"/>
        <v>August</v>
      </c>
      <c r="D1108">
        <f t="shared" ca="1" si="3"/>
        <v>2017</v>
      </c>
    </row>
    <row r="1109" spans="1:4" x14ac:dyDescent="0.3">
      <c r="A1109" s="1">
        <f t="shared" ca="1" si="0"/>
        <v>42966</v>
      </c>
      <c r="B1109">
        <f t="shared" ca="1" si="1"/>
        <v>8</v>
      </c>
      <c r="C1109" t="str">
        <f t="shared" ca="1" si="2"/>
        <v>August</v>
      </c>
      <c r="D1109">
        <f t="shared" ca="1" si="3"/>
        <v>2017</v>
      </c>
    </row>
    <row r="1110" spans="1:4" x14ac:dyDescent="0.3">
      <c r="A1110" s="1">
        <f t="shared" ca="1" si="0"/>
        <v>42691</v>
      </c>
      <c r="B1110">
        <f t="shared" ca="1" si="1"/>
        <v>11</v>
      </c>
      <c r="C1110" t="str">
        <f t="shared" ca="1" si="2"/>
        <v>November</v>
      </c>
      <c r="D1110">
        <f t="shared" ca="1" si="3"/>
        <v>2016</v>
      </c>
    </row>
    <row r="1111" spans="1:4" x14ac:dyDescent="0.3">
      <c r="A1111" s="1">
        <f t="shared" ca="1" si="0"/>
        <v>42627</v>
      </c>
      <c r="B1111">
        <f t="shared" ca="1" si="1"/>
        <v>9</v>
      </c>
      <c r="C1111" t="str">
        <f t="shared" ca="1" si="2"/>
        <v>September</v>
      </c>
      <c r="D1111">
        <f t="shared" ca="1" si="3"/>
        <v>2016</v>
      </c>
    </row>
    <row r="1112" spans="1:4" x14ac:dyDescent="0.3">
      <c r="A1112" s="1">
        <f t="shared" ca="1" si="0"/>
        <v>42978</v>
      </c>
      <c r="B1112">
        <f t="shared" ca="1" si="1"/>
        <v>8</v>
      </c>
      <c r="C1112" t="str">
        <f t="shared" ca="1" si="2"/>
        <v>August</v>
      </c>
      <c r="D1112">
        <f t="shared" ca="1" si="3"/>
        <v>2017</v>
      </c>
    </row>
    <row r="1113" spans="1:4" x14ac:dyDescent="0.3">
      <c r="A1113" s="1">
        <f t="shared" ca="1" si="0"/>
        <v>42206</v>
      </c>
      <c r="B1113">
        <f t="shared" ca="1" si="1"/>
        <v>7</v>
      </c>
      <c r="C1113" t="str">
        <f t="shared" ca="1" si="2"/>
        <v>July</v>
      </c>
      <c r="D1113">
        <f t="shared" ca="1" si="3"/>
        <v>2015</v>
      </c>
    </row>
    <row r="1114" spans="1:4" x14ac:dyDescent="0.3">
      <c r="A1114" s="1">
        <f t="shared" ca="1" si="0"/>
        <v>42792</v>
      </c>
      <c r="B1114">
        <f t="shared" ca="1" si="1"/>
        <v>2</v>
      </c>
      <c r="C1114" t="str">
        <f t="shared" ca="1" si="2"/>
        <v>February</v>
      </c>
      <c r="D1114">
        <f t="shared" ca="1" si="3"/>
        <v>2017</v>
      </c>
    </row>
    <row r="1115" spans="1:4" x14ac:dyDescent="0.3">
      <c r="A1115" s="1">
        <f t="shared" ca="1" si="0"/>
        <v>42512</v>
      </c>
      <c r="B1115">
        <f t="shared" ca="1" si="1"/>
        <v>5</v>
      </c>
      <c r="C1115" t="str">
        <f t="shared" ca="1" si="2"/>
        <v>May</v>
      </c>
      <c r="D1115">
        <f t="shared" ca="1" si="3"/>
        <v>2016</v>
      </c>
    </row>
    <row r="1116" spans="1:4" x14ac:dyDescent="0.3">
      <c r="A1116" s="1">
        <f t="shared" ca="1" si="0"/>
        <v>42787</v>
      </c>
      <c r="B1116">
        <f t="shared" ca="1" si="1"/>
        <v>2</v>
      </c>
      <c r="C1116" t="str">
        <f t="shared" ca="1" si="2"/>
        <v>February</v>
      </c>
      <c r="D1116">
        <f t="shared" ca="1" si="3"/>
        <v>2017</v>
      </c>
    </row>
    <row r="1117" spans="1:4" x14ac:dyDescent="0.3">
      <c r="A1117" s="1">
        <f t="shared" ca="1" si="0"/>
        <v>42220</v>
      </c>
      <c r="B1117">
        <f t="shared" ca="1" si="1"/>
        <v>8</v>
      </c>
      <c r="C1117" t="str">
        <f t="shared" ca="1" si="2"/>
        <v>August</v>
      </c>
      <c r="D1117">
        <f t="shared" ca="1" si="3"/>
        <v>2015</v>
      </c>
    </row>
    <row r="1118" spans="1:4" x14ac:dyDescent="0.3">
      <c r="A1118" s="1">
        <f t="shared" ca="1" si="0"/>
        <v>42658</v>
      </c>
      <c r="B1118">
        <f t="shared" ca="1" si="1"/>
        <v>10</v>
      </c>
      <c r="C1118" t="str">
        <f t="shared" ca="1" si="2"/>
        <v>October</v>
      </c>
      <c r="D1118">
        <f t="shared" ca="1" si="3"/>
        <v>2016</v>
      </c>
    </row>
    <row r="1119" spans="1:4" x14ac:dyDescent="0.3">
      <c r="A1119" s="1">
        <f t="shared" ca="1" si="0"/>
        <v>42717</v>
      </c>
      <c r="B1119">
        <f t="shared" ca="1" si="1"/>
        <v>12</v>
      </c>
      <c r="C1119" t="str">
        <f t="shared" ca="1" si="2"/>
        <v>December</v>
      </c>
      <c r="D1119">
        <f t="shared" ca="1" si="3"/>
        <v>2016</v>
      </c>
    </row>
    <row r="1120" spans="1:4" x14ac:dyDescent="0.3">
      <c r="A1120" s="1">
        <f t="shared" ca="1" si="0"/>
        <v>42837</v>
      </c>
      <c r="B1120">
        <f t="shared" ca="1" si="1"/>
        <v>4</v>
      </c>
      <c r="C1120" t="str">
        <f t="shared" ca="1" si="2"/>
        <v>April</v>
      </c>
      <c r="D1120">
        <f t="shared" ca="1" si="3"/>
        <v>2017</v>
      </c>
    </row>
    <row r="1121" spans="1:4" x14ac:dyDescent="0.3">
      <c r="A1121" s="1">
        <f t="shared" ca="1" si="0"/>
        <v>42822</v>
      </c>
      <c r="B1121">
        <f t="shared" ca="1" si="1"/>
        <v>3</v>
      </c>
      <c r="C1121" t="str">
        <f t="shared" ca="1" si="2"/>
        <v>March</v>
      </c>
      <c r="D1121">
        <f t="shared" ca="1" si="3"/>
        <v>2017</v>
      </c>
    </row>
    <row r="1122" spans="1:4" x14ac:dyDescent="0.3">
      <c r="A1122" s="1">
        <f t="shared" ca="1" si="0"/>
        <v>42957</v>
      </c>
      <c r="B1122">
        <f t="shared" ca="1" si="1"/>
        <v>8</v>
      </c>
      <c r="C1122" t="str">
        <f t="shared" ca="1" si="2"/>
        <v>August</v>
      </c>
      <c r="D1122">
        <f t="shared" ca="1" si="3"/>
        <v>2017</v>
      </c>
    </row>
    <row r="1123" spans="1:4" x14ac:dyDescent="0.3">
      <c r="A1123" s="1">
        <f t="shared" ca="1" si="0"/>
        <v>42273</v>
      </c>
      <c r="B1123">
        <f t="shared" ca="1" si="1"/>
        <v>9</v>
      </c>
      <c r="C1123" t="str">
        <f t="shared" ca="1" si="2"/>
        <v>September</v>
      </c>
      <c r="D1123">
        <f t="shared" ca="1" si="3"/>
        <v>2015</v>
      </c>
    </row>
    <row r="1124" spans="1:4" x14ac:dyDescent="0.3">
      <c r="A1124" s="1">
        <f t="shared" ca="1" si="0"/>
        <v>42977</v>
      </c>
      <c r="B1124">
        <f t="shared" ca="1" si="1"/>
        <v>8</v>
      </c>
      <c r="C1124" t="str">
        <f t="shared" ca="1" si="2"/>
        <v>August</v>
      </c>
      <c r="D1124">
        <f t="shared" ca="1" si="3"/>
        <v>2017</v>
      </c>
    </row>
    <row r="1125" spans="1:4" x14ac:dyDescent="0.3">
      <c r="A1125" s="1">
        <f t="shared" ca="1" si="0"/>
        <v>42389</v>
      </c>
      <c r="B1125">
        <f t="shared" ca="1" si="1"/>
        <v>1</v>
      </c>
      <c r="C1125" t="str">
        <f t="shared" ca="1" si="2"/>
        <v>January</v>
      </c>
      <c r="D1125">
        <f t="shared" ca="1" si="3"/>
        <v>2016</v>
      </c>
    </row>
    <row r="1126" spans="1:4" x14ac:dyDescent="0.3">
      <c r="A1126" s="1">
        <f t="shared" ca="1" si="0"/>
        <v>42375</v>
      </c>
      <c r="B1126">
        <f t="shared" ca="1" si="1"/>
        <v>1</v>
      </c>
      <c r="C1126" t="str">
        <f t="shared" ca="1" si="2"/>
        <v>January</v>
      </c>
      <c r="D1126">
        <f t="shared" ca="1" si="3"/>
        <v>2016</v>
      </c>
    </row>
    <row r="1127" spans="1:4" x14ac:dyDescent="0.3">
      <c r="A1127" s="1">
        <f t="shared" ca="1" si="0"/>
        <v>42459</v>
      </c>
      <c r="B1127">
        <f t="shared" ca="1" si="1"/>
        <v>3</v>
      </c>
      <c r="C1127" t="str">
        <f t="shared" ca="1" si="2"/>
        <v>March</v>
      </c>
      <c r="D1127">
        <f t="shared" ca="1" si="3"/>
        <v>2016</v>
      </c>
    </row>
    <row r="1128" spans="1:4" x14ac:dyDescent="0.3">
      <c r="A1128" s="1">
        <f t="shared" ca="1" si="0"/>
        <v>42685</v>
      </c>
      <c r="B1128">
        <f t="shared" ca="1" si="1"/>
        <v>11</v>
      </c>
      <c r="C1128" t="str">
        <f t="shared" ca="1" si="2"/>
        <v>November</v>
      </c>
      <c r="D1128">
        <f t="shared" ca="1" si="3"/>
        <v>2016</v>
      </c>
    </row>
    <row r="1129" spans="1:4" x14ac:dyDescent="0.3">
      <c r="A1129" s="1">
        <f t="shared" ca="1" si="0"/>
        <v>42903</v>
      </c>
      <c r="B1129">
        <f t="shared" ca="1" si="1"/>
        <v>6</v>
      </c>
      <c r="C1129" t="str">
        <f t="shared" ca="1" si="2"/>
        <v>June</v>
      </c>
      <c r="D1129">
        <f t="shared" ca="1" si="3"/>
        <v>2017</v>
      </c>
    </row>
    <row r="1130" spans="1:4" x14ac:dyDescent="0.3">
      <c r="A1130" s="1">
        <f t="shared" ca="1" si="0"/>
        <v>42502</v>
      </c>
      <c r="B1130">
        <f t="shared" ca="1" si="1"/>
        <v>5</v>
      </c>
      <c r="C1130" t="str">
        <f t="shared" ca="1" si="2"/>
        <v>May</v>
      </c>
      <c r="D1130">
        <f t="shared" ca="1" si="3"/>
        <v>2016</v>
      </c>
    </row>
    <row r="1131" spans="1:4" x14ac:dyDescent="0.3">
      <c r="A1131" s="1">
        <f t="shared" ca="1" si="0"/>
        <v>42675</v>
      </c>
      <c r="B1131">
        <f t="shared" ca="1" si="1"/>
        <v>11</v>
      </c>
      <c r="C1131" t="str">
        <f t="shared" ca="1" si="2"/>
        <v>November</v>
      </c>
      <c r="D1131">
        <f t="shared" ca="1" si="3"/>
        <v>2016</v>
      </c>
    </row>
    <row r="1132" spans="1:4" x14ac:dyDescent="0.3">
      <c r="A1132" s="1">
        <f t="shared" ca="1" si="0"/>
        <v>42398</v>
      </c>
      <c r="B1132">
        <f t="shared" ca="1" si="1"/>
        <v>1</v>
      </c>
      <c r="C1132" t="str">
        <f t="shared" ca="1" si="2"/>
        <v>January</v>
      </c>
      <c r="D1132">
        <f t="shared" ca="1" si="3"/>
        <v>2016</v>
      </c>
    </row>
    <row r="1133" spans="1:4" x14ac:dyDescent="0.3">
      <c r="A1133" s="1">
        <f t="shared" ca="1" si="0"/>
        <v>42135</v>
      </c>
      <c r="B1133">
        <f t="shared" ca="1" si="1"/>
        <v>5</v>
      </c>
      <c r="C1133" t="str">
        <f t="shared" ca="1" si="2"/>
        <v>May</v>
      </c>
      <c r="D1133">
        <f t="shared" ca="1" si="3"/>
        <v>2015</v>
      </c>
    </row>
    <row r="1134" spans="1:4" x14ac:dyDescent="0.3">
      <c r="A1134" s="1">
        <f t="shared" ca="1" si="0"/>
        <v>42747</v>
      </c>
      <c r="B1134">
        <f t="shared" ca="1" si="1"/>
        <v>1</v>
      </c>
      <c r="C1134" t="str">
        <f t="shared" ca="1" si="2"/>
        <v>January</v>
      </c>
      <c r="D1134">
        <f t="shared" ca="1" si="3"/>
        <v>2017</v>
      </c>
    </row>
    <row r="1135" spans="1:4" x14ac:dyDescent="0.3">
      <c r="A1135" s="1">
        <f t="shared" ca="1" si="0"/>
        <v>42936</v>
      </c>
      <c r="B1135">
        <f t="shared" ca="1" si="1"/>
        <v>7</v>
      </c>
      <c r="C1135" t="str">
        <f t="shared" ca="1" si="2"/>
        <v>July</v>
      </c>
      <c r="D1135">
        <f t="shared" ca="1" si="3"/>
        <v>2017</v>
      </c>
    </row>
    <row r="1136" spans="1:4" x14ac:dyDescent="0.3">
      <c r="A1136" s="1">
        <f t="shared" ca="1" si="0"/>
        <v>42011</v>
      </c>
      <c r="B1136">
        <f t="shared" ca="1" si="1"/>
        <v>1</v>
      </c>
      <c r="C1136" t="str">
        <f t="shared" ca="1" si="2"/>
        <v>January</v>
      </c>
      <c r="D1136">
        <f t="shared" ca="1" si="3"/>
        <v>2015</v>
      </c>
    </row>
    <row r="1137" spans="1:4" x14ac:dyDescent="0.3">
      <c r="A1137" s="1">
        <f t="shared" ca="1" si="0"/>
        <v>42111</v>
      </c>
      <c r="B1137">
        <f t="shared" ca="1" si="1"/>
        <v>4</v>
      </c>
      <c r="C1137" t="str">
        <f t="shared" ca="1" si="2"/>
        <v>April</v>
      </c>
      <c r="D1137">
        <f t="shared" ca="1" si="3"/>
        <v>2015</v>
      </c>
    </row>
    <row r="1138" spans="1:4" x14ac:dyDescent="0.3">
      <c r="A1138" s="1">
        <f t="shared" ca="1" si="0"/>
        <v>42969</v>
      </c>
      <c r="B1138">
        <f t="shared" ca="1" si="1"/>
        <v>8</v>
      </c>
      <c r="C1138" t="str">
        <f t="shared" ca="1" si="2"/>
        <v>August</v>
      </c>
      <c r="D1138">
        <f t="shared" ca="1" si="3"/>
        <v>2017</v>
      </c>
    </row>
    <row r="1139" spans="1:4" x14ac:dyDescent="0.3">
      <c r="A1139" s="1">
        <f t="shared" ca="1" si="0"/>
        <v>42370</v>
      </c>
      <c r="B1139">
        <f t="shared" ca="1" si="1"/>
        <v>1</v>
      </c>
      <c r="C1139" t="str">
        <f t="shared" ca="1" si="2"/>
        <v>January</v>
      </c>
      <c r="D1139">
        <f t="shared" ca="1" si="3"/>
        <v>2016</v>
      </c>
    </row>
    <row r="1140" spans="1:4" x14ac:dyDescent="0.3">
      <c r="A1140" s="1">
        <f t="shared" ca="1" si="0"/>
        <v>42756</v>
      </c>
      <c r="B1140">
        <f t="shared" ca="1" si="1"/>
        <v>1</v>
      </c>
      <c r="C1140" t="str">
        <f t="shared" ca="1" si="2"/>
        <v>January</v>
      </c>
      <c r="D1140">
        <f t="shared" ca="1" si="3"/>
        <v>2017</v>
      </c>
    </row>
    <row r="1141" spans="1:4" x14ac:dyDescent="0.3">
      <c r="A1141" s="1">
        <f t="shared" ca="1" si="0"/>
        <v>42768</v>
      </c>
      <c r="B1141">
        <f t="shared" ca="1" si="1"/>
        <v>2</v>
      </c>
      <c r="C1141" t="str">
        <f t="shared" ca="1" si="2"/>
        <v>February</v>
      </c>
      <c r="D1141">
        <f t="shared" ca="1" si="3"/>
        <v>2017</v>
      </c>
    </row>
    <row r="1142" spans="1:4" x14ac:dyDescent="0.3">
      <c r="A1142" s="1">
        <f t="shared" ca="1" si="0"/>
        <v>42030</v>
      </c>
      <c r="B1142">
        <f t="shared" ca="1" si="1"/>
        <v>1</v>
      </c>
      <c r="C1142" t="str">
        <f t="shared" ca="1" si="2"/>
        <v>January</v>
      </c>
      <c r="D1142">
        <f t="shared" ca="1" si="3"/>
        <v>2015</v>
      </c>
    </row>
    <row r="1143" spans="1:4" x14ac:dyDescent="0.3">
      <c r="A1143" s="1">
        <f t="shared" ca="1" si="0"/>
        <v>42123</v>
      </c>
      <c r="B1143">
        <f t="shared" ca="1" si="1"/>
        <v>4</v>
      </c>
      <c r="C1143" t="str">
        <f t="shared" ca="1" si="2"/>
        <v>April</v>
      </c>
      <c r="D1143">
        <f t="shared" ca="1" si="3"/>
        <v>2015</v>
      </c>
    </row>
    <row r="1144" spans="1:4" x14ac:dyDescent="0.3">
      <c r="A1144" s="1">
        <f t="shared" ca="1" si="0"/>
        <v>42627</v>
      </c>
      <c r="B1144">
        <f t="shared" ca="1" si="1"/>
        <v>9</v>
      </c>
      <c r="C1144" t="str">
        <f t="shared" ca="1" si="2"/>
        <v>September</v>
      </c>
      <c r="D1144">
        <f t="shared" ca="1" si="3"/>
        <v>2016</v>
      </c>
    </row>
    <row r="1145" spans="1:4" x14ac:dyDescent="0.3">
      <c r="A1145" s="1">
        <f t="shared" ca="1" si="0"/>
        <v>42273</v>
      </c>
      <c r="B1145">
        <f t="shared" ca="1" si="1"/>
        <v>9</v>
      </c>
      <c r="C1145" t="str">
        <f t="shared" ca="1" si="2"/>
        <v>September</v>
      </c>
      <c r="D1145">
        <f t="shared" ca="1" si="3"/>
        <v>2015</v>
      </c>
    </row>
    <row r="1146" spans="1:4" x14ac:dyDescent="0.3">
      <c r="A1146" s="1">
        <f t="shared" ca="1" si="0"/>
        <v>42594</v>
      </c>
      <c r="B1146">
        <f t="shared" ca="1" si="1"/>
        <v>8</v>
      </c>
      <c r="C1146" t="str">
        <f t="shared" ca="1" si="2"/>
        <v>August</v>
      </c>
      <c r="D1146">
        <f t="shared" ca="1" si="3"/>
        <v>2016</v>
      </c>
    </row>
    <row r="1147" spans="1:4" x14ac:dyDescent="0.3">
      <c r="A1147" s="1">
        <f t="shared" ca="1" si="0"/>
        <v>42776</v>
      </c>
      <c r="B1147">
        <f t="shared" ca="1" si="1"/>
        <v>2</v>
      </c>
      <c r="C1147" t="str">
        <f t="shared" ca="1" si="2"/>
        <v>February</v>
      </c>
      <c r="D1147">
        <f t="shared" ca="1" si="3"/>
        <v>2017</v>
      </c>
    </row>
    <row r="1148" spans="1:4" x14ac:dyDescent="0.3">
      <c r="A1148" s="1">
        <f t="shared" ref="A1148:A1211" ca="1" si="4">RANDBETWEEN(DATE(2014,12,31),DATE(2016,21,31))</f>
        <v>42849</v>
      </c>
      <c r="B1148">
        <f t="shared" ref="B1148:B1211" ca="1" si="5">MONTH(A1148)</f>
        <v>4</v>
      </c>
      <c r="C1148" t="str">
        <f t="shared" ref="C1148:C1161" ca="1" si="6">TEXT(A1148,"mmmm")</f>
        <v>April</v>
      </c>
      <c r="D1148">
        <f t="shared" ref="D1148:D1211" ca="1" si="7">YEAR(A1148)</f>
        <v>2017</v>
      </c>
    </row>
    <row r="1149" spans="1:4" x14ac:dyDescent="0.3">
      <c r="A1149" s="1">
        <f t="shared" ca="1" si="4"/>
        <v>42628</v>
      </c>
      <c r="B1149">
        <f t="shared" ca="1" si="5"/>
        <v>9</v>
      </c>
      <c r="C1149" t="str">
        <f t="shared" ca="1" si="6"/>
        <v>September</v>
      </c>
      <c r="D1149">
        <f t="shared" ca="1" si="7"/>
        <v>2016</v>
      </c>
    </row>
    <row r="1150" spans="1:4" x14ac:dyDescent="0.3">
      <c r="A1150" s="1">
        <f t="shared" ca="1" si="4"/>
        <v>42691</v>
      </c>
      <c r="B1150">
        <f t="shared" ca="1" si="5"/>
        <v>11</v>
      </c>
      <c r="C1150" t="str">
        <f t="shared" ca="1" si="6"/>
        <v>November</v>
      </c>
      <c r="D1150">
        <f t="shared" ca="1" si="7"/>
        <v>2016</v>
      </c>
    </row>
    <row r="1151" spans="1:4" x14ac:dyDescent="0.3">
      <c r="A1151" s="1">
        <f t="shared" ca="1" si="4"/>
        <v>42078</v>
      </c>
      <c r="B1151">
        <f t="shared" ca="1" si="5"/>
        <v>3</v>
      </c>
      <c r="C1151" t="str">
        <f t="shared" ca="1" si="6"/>
        <v>March</v>
      </c>
      <c r="D1151">
        <f t="shared" ca="1" si="7"/>
        <v>2015</v>
      </c>
    </row>
    <row r="1152" spans="1:4" x14ac:dyDescent="0.3">
      <c r="A1152" s="1">
        <f t="shared" ca="1" si="4"/>
        <v>42492</v>
      </c>
      <c r="B1152">
        <f t="shared" ca="1" si="5"/>
        <v>5</v>
      </c>
      <c r="C1152" t="str">
        <f t="shared" ca="1" si="6"/>
        <v>May</v>
      </c>
      <c r="D1152">
        <f t="shared" ca="1" si="7"/>
        <v>2016</v>
      </c>
    </row>
    <row r="1153" spans="1:4" x14ac:dyDescent="0.3">
      <c r="A1153" s="1">
        <f t="shared" ca="1" si="4"/>
        <v>42633</v>
      </c>
      <c r="B1153">
        <f t="shared" ca="1" si="5"/>
        <v>9</v>
      </c>
      <c r="C1153" t="str">
        <f t="shared" ca="1" si="6"/>
        <v>September</v>
      </c>
      <c r="D1153">
        <f t="shared" ca="1" si="7"/>
        <v>2016</v>
      </c>
    </row>
    <row r="1154" spans="1:4" x14ac:dyDescent="0.3">
      <c r="A1154" s="1">
        <f t="shared" ca="1" si="4"/>
        <v>42245</v>
      </c>
      <c r="B1154">
        <f t="shared" ca="1" si="5"/>
        <v>8</v>
      </c>
      <c r="C1154" t="str">
        <f t="shared" ca="1" si="6"/>
        <v>August</v>
      </c>
      <c r="D1154">
        <f t="shared" ca="1" si="7"/>
        <v>2015</v>
      </c>
    </row>
    <row r="1155" spans="1:4" x14ac:dyDescent="0.3">
      <c r="A1155" s="1">
        <f t="shared" ca="1" si="4"/>
        <v>42127</v>
      </c>
      <c r="B1155">
        <f t="shared" ca="1" si="5"/>
        <v>5</v>
      </c>
      <c r="C1155" t="str">
        <f t="shared" ca="1" si="6"/>
        <v>May</v>
      </c>
      <c r="D1155">
        <f t="shared" ca="1" si="7"/>
        <v>2015</v>
      </c>
    </row>
    <row r="1156" spans="1:4" x14ac:dyDescent="0.3">
      <c r="A1156" s="1">
        <f t="shared" ca="1" si="4"/>
        <v>42189</v>
      </c>
      <c r="B1156">
        <f t="shared" ca="1" si="5"/>
        <v>7</v>
      </c>
      <c r="C1156" t="str">
        <f t="shared" ca="1" si="6"/>
        <v>July</v>
      </c>
      <c r="D1156">
        <f t="shared" ca="1" si="7"/>
        <v>2015</v>
      </c>
    </row>
    <row r="1157" spans="1:4" x14ac:dyDescent="0.3">
      <c r="A1157" s="1">
        <f t="shared" ca="1" si="4"/>
        <v>42596</v>
      </c>
      <c r="B1157">
        <f t="shared" ca="1" si="5"/>
        <v>8</v>
      </c>
      <c r="C1157" t="str">
        <f t="shared" ca="1" si="6"/>
        <v>August</v>
      </c>
      <c r="D1157">
        <f t="shared" ca="1" si="7"/>
        <v>2016</v>
      </c>
    </row>
    <row r="1158" spans="1:4" x14ac:dyDescent="0.3">
      <c r="A1158" s="1">
        <f t="shared" ca="1" si="4"/>
        <v>42656</v>
      </c>
      <c r="B1158">
        <f t="shared" ca="1" si="5"/>
        <v>10</v>
      </c>
      <c r="C1158" t="str">
        <f t="shared" ca="1" si="6"/>
        <v>October</v>
      </c>
      <c r="D1158">
        <f t="shared" ca="1" si="7"/>
        <v>2016</v>
      </c>
    </row>
    <row r="1159" spans="1:4" x14ac:dyDescent="0.3">
      <c r="A1159" s="1">
        <f t="shared" ca="1" si="4"/>
        <v>42026</v>
      </c>
      <c r="B1159">
        <f t="shared" ca="1" si="5"/>
        <v>1</v>
      </c>
      <c r="C1159" t="str">
        <f t="shared" ca="1" si="6"/>
        <v>January</v>
      </c>
      <c r="D1159">
        <f t="shared" ca="1" si="7"/>
        <v>2015</v>
      </c>
    </row>
    <row r="1160" spans="1:4" x14ac:dyDescent="0.3">
      <c r="A1160" s="1">
        <f t="shared" ca="1" si="4"/>
        <v>42745</v>
      </c>
      <c r="B1160">
        <f t="shared" ca="1" si="5"/>
        <v>1</v>
      </c>
      <c r="C1160" t="str">
        <f t="shared" ca="1" si="6"/>
        <v>January</v>
      </c>
      <c r="D1160">
        <f t="shared" ca="1" si="7"/>
        <v>2017</v>
      </c>
    </row>
    <row r="1161" spans="1:4" x14ac:dyDescent="0.3">
      <c r="A1161" s="1">
        <f t="shared" ca="1" si="4"/>
        <v>42943</v>
      </c>
      <c r="B1161">
        <f t="shared" ca="1" si="5"/>
        <v>7</v>
      </c>
      <c r="C1161" t="str">
        <f t="shared" ca="1" si="6"/>
        <v>July</v>
      </c>
      <c r="D1161">
        <f t="shared" ca="1" si="7"/>
        <v>2017</v>
      </c>
    </row>
    <row r="1162" spans="1:4" x14ac:dyDescent="0.3">
      <c r="A1162" s="1">
        <f t="shared" ca="1" si="4"/>
        <v>42896</v>
      </c>
      <c r="B1162">
        <f t="shared" ca="1" si="5"/>
        <v>6</v>
      </c>
      <c r="C1162" t="str">
        <f ca="1">TEXT(A1162,"mmmm")</f>
        <v>June</v>
      </c>
      <c r="D1162">
        <f t="shared" ca="1" si="7"/>
        <v>2017</v>
      </c>
    </row>
    <row r="1163" spans="1:4" x14ac:dyDescent="0.3">
      <c r="A1163" s="1">
        <f t="shared" ca="1" si="4"/>
        <v>42053</v>
      </c>
      <c r="B1163">
        <f t="shared" ca="1" si="5"/>
        <v>2</v>
      </c>
      <c r="C1163" t="str">
        <f t="shared" ref="C1163:C1220" ca="1" si="8">TEXT(A1163,"mmmm")</f>
        <v>February</v>
      </c>
      <c r="D1163">
        <f t="shared" ca="1" si="7"/>
        <v>2015</v>
      </c>
    </row>
    <row r="1164" spans="1:4" x14ac:dyDescent="0.3">
      <c r="A1164" s="1">
        <f t="shared" ca="1" si="4"/>
        <v>42567</v>
      </c>
      <c r="B1164">
        <f t="shared" ca="1" si="5"/>
        <v>7</v>
      </c>
      <c r="C1164" t="str">
        <f t="shared" ca="1" si="8"/>
        <v>July</v>
      </c>
      <c r="D1164">
        <f t="shared" ca="1" si="7"/>
        <v>2016</v>
      </c>
    </row>
    <row r="1165" spans="1:4" x14ac:dyDescent="0.3">
      <c r="A1165" s="1">
        <f t="shared" ca="1" si="4"/>
        <v>42258</v>
      </c>
      <c r="B1165">
        <f t="shared" ca="1" si="5"/>
        <v>9</v>
      </c>
      <c r="C1165" t="str">
        <f t="shared" ca="1" si="8"/>
        <v>September</v>
      </c>
      <c r="D1165">
        <f t="shared" ca="1" si="7"/>
        <v>2015</v>
      </c>
    </row>
    <row r="1166" spans="1:4" x14ac:dyDescent="0.3">
      <c r="A1166" s="1">
        <f t="shared" ca="1" si="4"/>
        <v>42554</v>
      </c>
      <c r="B1166">
        <f t="shared" ca="1" si="5"/>
        <v>7</v>
      </c>
      <c r="C1166" t="str">
        <f t="shared" ca="1" si="8"/>
        <v>July</v>
      </c>
      <c r="D1166">
        <f t="shared" ca="1" si="7"/>
        <v>2016</v>
      </c>
    </row>
    <row r="1167" spans="1:4" x14ac:dyDescent="0.3">
      <c r="A1167" s="1">
        <f t="shared" ca="1" si="4"/>
        <v>42110</v>
      </c>
      <c r="B1167">
        <f t="shared" ca="1" si="5"/>
        <v>4</v>
      </c>
      <c r="C1167" t="str">
        <f t="shared" ca="1" si="8"/>
        <v>April</v>
      </c>
      <c r="D1167">
        <f t="shared" ca="1" si="7"/>
        <v>2015</v>
      </c>
    </row>
    <row r="1168" spans="1:4" x14ac:dyDescent="0.3">
      <c r="A1168" s="1">
        <f t="shared" ca="1" si="4"/>
        <v>42691</v>
      </c>
      <c r="B1168">
        <f t="shared" ca="1" si="5"/>
        <v>11</v>
      </c>
      <c r="C1168" t="str">
        <f t="shared" ca="1" si="8"/>
        <v>November</v>
      </c>
      <c r="D1168">
        <f t="shared" ca="1" si="7"/>
        <v>2016</v>
      </c>
    </row>
    <row r="1169" spans="1:4" x14ac:dyDescent="0.3">
      <c r="A1169" s="1">
        <f t="shared" ca="1" si="4"/>
        <v>42460</v>
      </c>
      <c r="B1169">
        <f t="shared" ca="1" si="5"/>
        <v>3</v>
      </c>
      <c r="C1169" t="str">
        <f t="shared" ca="1" si="8"/>
        <v>March</v>
      </c>
      <c r="D1169">
        <f t="shared" ca="1" si="7"/>
        <v>2016</v>
      </c>
    </row>
    <row r="1170" spans="1:4" x14ac:dyDescent="0.3">
      <c r="A1170" s="1">
        <f t="shared" ca="1" si="4"/>
        <v>42982</v>
      </c>
      <c r="B1170">
        <f t="shared" ca="1" si="5"/>
        <v>9</v>
      </c>
      <c r="C1170" t="str">
        <f t="shared" ca="1" si="8"/>
        <v>September</v>
      </c>
      <c r="D1170">
        <f t="shared" ca="1" si="7"/>
        <v>2017</v>
      </c>
    </row>
    <row r="1171" spans="1:4" x14ac:dyDescent="0.3">
      <c r="A1171" s="1">
        <f t="shared" ca="1" si="4"/>
        <v>42626</v>
      </c>
      <c r="B1171">
        <f t="shared" ca="1" si="5"/>
        <v>9</v>
      </c>
      <c r="C1171" t="str">
        <f t="shared" ca="1" si="8"/>
        <v>September</v>
      </c>
      <c r="D1171">
        <f t="shared" ca="1" si="7"/>
        <v>2016</v>
      </c>
    </row>
    <row r="1172" spans="1:4" x14ac:dyDescent="0.3">
      <c r="A1172" s="1">
        <f t="shared" ca="1" si="4"/>
        <v>42611</v>
      </c>
      <c r="B1172">
        <f t="shared" ca="1" si="5"/>
        <v>8</v>
      </c>
      <c r="C1172" t="str">
        <f t="shared" ca="1" si="8"/>
        <v>August</v>
      </c>
      <c r="D1172">
        <f t="shared" ca="1" si="7"/>
        <v>2016</v>
      </c>
    </row>
    <row r="1173" spans="1:4" x14ac:dyDescent="0.3">
      <c r="A1173" s="1">
        <f t="shared" ca="1" si="4"/>
        <v>42234</v>
      </c>
      <c r="B1173">
        <f t="shared" ca="1" si="5"/>
        <v>8</v>
      </c>
      <c r="C1173" t="str">
        <f t="shared" ca="1" si="8"/>
        <v>August</v>
      </c>
      <c r="D1173">
        <f t="shared" ca="1" si="7"/>
        <v>2015</v>
      </c>
    </row>
    <row r="1174" spans="1:4" x14ac:dyDescent="0.3">
      <c r="A1174" s="1">
        <f t="shared" ca="1" si="4"/>
        <v>42429</v>
      </c>
      <c r="B1174">
        <f t="shared" ca="1" si="5"/>
        <v>2</v>
      </c>
      <c r="C1174" t="str">
        <f t="shared" ca="1" si="8"/>
        <v>February</v>
      </c>
      <c r="D1174">
        <f t="shared" ca="1" si="7"/>
        <v>2016</v>
      </c>
    </row>
    <row r="1175" spans="1:4" x14ac:dyDescent="0.3">
      <c r="A1175" s="1">
        <f t="shared" ca="1" si="4"/>
        <v>42969</v>
      </c>
      <c r="B1175">
        <f t="shared" ca="1" si="5"/>
        <v>8</v>
      </c>
      <c r="C1175" t="str">
        <f t="shared" ca="1" si="8"/>
        <v>August</v>
      </c>
      <c r="D1175">
        <f t="shared" ca="1" si="7"/>
        <v>2017</v>
      </c>
    </row>
    <row r="1176" spans="1:4" x14ac:dyDescent="0.3">
      <c r="A1176" s="1">
        <f t="shared" ca="1" si="4"/>
        <v>42125</v>
      </c>
      <c r="B1176">
        <f t="shared" ca="1" si="5"/>
        <v>5</v>
      </c>
      <c r="C1176" t="str">
        <f t="shared" ca="1" si="8"/>
        <v>May</v>
      </c>
      <c r="D1176">
        <f t="shared" ca="1" si="7"/>
        <v>2015</v>
      </c>
    </row>
    <row r="1177" spans="1:4" x14ac:dyDescent="0.3">
      <c r="A1177" s="1">
        <f t="shared" ca="1" si="4"/>
        <v>42128</v>
      </c>
      <c r="B1177">
        <f t="shared" ca="1" si="5"/>
        <v>5</v>
      </c>
      <c r="C1177" t="str">
        <f t="shared" ca="1" si="8"/>
        <v>May</v>
      </c>
      <c r="D1177">
        <f t="shared" ca="1" si="7"/>
        <v>2015</v>
      </c>
    </row>
    <row r="1178" spans="1:4" x14ac:dyDescent="0.3">
      <c r="A1178" s="1">
        <f t="shared" ca="1" si="4"/>
        <v>42109</v>
      </c>
      <c r="B1178">
        <f t="shared" ca="1" si="5"/>
        <v>4</v>
      </c>
      <c r="C1178" t="str">
        <f t="shared" ca="1" si="8"/>
        <v>April</v>
      </c>
      <c r="D1178">
        <f t="shared" ca="1" si="7"/>
        <v>2015</v>
      </c>
    </row>
    <row r="1179" spans="1:4" x14ac:dyDescent="0.3">
      <c r="A1179" s="1">
        <f t="shared" ca="1" si="4"/>
        <v>42843</v>
      </c>
      <c r="B1179">
        <f t="shared" ca="1" si="5"/>
        <v>4</v>
      </c>
      <c r="C1179" t="str">
        <f t="shared" ca="1" si="8"/>
        <v>April</v>
      </c>
      <c r="D1179">
        <f t="shared" ca="1" si="7"/>
        <v>2017</v>
      </c>
    </row>
    <row r="1180" spans="1:4" x14ac:dyDescent="0.3">
      <c r="A1180" s="1">
        <f t="shared" ca="1" si="4"/>
        <v>42279</v>
      </c>
      <c r="B1180">
        <f t="shared" ca="1" si="5"/>
        <v>10</v>
      </c>
      <c r="C1180" t="str">
        <f t="shared" ca="1" si="8"/>
        <v>October</v>
      </c>
      <c r="D1180">
        <f t="shared" ca="1" si="7"/>
        <v>2015</v>
      </c>
    </row>
    <row r="1181" spans="1:4" x14ac:dyDescent="0.3">
      <c r="A1181" s="1">
        <f t="shared" ca="1" si="4"/>
        <v>42171</v>
      </c>
      <c r="B1181">
        <f t="shared" ca="1" si="5"/>
        <v>6</v>
      </c>
      <c r="C1181" t="str">
        <f t="shared" ca="1" si="8"/>
        <v>June</v>
      </c>
      <c r="D1181">
        <f t="shared" ca="1" si="7"/>
        <v>2015</v>
      </c>
    </row>
    <row r="1182" spans="1:4" x14ac:dyDescent="0.3">
      <c r="A1182" s="1">
        <f t="shared" ca="1" si="4"/>
        <v>42244</v>
      </c>
      <c r="B1182">
        <f t="shared" ca="1" si="5"/>
        <v>8</v>
      </c>
      <c r="C1182" t="str">
        <f t="shared" ca="1" si="8"/>
        <v>August</v>
      </c>
      <c r="D1182">
        <f t="shared" ca="1" si="7"/>
        <v>2015</v>
      </c>
    </row>
    <row r="1183" spans="1:4" x14ac:dyDescent="0.3">
      <c r="A1183" s="1">
        <f t="shared" ca="1" si="4"/>
        <v>42682</v>
      </c>
      <c r="B1183">
        <f t="shared" ca="1" si="5"/>
        <v>11</v>
      </c>
      <c r="C1183" t="str">
        <f t="shared" ca="1" si="8"/>
        <v>November</v>
      </c>
      <c r="D1183">
        <f t="shared" ca="1" si="7"/>
        <v>2016</v>
      </c>
    </row>
    <row r="1184" spans="1:4" x14ac:dyDescent="0.3">
      <c r="A1184" s="1">
        <f t="shared" ca="1" si="4"/>
        <v>42828</v>
      </c>
      <c r="B1184">
        <f t="shared" ca="1" si="5"/>
        <v>4</v>
      </c>
      <c r="C1184" t="str">
        <f t="shared" ca="1" si="8"/>
        <v>April</v>
      </c>
      <c r="D1184">
        <f t="shared" ca="1" si="7"/>
        <v>2017</v>
      </c>
    </row>
    <row r="1185" spans="1:4" x14ac:dyDescent="0.3">
      <c r="A1185" s="1">
        <f t="shared" ca="1" si="4"/>
        <v>42301</v>
      </c>
      <c r="B1185">
        <f t="shared" ca="1" si="5"/>
        <v>10</v>
      </c>
      <c r="C1185" t="str">
        <f t="shared" ca="1" si="8"/>
        <v>October</v>
      </c>
      <c r="D1185">
        <f t="shared" ca="1" si="7"/>
        <v>2015</v>
      </c>
    </row>
    <row r="1186" spans="1:4" x14ac:dyDescent="0.3">
      <c r="A1186" s="1">
        <f t="shared" ca="1" si="4"/>
        <v>42874</v>
      </c>
      <c r="B1186">
        <f t="shared" ca="1" si="5"/>
        <v>5</v>
      </c>
      <c r="C1186" t="str">
        <f t="shared" ca="1" si="8"/>
        <v>May</v>
      </c>
      <c r="D1186">
        <f t="shared" ca="1" si="7"/>
        <v>2017</v>
      </c>
    </row>
    <row r="1187" spans="1:4" x14ac:dyDescent="0.3">
      <c r="A1187" s="1">
        <f t="shared" ca="1" si="4"/>
        <v>42729</v>
      </c>
      <c r="B1187">
        <f t="shared" ca="1" si="5"/>
        <v>12</v>
      </c>
      <c r="C1187" t="str">
        <f t="shared" ca="1" si="8"/>
        <v>December</v>
      </c>
      <c r="D1187">
        <f t="shared" ca="1" si="7"/>
        <v>2016</v>
      </c>
    </row>
    <row r="1188" spans="1:4" x14ac:dyDescent="0.3">
      <c r="A1188" s="1">
        <f t="shared" ca="1" si="4"/>
        <v>42242</v>
      </c>
      <c r="B1188">
        <f t="shared" ca="1" si="5"/>
        <v>8</v>
      </c>
      <c r="C1188" t="str">
        <f t="shared" ca="1" si="8"/>
        <v>August</v>
      </c>
      <c r="D1188">
        <f t="shared" ca="1" si="7"/>
        <v>2015</v>
      </c>
    </row>
    <row r="1189" spans="1:4" x14ac:dyDescent="0.3">
      <c r="A1189" s="1">
        <f t="shared" ca="1" si="4"/>
        <v>42715</v>
      </c>
      <c r="B1189">
        <f t="shared" ca="1" si="5"/>
        <v>12</v>
      </c>
      <c r="C1189" t="str">
        <f t="shared" ca="1" si="8"/>
        <v>December</v>
      </c>
      <c r="D1189">
        <f t="shared" ca="1" si="7"/>
        <v>2016</v>
      </c>
    </row>
    <row r="1190" spans="1:4" x14ac:dyDescent="0.3">
      <c r="A1190" s="1">
        <f t="shared" ca="1" si="4"/>
        <v>42048</v>
      </c>
      <c r="B1190">
        <f t="shared" ca="1" si="5"/>
        <v>2</v>
      </c>
      <c r="C1190" t="str">
        <f t="shared" ca="1" si="8"/>
        <v>February</v>
      </c>
      <c r="D1190">
        <f t="shared" ca="1" si="7"/>
        <v>2015</v>
      </c>
    </row>
    <row r="1191" spans="1:4" x14ac:dyDescent="0.3">
      <c r="A1191" s="1">
        <f t="shared" ca="1" si="4"/>
        <v>42128</v>
      </c>
      <c r="B1191">
        <f t="shared" ca="1" si="5"/>
        <v>5</v>
      </c>
      <c r="C1191" t="str">
        <f t="shared" ca="1" si="8"/>
        <v>May</v>
      </c>
      <c r="D1191">
        <f t="shared" ca="1" si="7"/>
        <v>2015</v>
      </c>
    </row>
    <row r="1192" spans="1:4" x14ac:dyDescent="0.3">
      <c r="A1192" s="1">
        <f t="shared" ca="1" si="4"/>
        <v>42797</v>
      </c>
      <c r="B1192">
        <f t="shared" ca="1" si="5"/>
        <v>3</v>
      </c>
      <c r="C1192" t="str">
        <f t="shared" ca="1" si="8"/>
        <v>March</v>
      </c>
      <c r="D1192">
        <f t="shared" ca="1" si="7"/>
        <v>2017</v>
      </c>
    </row>
    <row r="1193" spans="1:4" x14ac:dyDescent="0.3">
      <c r="A1193" s="1">
        <f t="shared" ca="1" si="4"/>
        <v>42711</v>
      </c>
      <c r="B1193">
        <f t="shared" ca="1" si="5"/>
        <v>12</v>
      </c>
      <c r="C1193" t="str">
        <f t="shared" ca="1" si="8"/>
        <v>December</v>
      </c>
      <c r="D1193">
        <f t="shared" ca="1" si="7"/>
        <v>2016</v>
      </c>
    </row>
    <row r="1194" spans="1:4" x14ac:dyDescent="0.3">
      <c r="A1194" s="1">
        <f t="shared" ca="1" si="4"/>
        <v>42856</v>
      </c>
      <c r="B1194">
        <f t="shared" ca="1" si="5"/>
        <v>5</v>
      </c>
      <c r="C1194" t="str">
        <f t="shared" ca="1" si="8"/>
        <v>May</v>
      </c>
      <c r="D1194">
        <f t="shared" ca="1" si="7"/>
        <v>2017</v>
      </c>
    </row>
    <row r="1195" spans="1:4" x14ac:dyDescent="0.3">
      <c r="A1195" s="1">
        <f t="shared" ca="1" si="4"/>
        <v>42747</v>
      </c>
      <c r="B1195">
        <f t="shared" ca="1" si="5"/>
        <v>1</v>
      </c>
      <c r="C1195" t="str">
        <f t="shared" ca="1" si="8"/>
        <v>January</v>
      </c>
      <c r="D1195">
        <f t="shared" ca="1" si="7"/>
        <v>2017</v>
      </c>
    </row>
    <row r="1196" spans="1:4" x14ac:dyDescent="0.3">
      <c r="A1196" s="1">
        <f t="shared" ca="1" si="4"/>
        <v>42828</v>
      </c>
      <c r="B1196">
        <f t="shared" ca="1" si="5"/>
        <v>4</v>
      </c>
      <c r="C1196" t="str">
        <f t="shared" ca="1" si="8"/>
        <v>April</v>
      </c>
      <c r="D1196">
        <f t="shared" ca="1" si="7"/>
        <v>2017</v>
      </c>
    </row>
    <row r="1197" spans="1:4" x14ac:dyDescent="0.3">
      <c r="A1197" s="1">
        <f t="shared" ca="1" si="4"/>
        <v>42668</v>
      </c>
      <c r="B1197">
        <f t="shared" ca="1" si="5"/>
        <v>10</v>
      </c>
      <c r="C1197" t="str">
        <f t="shared" ca="1" si="8"/>
        <v>October</v>
      </c>
      <c r="D1197">
        <f t="shared" ca="1" si="7"/>
        <v>2016</v>
      </c>
    </row>
    <row r="1198" spans="1:4" x14ac:dyDescent="0.3">
      <c r="A1198" s="1">
        <f t="shared" ca="1" si="4"/>
        <v>43002</v>
      </c>
      <c r="B1198">
        <f t="shared" ca="1" si="5"/>
        <v>9</v>
      </c>
      <c r="C1198" t="str">
        <f t="shared" ca="1" si="8"/>
        <v>September</v>
      </c>
      <c r="D1198">
        <f t="shared" ca="1" si="7"/>
        <v>2017</v>
      </c>
    </row>
    <row r="1199" spans="1:4" x14ac:dyDescent="0.3">
      <c r="A1199" s="1">
        <f t="shared" ca="1" si="4"/>
        <v>42250</v>
      </c>
      <c r="B1199">
        <f t="shared" ca="1" si="5"/>
        <v>9</v>
      </c>
      <c r="C1199" t="str">
        <f t="shared" ca="1" si="8"/>
        <v>September</v>
      </c>
      <c r="D1199">
        <f t="shared" ca="1" si="7"/>
        <v>2015</v>
      </c>
    </row>
    <row r="1200" spans="1:4" x14ac:dyDescent="0.3">
      <c r="A1200" s="1">
        <f t="shared" ca="1" si="4"/>
        <v>42410</v>
      </c>
      <c r="B1200">
        <f t="shared" ca="1" si="5"/>
        <v>2</v>
      </c>
      <c r="C1200" t="str">
        <f t="shared" ca="1" si="8"/>
        <v>February</v>
      </c>
      <c r="D1200">
        <f t="shared" ca="1" si="7"/>
        <v>2016</v>
      </c>
    </row>
    <row r="1201" spans="1:4" x14ac:dyDescent="0.3">
      <c r="A1201" s="1">
        <f t="shared" ca="1" si="4"/>
        <v>42262</v>
      </c>
      <c r="B1201">
        <f t="shared" ca="1" si="5"/>
        <v>9</v>
      </c>
      <c r="C1201" t="str">
        <f t="shared" ca="1" si="8"/>
        <v>September</v>
      </c>
      <c r="D1201">
        <f t="shared" ca="1" si="7"/>
        <v>2015</v>
      </c>
    </row>
    <row r="1202" spans="1:4" x14ac:dyDescent="0.3">
      <c r="A1202" s="1">
        <f t="shared" ca="1" si="4"/>
        <v>42745</v>
      </c>
      <c r="B1202">
        <f t="shared" ca="1" si="5"/>
        <v>1</v>
      </c>
      <c r="C1202" t="str">
        <f t="shared" ca="1" si="8"/>
        <v>January</v>
      </c>
      <c r="D1202">
        <f t="shared" ca="1" si="7"/>
        <v>2017</v>
      </c>
    </row>
    <row r="1203" spans="1:4" x14ac:dyDescent="0.3">
      <c r="A1203" s="1">
        <f t="shared" ca="1" si="4"/>
        <v>42041</v>
      </c>
      <c r="B1203">
        <f t="shared" ca="1" si="5"/>
        <v>2</v>
      </c>
      <c r="C1203" t="str">
        <f t="shared" ca="1" si="8"/>
        <v>February</v>
      </c>
      <c r="D1203">
        <f t="shared" ca="1" si="7"/>
        <v>2015</v>
      </c>
    </row>
    <row r="1204" spans="1:4" x14ac:dyDescent="0.3">
      <c r="A1204" s="1">
        <f t="shared" ca="1" si="4"/>
        <v>42968</v>
      </c>
      <c r="B1204">
        <f t="shared" ca="1" si="5"/>
        <v>8</v>
      </c>
      <c r="C1204" t="str">
        <f t="shared" ca="1" si="8"/>
        <v>August</v>
      </c>
      <c r="D1204">
        <f t="shared" ca="1" si="7"/>
        <v>2017</v>
      </c>
    </row>
    <row r="1205" spans="1:4" x14ac:dyDescent="0.3">
      <c r="A1205" s="1">
        <f t="shared" ca="1" si="4"/>
        <v>42807</v>
      </c>
      <c r="B1205">
        <f t="shared" ca="1" si="5"/>
        <v>3</v>
      </c>
      <c r="C1205" t="str">
        <f t="shared" ca="1" si="8"/>
        <v>March</v>
      </c>
      <c r="D1205">
        <f t="shared" ca="1" si="7"/>
        <v>2017</v>
      </c>
    </row>
    <row r="1206" spans="1:4" x14ac:dyDescent="0.3">
      <c r="A1206" s="1">
        <f t="shared" ca="1" si="4"/>
        <v>42351</v>
      </c>
      <c r="B1206">
        <f t="shared" ca="1" si="5"/>
        <v>12</v>
      </c>
      <c r="C1206" t="str">
        <f t="shared" ca="1" si="8"/>
        <v>December</v>
      </c>
      <c r="D1206">
        <f t="shared" ca="1" si="7"/>
        <v>2015</v>
      </c>
    </row>
    <row r="1207" spans="1:4" x14ac:dyDescent="0.3">
      <c r="A1207" s="1">
        <f t="shared" ca="1" si="4"/>
        <v>42420</v>
      </c>
      <c r="B1207">
        <f t="shared" ca="1" si="5"/>
        <v>2</v>
      </c>
      <c r="C1207" t="str">
        <f t="shared" ca="1" si="8"/>
        <v>February</v>
      </c>
      <c r="D1207">
        <f t="shared" ca="1" si="7"/>
        <v>2016</v>
      </c>
    </row>
    <row r="1208" spans="1:4" x14ac:dyDescent="0.3">
      <c r="A1208" s="1">
        <f t="shared" ca="1" si="4"/>
        <v>42554</v>
      </c>
      <c r="B1208">
        <f t="shared" ca="1" si="5"/>
        <v>7</v>
      </c>
      <c r="C1208" t="str">
        <f t="shared" ca="1" si="8"/>
        <v>July</v>
      </c>
      <c r="D1208">
        <f t="shared" ca="1" si="7"/>
        <v>2016</v>
      </c>
    </row>
    <row r="1209" spans="1:4" x14ac:dyDescent="0.3">
      <c r="A1209" s="1">
        <f t="shared" ca="1" si="4"/>
        <v>42903</v>
      </c>
      <c r="B1209">
        <f t="shared" ca="1" si="5"/>
        <v>6</v>
      </c>
      <c r="C1209" t="str">
        <f t="shared" ca="1" si="8"/>
        <v>June</v>
      </c>
      <c r="D1209">
        <f t="shared" ca="1" si="7"/>
        <v>2017</v>
      </c>
    </row>
    <row r="1210" spans="1:4" x14ac:dyDescent="0.3">
      <c r="A1210" s="1">
        <f t="shared" ca="1" si="4"/>
        <v>42652</v>
      </c>
      <c r="B1210">
        <f t="shared" ca="1" si="5"/>
        <v>10</v>
      </c>
      <c r="C1210" t="str">
        <f t="shared" ca="1" si="8"/>
        <v>October</v>
      </c>
      <c r="D1210">
        <f t="shared" ca="1" si="7"/>
        <v>2016</v>
      </c>
    </row>
    <row r="1211" spans="1:4" x14ac:dyDescent="0.3">
      <c r="A1211" s="1">
        <f t="shared" ca="1" si="4"/>
        <v>42940</v>
      </c>
      <c r="B1211">
        <f t="shared" ca="1" si="5"/>
        <v>7</v>
      </c>
      <c r="C1211" t="str">
        <f t="shared" ca="1" si="8"/>
        <v>July</v>
      </c>
      <c r="D1211">
        <f t="shared" ca="1" si="7"/>
        <v>2017</v>
      </c>
    </row>
    <row r="1212" spans="1:4" x14ac:dyDescent="0.3">
      <c r="A1212" s="1">
        <f t="shared" ref="A1212:A1220" ca="1" si="9">RANDBETWEEN(DATE(2014,12,31),DATE(2016,21,31))</f>
        <v>42654</v>
      </c>
      <c r="B1212">
        <f t="shared" ref="B1212:B1220" ca="1" si="10">MONTH(A1212)</f>
        <v>10</v>
      </c>
      <c r="C1212" t="str">
        <f t="shared" ca="1" si="8"/>
        <v>October</v>
      </c>
      <c r="D1212">
        <f t="shared" ref="D1212:D1220" ca="1" si="11">YEAR(A1212)</f>
        <v>2016</v>
      </c>
    </row>
    <row r="1213" spans="1:4" x14ac:dyDescent="0.3">
      <c r="A1213" s="1">
        <f t="shared" ca="1" si="9"/>
        <v>42115</v>
      </c>
      <c r="B1213">
        <f t="shared" ca="1" si="10"/>
        <v>4</v>
      </c>
      <c r="C1213" t="str">
        <f t="shared" ca="1" si="8"/>
        <v>April</v>
      </c>
      <c r="D1213">
        <f t="shared" ca="1" si="11"/>
        <v>2015</v>
      </c>
    </row>
    <row r="1214" spans="1:4" x14ac:dyDescent="0.3">
      <c r="A1214" s="1">
        <f t="shared" ca="1" si="9"/>
        <v>42977</v>
      </c>
      <c r="B1214">
        <f t="shared" ca="1" si="10"/>
        <v>8</v>
      </c>
      <c r="C1214" t="str">
        <f t="shared" ca="1" si="8"/>
        <v>August</v>
      </c>
      <c r="D1214">
        <f t="shared" ca="1" si="11"/>
        <v>2017</v>
      </c>
    </row>
    <row r="1215" spans="1:4" x14ac:dyDescent="0.3">
      <c r="A1215" s="1">
        <f t="shared" ca="1" si="9"/>
        <v>42267</v>
      </c>
      <c r="B1215">
        <f t="shared" ca="1" si="10"/>
        <v>9</v>
      </c>
      <c r="C1215" t="str">
        <f t="shared" ca="1" si="8"/>
        <v>September</v>
      </c>
      <c r="D1215">
        <f t="shared" ca="1" si="11"/>
        <v>2015</v>
      </c>
    </row>
    <row r="1216" spans="1:4" x14ac:dyDescent="0.3">
      <c r="A1216" s="1">
        <f t="shared" ca="1" si="9"/>
        <v>42916</v>
      </c>
      <c r="B1216">
        <f t="shared" ca="1" si="10"/>
        <v>6</v>
      </c>
      <c r="C1216" t="str">
        <f t="shared" ca="1" si="8"/>
        <v>June</v>
      </c>
      <c r="D1216">
        <f t="shared" ca="1" si="11"/>
        <v>2017</v>
      </c>
    </row>
    <row r="1217" spans="1:4" x14ac:dyDescent="0.3">
      <c r="A1217" s="1">
        <f t="shared" ca="1" si="9"/>
        <v>42143</v>
      </c>
      <c r="B1217">
        <f t="shared" ca="1" si="10"/>
        <v>5</v>
      </c>
      <c r="C1217" t="str">
        <f t="shared" ca="1" si="8"/>
        <v>May</v>
      </c>
      <c r="D1217">
        <f t="shared" ca="1" si="11"/>
        <v>2015</v>
      </c>
    </row>
    <row r="1218" spans="1:4" x14ac:dyDescent="0.3">
      <c r="A1218" s="1">
        <f t="shared" ca="1" si="9"/>
        <v>42446</v>
      </c>
      <c r="B1218">
        <f t="shared" ca="1" si="10"/>
        <v>3</v>
      </c>
      <c r="C1218" t="str">
        <f t="shared" ca="1" si="8"/>
        <v>March</v>
      </c>
      <c r="D1218">
        <f t="shared" ca="1" si="11"/>
        <v>2016</v>
      </c>
    </row>
    <row r="1219" spans="1:4" x14ac:dyDescent="0.3">
      <c r="A1219" s="1">
        <f t="shared" ca="1" si="9"/>
        <v>42378</v>
      </c>
      <c r="B1219">
        <f t="shared" ca="1" si="10"/>
        <v>1</v>
      </c>
      <c r="C1219" t="str">
        <f t="shared" ca="1" si="8"/>
        <v>January</v>
      </c>
      <c r="D1219">
        <f t="shared" ca="1" si="11"/>
        <v>2016</v>
      </c>
    </row>
    <row r="1220" spans="1:4" x14ac:dyDescent="0.3">
      <c r="A1220" s="1">
        <f t="shared" ca="1" si="9"/>
        <v>42104</v>
      </c>
      <c r="B1220">
        <f t="shared" ca="1" si="10"/>
        <v>4</v>
      </c>
      <c r="C1220" t="str">
        <f t="shared" ca="1" si="8"/>
        <v>April</v>
      </c>
      <c r="D1220">
        <f t="shared" ca="1" si="11"/>
        <v>2015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financial</vt:lpstr>
      <vt:lpstr>sales</vt:lpstr>
      <vt:lpstr>discount</vt:lpstr>
      <vt:lpstr>product</vt:lpstr>
      <vt:lpstr>country</vt:lpstr>
      <vt:lpstr>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IJJU SAI SRAVANTHI</dc:creator>
  <cp:lastModifiedBy>IJJU SAI SRAVANTHI</cp:lastModifiedBy>
  <dcterms:created xsi:type="dcterms:W3CDTF">2026-03-20T09:51:50Z</dcterms:created>
  <dcterms:modified xsi:type="dcterms:W3CDTF">2026-03-20T10:40:56Z</dcterms:modified>
</cp:coreProperties>
</file>